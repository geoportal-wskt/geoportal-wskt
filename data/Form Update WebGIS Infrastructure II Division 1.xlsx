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updateLinks="always"/>
  <mc:AlternateContent xmlns:mc="http://schemas.openxmlformats.org/markup-compatibility/2006">
    <mc:Choice Requires="x15">
      <x15ac:absPath xmlns:x15ac="http://schemas.microsoft.com/office/spreadsheetml/2010/11/ac" url="https://ptwaskita-my.sharepoint.com/personal/yosevel_lyhardo_waskita_co_id/Documents/"/>
    </mc:Choice>
  </mc:AlternateContent>
  <xr:revisionPtr revIDLastSave="0" documentId="8_{4B47A48A-DB72-4432-B84E-989BE91DF73D}" xr6:coauthVersionLast="47" xr6:coauthVersionMax="47" xr10:uidLastSave="{00000000-0000-0000-0000-000000000000}"/>
  <bookViews>
    <workbookView minimized="1" xWindow="4455" yWindow="1425" windowWidth="21600" windowHeight="11835" xr2:uid="{00000000-000D-0000-FFFF-FFFF00000000}"/>
  </bookViews>
  <sheets>
    <sheet name="Update" sheetId="1" r:id="rId1"/>
    <sheet name="Progress Test" sheetId="7" r:id="rId2"/>
    <sheet name="Nama Proyek" sheetId="2" r:id="rId3"/>
    <sheet name="Sheet3" sheetId="3" r:id="rId4"/>
    <sheet name="Sheet4" sheetId="6" r:id="rId5"/>
    <sheet name="Informasi Umum 2" sheetId="5" state="hidden" r:id="rId6"/>
    <sheet name="Informasi Umum" sheetId="4" r:id="rId7"/>
  </sheets>
  <externalReferences>
    <externalReference r:id="rId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341" i="1" l="1"/>
  <c r="AG1340" i="1"/>
  <c r="AG1339" i="1"/>
  <c r="AG1338" i="1"/>
  <c r="AG1336" i="1"/>
  <c r="AG1337"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34" i="1"/>
  <c r="AG1335"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G36" i="2"/>
  <c r="G37" i="2"/>
  <c r="G34" i="2"/>
  <c r="G35" i="2"/>
  <c r="G33" i="2"/>
  <c r="AE990" i="1"/>
  <c r="AE989" i="1"/>
  <c r="AE39" i="1"/>
  <c r="AE38" i="1"/>
  <c r="AE174" i="1"/>
  <c r="AE1064" i="1"/>
  <c r="AE1043" i="1"/>
  <c r="AE1031" i="1"/>
  <c r="F1009" i="1"/>
  <c r="A2" i="5"/>
  <c r="F1075" i="1"/>
  <c r="F1014" i="1"/>
  <c r="F1015" i="1"/>
  <c r="F1016" i="1"/>
  <c r="F1017" i="1"/>
  <c r="F126" i="1"/>
  <c r="F1020" i="1"/>
  <c r="F1021" i="1"/>
  <c r="F345" i="1"/>
  <c r="F1023" i="1"/>
  <c r="F1024" i="1"/>
  <c r="F252" i="1"/>
  <c r="F1026" i="1"/>
  <c r="F1027" i="1"/>
  <c r="F1028" i="1"/>
  <c r="F1029" i="1"/>
  <c r="F1030" i="1"/>
  <c r="F1031" i="1"/>
  <c r="F1032" i="1"/>
  <c r="F1033" i="1"/>
  <c r="F1034" i="1"/>
  <c r="F1035" i="1"/>
  <c r="F1036" i="1"/>
  <c r="F1037" i="1"/>
  <c r="F1038" i="1"/>
  <c r="F1039" i="1"/>
  <c r="F1040" i="1"/>
  <c r="F1041" i="1"/>
  <c r="F54" i="1"/>
  <c r="F1044" i="1"/>
  <c r="F383" i="1"/>
  <c r="F1046" i="1"/>
  <c r="F1047" i="1"/>
  <c r="F1048" i="1"/>
  <c r="F82" i="1"/>
  <c r="F1050" i="1"/>
  <c r="F83" i="1"/>
  <c r="F1052" i="1"/>
  <c r="F185" i="1"/>
  <c r="F1054" i="1"/>
  <c r="F1055" i="1"/>
  <c r="F1056" i="1"/>
  <c r="F1057" i="1"/>
  <c r="F1058" i="1"/>
  <c r="F1059" i="1"/>
  <c r="F1060" i="1"/>
  <c r="F127" i="1"/>
  <c r="F1062" i="1"/>
  <c r="F1063" i="1"/>
  <c r="F1064" i="1"/>
  <c r="F1065" i="1"/>
  <c r="F1066" i="1"/>
  <c r="F1067" i="1"/>
  <c r="F1068" i="1"/>
  <c r="F1069" i="1"/>
  <c r="F1070" i="1"/>
  <c r="F336" i="1"/>
  <c r="F1072" i="1"/>
  <c r="F137" i="1"/>
  <c r="F12" i="1"/>
  <c r="F14" i="1"/>
  <c r="F58" i="1"/>
  <c r="F80" i="1"/>
  <c r="F59" i="1"/>
  <c r="F62" i="1"/>
  <c r="F128" i="1"/>
  <c r="F60" i="1"/>
  <c r="F63" i="1"/>
  <c r="F64" i="1"/>
  <c r="F65" i="1"/>
  <c r="F162" i="1"/>
  <c r="F66" i="1"/>
  <c r="F111" i="1"/>
  <c r="F56" i="1"/>
  <c r="F61" i="1"/>
  <c r="F84" i="1"/>
  <c r="F150" i="1"/>
  <c r="F163" i="1"/>
  <c r="F130" i="1"/>
  <c r="F186" i="1"/>
  <c r="F67" i="1"/>
  <c r="F149" i="1"/>
  <c r="F176" i="1"/>
  <c r="F177" i="1"/>
  <c r="F106" i="1"/>
  <c r="F68" i="1"/>
  <c r="F69" i="1"/>
  <c r="F70" i="1"/>
  <c r="F71" i="1"/>
  <c r="F72" i="1"/>
  <c r="F73" i="1"/>
  <c r="F178" i="1"/>
  <c r="F85" i="1"/>
  <c r="F741" i="1"/>
  <c r="F829" i="1"/>
  <c r="F477" i="1"/>
  <c r="F517" i="1"/>
  <c r="F55" i="1"/>
  <c r="F79" i="1"/>
  <c r="F77" i="1"/>
  <c r="F75" i="1"/>
  <c r="F76" i="1"/>
  <c r="F74" i="1"/>
  <c r="F164" i="1"/>
  <c r="F179" i="1"/>
  <c r="F180" i="1"/>
  <c r="F78" i="1"/>
  <c r="F181" i="1"/>
  <c r="F133" i="1"/>
  <c r="F86" i="1"/>
  <c r="F89" i="1"/>
  <c r="F102" i="1"/>
  <c r="F107" i="1"/>
  <c r="F108" i="1"/>
  <c r="F109" i="1"/>
  <c r="F110" i="1"/>
  <c r="F165" i="1"/>
  <c r="F113" i="1"/>
  <c r="F112" i="1"/>
  <c r="F116" i="1"/>
  <c r="F117" i="1"/>
  <c r="F166" i="1"/>
  <c r="F119" i="1"/>
  <c r="F120" i="1"/>
  <c r="F121" i="1"/>
  <c r="F122" i="1"/>
  <c r="F123" i="1"/>
  <c r="F124" i="1"/>
  <c r="F118" i="1"/>
  <c r="F125" i="1"/>
  <c r="F167" i="1"/>
  <c r="F183" i="1"/>
  <c r="F184" i="1"/>
  <c r="F81" i="1"/>
  <c r="F188" i="1"/>
  <c r="F182" i="1"/>
  <c r="F11" i="1"/>
  <c r="F239" i="1"/>
  <c r="F240" i="1"/>
  <c r="F138" i="1"/>
  <c r="F139" i="1"/>
  <c r="F140" i="1"/>
  <c r="F199" i="1"/>
  <c r="F144" i="1"/>
  <c r="F52" i="1"/>
  <c r="F145" i="1"/>
  <c r="F146" i="1"/>
  <c r="F151" i="1"/>
  <c r="F152" i="1"/>
  <c r="F153" i="1"/>
  <c r="F10" i="1"/>
  <c r="F104" i="1"/>
  <c r="F168" i="1"/>
  <c r="F169" i="1"/>
  <c r="F170" i="1"/>
  <c r="F203" i="1"/>
  <c r="F15" i="1"/>
  <c r="F41" i="1"/>
  <c r="F42" i="1"/>
  <c r="F171" i="1"/>
  <c r="F230" i="1"/>
  <c r="F154" i="1"/>
  <c r="F155" i="1"/>
  <c r="F148" i="1"/>
  <c r="F156" i="1"/>
  <c r="F172" i="1"/>
  <c r="F173" i="1"/>
  <c r="F241" i="1"/>
  <c r="F269" i="1"/>
  <c r="F272" i="1"/>
  <c r="F174" i="1"/>
  <c r="F175" i="1"/>
  <c r="F291" i="1"/>
  <c r="F34" i="1"/>
  <c r="F309" i="1"/>
  <c r="F292" i="1"/>
  <c r="F337" i="1"/>
  <c r="F18" i="1"/>
  <c r="F394" i="1"/>
  <c r="F506" i="1"/>
  <c r="F626" i="1"/>
  <c r="F44" i="1"/>
  <c r="F290" i="1"/>
  <c r="F189" i="1"/>
  <c r="F190" i="1"/>
  <c r="F191" i="1"/>
  <c r="F365" i="1"/>
  <c r="F417" i="1"/>
  <c r="F507" i="1"/>
  <c r="F141" i="1"/>
  <c r="F142" i="1"/>
  <c r="F143" i="1"/>
  <c r="F198" i="1"/>
  <c r="F318" i="1"/>
  <c r="F319" i="1"/>
  <c r="F200" i="1"/>
  <c r="F201" i="1"/>
  <c r="F346" i="1"/>
  <c r="F370" i="1"/>
  <c r="F206" i="1"/>
  <c r="F717" i="1"/>
  <c r="F231" i="1"/>
  <c r="F652" i="1"/>
  <c r="F434" i="1"/>
  <c r="F739" i="1"/>
  <c r="F379" i="1"/>
  <c r="F204" i="1"/>
  <c r="F205" i="1"/>
  <c r="F207" i="1"/>
  <c r="F208" i="1"/>
  <c r="F748" i="1"/>
  <c r="F827" i="1"/>
  <c r="F9" i="1"/>
  <c r="F212" i="1"/>
  <c r="F273" i="1"/>
  <c r="F47" i="1"/>
  <c r="F293" i="1"/>
  <c r="F196" i="1"/>
  <c r="F197" i="1"/>
  <c r="F16" i="1"/>
  <c r="F17" i="1"/>
  <c r="F20" i="1"/>
  <c r="F21" i="1"/>
  <c r="F23" i="1"/>
  <c r="F24" i="1"/>
  <c r="F25" i="1"/>
  <c r="F830" i="1"/>
  <c r="F22" i="1"/>
  <c r="F26" i="1"/>
  <c r="F27" i="1"/>
  <c r="F28" i="1"/>
  <c r="F29" i="1"/>
  <c r="F30" i="1"/>
  <c r="F411" i="1"/>
  <c r="F347" i="1"/>
  <c r="F213" i="1"/>
  <c r="F215" i="1"/>
  <c r="F216" i="1"/>
  <c r="F217" i="1"/>
  <c r="F218" i="1"/>
  <c r="F219" i="1"/>
  <c r="F220" i="1"/>
  <c r="F221" i="1"/>
  <c r="F222" i="1"/>
  <c r="F223" i="1"/>
  <c r="F224" i="1"/>
  <c r="F225" i="1"/>
  <c r="F214" i="1"/>
  <c r="F421" i="1"/>
  <c r="F535" i="1"/>
  <c r="F229" i="1"/>
  <c r="F232" i="1"/>
  <c r="F233" i="1"/>
  <c r="F440" i="1"/>
  <c r="F234" i="1"/>
  <c r="F235" i="1"/>
  <c r="F236" i="1"/>
  <c r="F457" i="1"/>
  <c r="F242" i="1"/>
  <c r="F237" i="1"/>
  <c r="F226" i="1"/>
  <c r="F238" i="1"/>
  <c r="F227" i="1"/>
  <c r="F270" i="1"/>
  <c r="F925" i="1"/>
  <c r="F243" i="1"/>
  <c r="F271" i="1"/>
  <c r="F246" i="1"/>
  <c r="F247" i="1"/>
  <c r="F248" i="1"/>
  <c r="F249" i="1"/>
  <c r="F250" i="1"/>
  <c r="F251" i="1"/>
  <c r="F408" i="1"/>
  <c r="F490" i="1"/>
  <c r="F491" i="1"/>
  <c r="F546" i="1"/>
  <c r="F948" i="1"/>
  <c r="F594" i="1"/>
  <c r="F482" i="1"/>
  <c r="F606" i="1"/>
  <c r="F550" i="1"/>
  <c r="F936" i="1"/>
  <c r="F688" i="1"/>
  <c r="F294" i="1"/>
  <c r="F483" i="1"/>
  <c r="F295" i="1"/>
  <c r="F48" i="1"/>
  <c r="F749" i="1"/>
  <c r="F492" i="1"/>
  <c r="F349" i="1"/>
  <c r="F661" i="1"/>
  <c r="F49" i="1"/>
  <c r="F50" i="1"/>
  <c r="F46" i="1"/>
  <c r="F45" i="1"/>
  <c r="F51" i="1"/>
  <c r="F380" i="1"/>
  <c r="F244" i="1"/>
  <c r="F57" i="1"/>
  <c r="F320" i="1"/>
  <c r="F967" i="1"/>
  <c r="F105" i="1"/>
  <c r="F275" i="1"/>
  <c r="F276" i="1"/>
  <c r="F277" i="1"/>
  <c r="F281" i="1"/>
  <c r="F278" i="1"/>
  <c r="F279" i="1"/>
  <c r="F282" i="1"/>
  <c r="F280" i="1"/>
  <c r="F283" i="1"/>
  <c r="F284" i="1"/>
  <c r="F478" i="1"/>
  <c r="F479" i="1"/>
  <c r="F288" i="1"/>
  <c r="F296" i="1"/>
  <c r="F297" i="1"/>
  <c r="F298" i="1"/>
  <c r="F299" i="1"/>
  <c r="F300" i="1"/>
  <c r="F301" i="1"/>
  <c r="F493" i="1"/>
  <c r="F805" i="1"/>
  <c r="F613" i="1"/>
  <c r="F350" i="1"/>
  <c r="F430" i="1"/>
  <c r="F755" i="1"/>
  <c r="F536" i="1"/>
  <c r="F330" i="1"/>
  <c r="F387" i="1"/>
  <c r="F90" i="1"/>
  <c r="F33" i="1"/>
  <c r="F36" i="1"/>
  <c r="F37" i="1"/>
  <c r="F388" i="1"/>
  <c r="F38" i="1"/>
  <c r="F467" i="1"/>
  <c r="F39" i="1"/>
  <c r="F693" i="1"/>
  <c r="F468" i="1"/>
  <c r="F469" i="1"/>
  <c r="F304" i="1"/>
  <c r="F591" i="1"/>
  <c r="F745" i="1"/>
  <c r="F868" i="1"/>
  <c r="F305" i="1"/>
  <c r="F306" i="1"/>
  <c r="F307" i="1"/>
  <c r="F614" i="1"/>
  <c r="F311" i="1"/>
  <c r="F157" i="1"/>
  <c r="F158" i="1"/>
  <c r="F91" i="1"/>
  <c r="F321" i="1"/>
  <c r="F92" i="1"/>
  <c r="F322" i="1"/>
  <c r="F333" i="1"/>
  <c r="F710" i="1"/>
  <c r="F93" i="1"/>
  <c r="F94" i="1"/>
  <c r="F315" i="1"/>
  <c r="F95" i="1"/>
  <c r="F402" i="1"/>
  <c r="F537" i="1"/>
  <c r="F310" i="1"/>
  <c r="F323" i="1"/>
  <c r="F324" i="1"/>
  <c r="F312" i="1"/>
  <c r="F771" i="1"/>
  <c r="F329" i="1"/>
  <c r="F331" i="1"/>
  <c r="F419" i="1"/>
  <c r="F332" i="1"/>
  <c r="F96" i="1"/>
  <c r="F134" i="1"/>
  <c r="F340" i="1"/>
  <c r="F338" i="1"/>
  <c r="F135" i="1"/>
  <c r="F351" i="1"/>
  <c r="F592" i="1"/>
  <c r="F352" i="1"/>
  <c r="F722" i="1"/>
  <c r="F353" i="1"/>
  <c r="F904" i="1"/>
  <c r="F354" i="1"/>
  <c r="F355" i="1"/>
  <c r="F686" i="1"/>
  <c r="F356" i="1"/>
  <c r="F494" i="1"/>
  <c r="F556" i="1"/>
  <c r="F360" i="1"/>
  <c r="F692" i="1"/>
  <c r="F557" i="1"/>
  <c r="F750" i="1"/>
  <c r="F97" i="1"/>
  <c r="F98" i="1"/>
  <c r="F366" i="1"/>
  <c r="F371" i="1"/>
  <c r="F367" i="1"/>
  <c r="F372" i="1"/>
  <c r="F373" i="1"/>
  <c r="F374" i="1"/>
  <c r="F375" i="1"/>
  <c r="F341" i="1"/>
  <c r="F361" i="1"/>
  <c r="F538" i="1"/>
  <c r="F530" i="1"/>
  <c r="F531" i="1"/>
  <c r="F99" i="1"/>
  <c r="F100" i="1"/>
  <c r="F376" i="1"/>
  <c r="F495" i="1"/>
  <c r="F806" i="1"/>
  <c r="F381" i="1"/>
  <c r="F816" i="1"/>
  <c r="F382" i="1"/>
  <c r="F723" i="1"/>
  <c r="F136" i="1"/>
  <c r="F1010" i="1"/>
  <c r="F851" i="1"/>
  <c r="F795" i="1"/>
  <c r="F768" i="1"/>
  <c r="F818" i="1"/>
  <c r="F496" i="1"/>
  <c r="F946" i="1"/>
  <c r="F389" i="1"/>
  <c r="F769" i="1"/>
  <c r="F390" i="1"/>
  <c r="F751" i="1"/>
  <c r="F393" i="1"/>
  <c r="F392" i="1"/>
  <c r="F147" i="1"/>
  <c r="F209" i="1"/>
  <c r="F31" i="1"/>
  <c r="F53" i="1"/>
  <c r="F302" i="1"/>
  <c r="F325" i="1"/>
  <c r="F497" i="1"/>
  <c r="F856" i="1"/>
  <c r="F326" i="1"/>
  <c r="F882" i="1"/>
  <c r="F412" i="1"/>
  <c r="F849" i="1"/>
  <c r="F654" i="1"/>
  <c r="F498" i="1"/>
  <c r="F414" i="1"/>
  <c r="F409" i="1"/>
  <c r="F883" i="1"/>
  <c r="F101" i="1"/>
  <c r="F631" i="1"/>
  <c r="F418" i="1"/>
  <c r="F131" i="1"/>
  <c r="F742" i="1"/>
  <c r="F422" i="1"/>
  <c r="F423" i="1"/>
  <c r="F424" i="1"/>
  <c r="F425" i="1"/>
  <c r="F420" i="1"/>
  <c r="F426" i="1"/>
  <c r="F431" i="1"/>
  <c r="F887" i="1"/>
  <c r="F615" i="1"/>
  <c r="F539" i="1"/>
  <c r="F540" i="1"/>
  <c r="F541" i="1"/>
  <c r="F542" i="1"/>
  <c r="F543" i="1"/>
  <c r="F544" i="1"/>
  <c r="F545" i="1"/>
  <c r="F616" i="1"/>
  <c r="F617" i="1"/>
  <c r="F643" i="1"/>
  <c r="F893" i="1"/>
  <c r="F915" i="1"/>
  <c r="F444" i="1"/>
  <c r="F448" i="1"/>
  <c r="F1025" i="1"/>
  <c r="F917" i="1"/>
  <c r="F924" i="1"/>
  <c r="F442" i="1"/>
  <c r="F841" i="1"/>
  <c r="F842" i="1"/>
  <c r="F872" i="1"/>
  <c r="F873" i="1"/>
  <c r="F465" i="1"/>
  <c r="F470" i="1"/>
  <c r="F471" i="1"/>
  <c r="F472" i="1"/>
  <c r="F1042" i="1"/>
  <c r="F1071" i="1"/>
  <c r="F476" i="1"/>
  <c r="F253" i="1"/>
  <c r="F475" i="1"/>
  <c r="F743" i="1"/>
  <c r="F831" i="1"/>
  <c r="F377" i="1"/>
  <c r="F579" i="1"/>
  <c r="F580" i="1"/>
  <c r="F987" i="1"/>
  <c r="F327" i="1"/>
  <c r="F254" i="1"/>
  <c r="F328" i="1"/>
  <c r="F362" i="1"/>
  <c r="F363" i="1"/>
  <c r="F396" i="1"/>
  <c r="F255" i="1"/>
  <c r="F256" i="1"/>
  <c r="F257" i="1"/>
  <c r="F988" i="1"/>
  <c r="F499" i="1"/>
  <c r="F1002" i="1"/>
  <c r="F500" i="1"/>
  <c r="F501" i="1"/>
  <c r="F664" i="1"/>
  <c r="F957" i="1"/>
  <c r="F502" i="1"/>
  <c r="F503" i="1"/>
  <c r="F607" i="1"/>
  <c r="F867" i="1"/>
  <c r="F602" i="1"/>
  <c r="F608" i="1"/>
  <c r="F513" i="1"/>
  <c r="F258" i="1"/>
  <c r="F757" i="1"/>
  <c r="F711" i="1"/>
  <c r="F712" i="1"/>
  <c r="F514" i="1"/>
  <c r="F518" i="1"/>
  <c r="F558" i="1"/>
  <c r="F510" i="1"/>
  <c r="F519" i="1"/>
  <c r="F520" i="1"/>
  <c r="F521" i="1"/>
  <c r="F397" i="1"/>
  <c r="F515" i="1"/>
  <c r="F522" i="1"/>
  <c r="F523" i="1"/>
  <c r="F511" i="1"/>
  <c r="F524" i="1"/>
  <c r="F713" i="1"/>
  <c r="F838" i="1"/>
  <c r="F378" i="1"/>
  <c r="F192" i="1"/>
  <c r="F525" i="1"/>
  <c r="F559" i="1"/>
  <c r="F526" i="1"/>
  <c r="F509" i="1"/>
  <c r="F527" i="1"/>
  <c r="F528" i="1"/>
  <c r="F532" i="1"/>
  <c r="F533" i="1"/>
  <c r="F529" i="1"/>
  <c r="F534" i="1"/>
  <c r="F800" i="1"/>
  <c r="F714" i="1"/>
  <c r="F715" i="1"/>
  <c r="F432" i="1"/>
  <c r="F433" i="1"/>
  <c r="F724" i="1"/>
  <c r="F560" i="1"/>
  <c r="F259" i="1"/>
  <c r="F260" i="1"/>
  <c r="F261" i="1"/>
  <c r="F801" i="1"/>
  <c r="F802" i="1"/>
  <c r="F934" i="1"/>
  <c r="F262" i="1"/>
  <c r="F263" i="1"/>
  <c r="F264" i="1"/>
  <c r="F949" i="1"/>
  <c r="F950" i="1"/>
  <c r="F159" i="1"/>
  <c r="F951" i="1"/>
  <c r="F202" i="1"/>
  <c r="F910" i="1"/>
  <c r="F911" i="1"/>
  <c r="F665" i="1"/>
  <c r="F160" i="1"/>
  <c r="F595" i="1"/>
  <c r="F596" i="1"/>
  <c r="F597" i="1"/>
  <c r="F598" i="1"/>
  <c r="F274" i="1"/>
  <c r="F308" i="1"/>
  <c r="F335" i="1"/>
  <c r="F803" i="1"/>
  <c r="F603" i="1"/>
  <c r="F604" i="1"/>
  <c r="F601" i="1"/>
  <c r="F364" i="1"/>
  <c r="F19" i="1"/>
  <c r="F245" i="1"/>
  <c r="F844" i="1"/>
  <c r="F161" i="1"/>
  <c r="F612" i="1"/>
  <c r="F618" i="1"/>
  <c r="F619" i="1"/>
  <c r="F620" i="1"/>
  <c r="F621" i="1"/>
  <c r="F622" i="1"/>
  <c r="F623" i="1"/>
  <c r="F624" i="1"/>
  <c r="F611" i="1"/>
  <c r="F625" i="1"/>
  <c r="F804" i="1"/>
  <c r="F833" i="1"/>
  <c r="F834" i="1"/>
  <c r="F628" i="1"/>
  <c r="F633" i="1"/>
  <c r="F129" i="1"/>
  <c r="F398" i="1"/>
  <c r="F629" i="1"/>
  <c r="F634" i="1"/>
  <c r="F193" i="1"/>
  <c r="F194" i="1"/>
  <c r="F399" i="1"/>
  <c r="F400" i="1"/>
  <c r="F405" i="1"/>
  <c r="F484" i="1"/>
  <c r="F485" i="1"/>
  <c r="F627" i="1"/>
  <c r="F635" i="1"/>
  <c r="F645" i="1"/>
  <c r="F646" i="1"/>
  <c r="F647" i="1"/>
  <c r="F642" i="1"/>
  <c r="F700" i="1"/>
  <c r="F649" i="1"/>
  <c r="F650" i="1"/>
  <c r="F651" i="1"/>
  <c r="F835" i="1"/>
  <c r="F195" i="1"/>
  <c r="F427" i="1"/>
  <c r="F384" i="1"/>
  <c r="F391" i="1"/>
  <c r="F701" i="1"/>
  <c r="F415" i="1"/>
  <c r="F666" i="1"/>
  <c r="F458" i="1"/>
  <c r="F459" i="1"/>
  <c r="F460" i="1"/>
  <c r="F958" i="1"/>
  <c r="F40" i="1"/>
  <c r="F473" i="1"/>
  <c r="F474" i="1"/>
  <c r="F504" i="1"/>
  <c r="F971" i="1"/>
  <c r="F505" i="1"/>
  <c r="F548" i="1"/>
  <c r="F694" i="1"/>
  <c r="F695" i="1"/>
  <c r="F696" i="1"/>
  <c r="F699" i="1"/>
  <c r="F702" i="1"/>
  <c r="F703" i="1"/>
  <c r="F549" i="1"/>
  <c r="F704" i="1"/>
  <c r="F228" i="1"/>
  <c r="F267" i="1"/>
  <c r="F845" i="1"/>
  <c r="F846" i="1"/>
  <c r="F876" i="1"/>
  <c r="F289" i="1"/>
  <c r="F972" i="1"/>
  <c r="F486" i="1"/>
  <c r="F487" i="1"/>
  <c r="F488" i="1"/>
  <c r="F636" i="1"/>
  <c r="F637" i="1"/>
  <c r="F638" i="1"/>
  <c r="F718" i="1"/>
  <c r="F725" i="1"/>
  <c r="F726" i="1"/>
  <c r="F952" i="1"/>
  <c r="F721" i="1"/>
  <c r="F727" i="1"/>
  <c r="F728" i="1"/>
  <c r="F639" i="1"/>
  <c r="F1003" i="1"/>
  <c r="F450" i="1"/>
  <c r="F313" i="1"/>
  <c r="F719" i="1"/>
  <c r="F729" i="1"/>
  <c r="F730" i="1"/>
  <c r="F738" i="1"/>
  <c r="F428" i="1"/>
  <c r="F303" i="1"/>
  <c r="F187" i="1"/>
  <c r="F640" i="1"/>
  <c r="F744" i="1"/>
  <c r="F740" i="1"/>
  <c r="F953" i="1"/>
  <c r="F599" i="1"/>
  <c r="F600" i="1"/>
  <c r="F609" i="1"/>
  <c r="F610" i="1"/>
  <c r="F551" i="1"/>
  <c r="F2" i="1"/>
  <c r="F3" i="1"/>
  <c r="F4" i="1"/>
  <c r="F552" i="1"/>
  <c r="F937" i="1"/>
  <c r="F938" i="1"/>
  <c r="F774" i="1"/>
  <c r="F776" i="1"/>
  <c r="F777" i="1"/>
  <c r="F778" i="1"/>
  <c r="F775" i="1"/>
  <c r="F779" i="1"/>
  <c r="F780" i="1"/>
  <c r="F782" i="1"/>
  <c r="F783" i="1"/>
  <c r="F781" i="1"/>
  <c r="F784" i="1"/>
  <c r="F785" i="1"/>
  <c r="F641" i="1"/>
  <c r="F689" i="1"/>
  <c r="F690" i="1"/>
  <c r="F697" i="1"/>
  <c r="F316" i="1"/>
  <c r="F555" i="1"/>
  <c r="F561" i="1"/>
  <c r="F562" i="1"/>
  <c r="F563" i="1"/>
  <c r="F564" i="1"/>
  <c r="F565" i="1"/>
  <c r="F698" i="1"/>
  <c r="F731" i="1"/>
  <c r="F732" i="1"/>
  <c r="F733" i="1"/>
  <c r="F734" i="1"/>
  <c r="F735" i="1"/>
  <c r="F339" i="1"/>
  <c r="F369" i="1"/>
  <c r="F758" i="1"/>
  <c r="F877" i="1"/>
  <c r="F878" i="1"/>
  <c r="F912" i="1"/>
  <c r="F736" i="1"/>
  <c r="F211" i="1"/>
  <c r="F786" i="1"/>
  <c r="F416" i="1"/>
  <c r="F737" i="1"/>
  <c r="F746" i="1"/>
  <c r="F747" i="1"/>
  <c r="F869" i="1"/>
  <c r="F385" i="1"/>
  <c r="F5" i="1"/>
  <c r="F6" i="1"/>
  <c r="F7" i="1"/>
  <c r="F870" i="1"/>
  <c r="F772" i="1"/>
  <c r="F773" i="1"/>
  <c r="F406" i="1"/>
  <c r="F913" i="1"/>
  <c r="F914" i="1"/>
  <c r="F940" i="1"/>
  <c r="F941" i="1"/>
  <c r="F581" i="1"/>
  <c r="F456" i="1"/>
  <c r="F807" i="1"/>
  <c r="F808" i="1"/>
  <c r="F811" i="1"/>
  <c r="F812" i="1"/>
  <c r="F809" i="1"/>
  <c r="F810" i="1"/>
  <c r="F813" i="1"/>
  <c r="F814" i="1"/>
  <c r="F817" i="1"/>
  <c r="F464" i="1"/>
  <c r="F815" i="1"/>
  <c r="F582" i="1"/>
  <c r="F435" i="1"/>
  <c r="F436" i="1"/>
  <c r="F1011" i="1"/>
  <c r="F819" i="1"/>
  <c r="F820" i="1"/>
  <c r="F821" i="1"/>
  <c r="F822" i="1"/>
  <c r="F823" i="1"/>
  <c r="F836" i="1"/>
  <c r="F828" i="1"/>
  <c r="F481" i="1"/>
  <c r="F512" i="1"/>
  <c r="F790" i="1"/>
  <c r="F791" i="1"/>
  <c r="F210" i="1"/>
  <c r="F132" i="1"/>
  <c r="F954" i="1"/>
  <c r="F959" i="1"/>
  <c r="F847" i="1"/>
  <c r="F566" i="1"/>
  <c r="F589" i="1"/>
  <c r="F905" i="1"/>
  <c r="F1012" i="1"/>
  <c r="F796" i="1"/>
  <c r="F593" i="1"/>
  <c r="F630" i="1"/>
  <c r="F13" i="1"/>
  <c r="F43" i="1"/>
  <c r="F32" i="1"/>
  <c r="F993" i="1"/>
  <c r="F848" i="1"/>
  <c r="F687" i="1"/>
  <c r="F797" i="1"/>
  <c r="F824" i="1"/>
  <c r="F825" i="1"/>
  <c r="F850" i="1"/>
  <c r="F705" i="1"/>
  <c r="F708" i="1"/>
  <c r="F567" i="1"/>
  <c r="F855" i="1"/>
  <c r="F857" i="1"/>
  <c r="F858" i="1"/>
  <c r="F568" i="1"/>
  <c r="F861" i="1"/>
  <c r="F862" i="1"/>
  <c r="F863" i="1"/>
  <c r="F864" i="1"/>
  <c r="F865" i="1"/>
  <c r="F438" i="1"/>
  <c r="F439" i="1"/>
  <c r="F826" i="1"/>
  <c r="F890" i="1"/>
  <c r="F752" i="1"/>
  <c r="F342" i="1"/>
  <c r="F386" i="1"/>
  <c r="F994" i="1"/>
  <c r="F314" i="1"/>
  <c r="F368" i="1"/>
  <c r="F407" i="1"/>
  <c r="F553" i="1"/>
  <c r="F880" i="1"/>
  <c r="F798" i="1"/>
  <c r="F884" i="1"/>
  <c r="F885" i="1"/>
  <c r="F881" i="1"/>
  <c r="F886" i="1"/>
  <c r="F569" i="1"/>
  <c r="F437" i="1"/>
  <c r="F889" i="1"/>
  <c r="F891" i="1"/>
  <c r="F268" i="1"/>
  <c r="F892" i="1"/>
  <c r="F894" i="1"/>
  <c r="F895" i="1"/>
  <c r="F896" i="1"/>
  <c r="F897" i="1"/>
  <c r="F898" i="1"/>
  <c r="F753" i="1"/>
  <c r="F852" i="1"/>
  <c r="F853" i="1"/>
  <c r="F903" i="1"/>
  <c r="F570" i="1"/>
  <c r="F441" i="1"/>
  <c r="F571" i="1"/>
  <c r="F572" i="1"/>
  <c r="F573" i="1"/>
  <c r="F489" i="1"/>
  <c r="F508" i="1"/>
  <c r="F866" i="1"/>
  <c r="F466" i="1"/>
  <c r="F590" i="1"/>
  <c r="F935" i="1"/>
  <c r="F787" i="1"/>
  <c r="F605" i="1"/>
  <c r="F706" i="1"/>
  <c r="F839" i="1"/>
  <c r="F655" i="1"/>
  <c r="F899" i="1"/>
  <c r="F900" i="1"/>
  <c r="F854" i="1"/>
  <c r="F879" i="1"/>
  <c r="F837" i="1"/>
  <c r="F859" i="1"/>
  <c r="F926" i="1"/>
  <c r="F927" i="1"/>
  <c r="F928" i="1"/>
  <c r="F931" i="1"/>
  <c r="F930" i="1"/>
  <c r="F932" i="1"/>
  <c r="F933" i="1"/>
  <c r="F906" i="1"/>
  <c r="F574" i="1"/>
  <c r="F554" i="1"/>
  <c r="F799" i="1"/>
  <c r="F843" i="1"/>
  <c r="F921" i="1"/>
  <c r="F943" i="1"/>
  <c r="F944" i="1"/>
  <c r="F945" i="1"/>
  <c r="F443" i="1"/>
  <c r="F875" i="1"/>
  <c r="F583" i="1"/>
  <c r="F907" i="1"/>
  <c r="F923" i="1"/>
  <c r="F908" i="1"/>
  <c r="F575" i="1"/>
  <c r="F584" i="1"/>
  <c r="F577" i="1"/>
  <c r="F585" i="1"/>
  <c r="F576" i="1"/>
  <c r="F586" i="1"/>
  <c r="F983" i="1"/>
  <c r="F287" i="1"/>
  <c r="F317" i="1"/>
  <c r="F343" i="1"/>
  <c r="F770" i="1"/>
  <c r="F792" i="1"/>
  <c r="F670" i="1"/>
  <c r="F860" i="1"/>
  <c r="F888" i="1"/>
  <c r="F671" i="1"/>
  <c r="F929" i="1"/>
  <c r="F840" i="1"/>
  <c r="F672" i="1"/>
  <c r="F673" i="1"/>
  <c r="F429" i="1"/>
  <c r="F674" i="1"/>
  <c r="F675" i="1"/>
  <c r="F656" i="1"/>
  <c r="F676" i="1"/>
  <c r="F677" i="1"/>
  <c r="F678" i="1"/>
  <c r="F659" i="1"/>
  <c r="F662" i="1"/>
  <c r="F679" i="1"/>
  <c r="F657" i="1"/>
  <c r="F680" i="1"/>
  <c r="F681" i="1"/>
  <c r="F965" i="1"/>
  <c r="F754" i="1"/>
  <c r="F939" i="1"/>
  <c r="F960" i="1"/>
  <c r="F961" i="1"/>
  <c r="F955" i="1"/>
  <c r="F578" i="1"/>
  <c r="F962" i="1"/>
  <c r="F963" i="1"/>
  <c r="F874" i="1"/>
  <c r="F966" i="1"/>
  <c r="F964" i="1"/>
  <c r="F975" i="1"/>
  <c r="F970" i="1"/>
  <c r="F909" i="1"/>
  <c r="F976" i="1"/>
  <c r="F682" i="1"/>
  <c r="F683" i="1"/>
  <c r="F977" i="1"/>
  <c r="F978" i="1"/>
  <c r="F968" i="1"/>
  <c r="F979" i="1"/>
  <c r="F980" i="1"/>
  <c r="F981" i="1"/>
  <c r="F516" i="1"/>
  <c r="F969" i="1"/>
  <c r="F547" i="1"/>
  <c r="F709" i="1"/>
  <c r="F1000" i="1"/>
  <c r="F1018" i="1"/>
  <c r="F984" i="1"/>
  <c r="F1019" i="1"/>
  <c r="F985" i="1"/>
  <c r="F922" i="1"/>
  <c r="F942" i="1"/>
  <c r="F445" i="1"/>
  <c r="F982" i="1"/>
  <c r="F759" i="1"/>
  <c r="F588" i="1"/>
  <c r="F587" i="1"/>
  <c r="F990" i="1"/>
  <c r="F991" i="1"/>
  <c r="F1022" i="1"/>
  <c r="F1045" i="1"/>
  <c r="F992" i="1"/>
  <c r="F995" i="1"/>
  <c r="F996" i="1"/>
  <c r="F997" i="1"/>
  <c r="F998" i="1"/>
  <c r="F999" i="1"/>
  <c r="F660" i="1"/>
  <c r="F1051" i="1"/>
  <c r="F1053" i="1"/>
  <c r="F1001" i="1"/>
  <c r="F1004" i="1"/>
  <c r="F1005" i="1"/>
  <c r="F1006" i="1"/>
  <c r="F1007" i="1"/>
  <c r="F1008" i="1"/>
  <c r="F446" i="1"/>
  <c r="F451" i="1"/>
  <c r="F452" i="1"/>
  <c r="F453" i="1"/>
  <c r="F454" i="1"/>
  <c r="F449" i="1"/>
  <c r="F455" i="1"/>
  <c r="F956" i="1"/>
  <c r="F684" i="1"/>
  <c r="F685" i="1"/>
  <c r="F1061" i="1"/>
  <c r="F760" i="1"/>
  <c r="F761" i="1"/>
  <c r="F762" i="1"/>
  <c r="F447" i="1"/>
  <c r="F766" i="1"/>
  <c r="F767" i="1"/>
  <c r="F720" i="1"/>
  <c r="F788" i="1"/>
  <c r="F658" i="1"/>
  <c r="F986" i="1"/>
  <c r="F789" i="1"/>
  <c r="F1049" i="1"/>
  <c r="F1078" i="1"/>
  <c r="F1079" i="1"/>
  <c r="F1081" i="1"/>
  <c r="F1083" i="1"/>
  <c r="F1087" i="1"/>
  <c r="F1088" i="1"/>
  <c r="F1091" i="1"/>
  <c r="F1092" i="1"/>
  <c r="C1073" i="1"/>
  <c r="C1075" i="1"/>
  <c r="C1014" i="1"/>
  <c r="C1015" i="1"/>
  <c r="C1016" i="1"/>
  <c r="C1017" i="1"/>
  <c r="C126" i="1"/>
  <c r="C1020" i="1"/>
  <c r="C1021" i="1"/>
  <c r="C345" i="1"/>
  <c r="C1023" i="1"/>
  <c r="C1024" i="1"/>
  <c r="C252" i="1"/>
  <c r="C1026" i="1"/>
  <c r="C1027" i="1"/>
  <c r="C1028" i="1"/>
  <c r="C1029" i="1"/>
  <c r="C1030" i="1"/>
  <c r="C1031" i="1"/>
  <c r="C1032" i="1"/>
  <c r="C1033" i="1"/>
  <c r="C1034" i="1"/>
  <c r="C1035" i="1"/>
  <c r="C1036" i="1"/>
  <c r="C1037" i="1"/>
  <c r="C1038" i="1"/>
  <c r="C1039" i="1"/>
  <c r="C1040" i="1"/>
  <c r="C1041" i="1"/>
  <c r="C54" i="1"/>
  <c r="C1043" i="1"/>
  <c r="C1044" i="1"/>
  <c r="C383" i="1"/>
  <c r="C1046" i="1"/>
  <c r="C1047" i="1"/>
  <c r="C1048" i="1"/>
  <c r="C82" i="1"/>
  <c r="C1050" i="1"/>
  <c r="C83" i="1"/>
  <c r="C1052" i="1"/>
  <c r="C185" i="1"/>
  <c r="C1054" i="1"/>
  <c r="C1055" i="1"/>
  <c r="C1056" i="1"/>
  <c r="C1057" i="1"/>
  <c r="C1058" i="1"/>
  <c r="C1059" i="1"/>
  <c r="C1060" i="1"/>
  <c r="C127" i="1"/>
  <c r="C1062" i="1"/>
  <c r="C1063" i="1"/>
  <c r="C1064" i="1"/>
  <c r="C1065" i="1"/>
  <c r="C1066" i="1"/>
  <c r="C1067" i="1"/>
  <c r="C1068" i="1"/>
  <c r="C1069" i="1"/>
  <c r="C1070" i="1"/>
  <c r="C336" i="1"/>
  <c r="C1072" i="1"/>
  <c r="C137" i="1"/>
  <c r="C12" i="1"/>
  <c r="C14" i="1"/>
  <c r="C58" i="1"/>
  <c r="C80" i="1"/>
  <c r="C59" i="1"/>
  <c r="C62" i="1"/>
  <c r="C128" i="1"/>
  <c r="C60" i="1"/>
  <c r="C63" i="1"/>
  <c r="C64" i="1"/>
  <c r="C65" i="1"/>
  <c r="C162" i="1"/>
  <c r="C66" i="1"/>
  <c r="C111" i="1"/>
  <c r="C56" i="1"/>
  <c r="C61" i="1"/>
  <c r="C84" i="1"/>
  <c r="C150" i="1"/>
  <c r="C103" i="1"/>
  <c r="C163" i="1"/>
  <c r="C130" i="1"/>
  <c r="C186" i="1"/>
  <c r="C67" i="1"/>
  <c r="C149" i="1"/>
  <c r="C176" i="1"/>
  <c r="C177" i="1"/>
  <c r="C106" i="1"/>
  <c r="C68" i="1"/>
  <c r="C69" i="1"/>
  <c r="C70" i="1"/>
  <c r="C71" i="1"/>
  <c r="C72" i="1"/>
  <c r="C73" i="1"/>
  <c r="C178" i="1"/>
  <c r="C85" i="1"/>
  <c r="C741" i="1"/>
  <c r="C265" i="1"/>
  <c r="C829" i="1"/>
  <c r="C477" i="1"/>
  <c r="C517" i="1"/>
  <c r="C55" i="1"/>
  <c r="C79" i="1"/>
  <c r="C77" i="1"/>
  <c r="C75" i="1"/>
  <c r="C76" i="1"/>
  <c r="C74" i="1"/>
  <c r="C164" i="1"/>
  <c r="C179" i="1"/>
  <c r="C180" i="1"/>
  <c r="C78" i="1"/>
  <c r="C181" i="1"/>
  <c r="C133" i="1"/>
  <c r="C86" i="1"/>
  <c r="C87" i="1"/>
  <c r="C88" i="1"/>
  <c r="C89" i="1"/>
  <c r="C102" i="1"/>
  <c r="C107" i="1"/>
  <c r="C108" i="1"/>
  <c r="C109" i="1"/>
  <c r="C110" i="1"/>
  <c r="C165" i="1"/>
  <c r="C113" i="1"/>
  <c r="C112" i="1"/>
  <c r="C114" i="1"/>
  <c r="C115" i="1"/>
  <c r="C116" i="1"/>
  <c r="C117" i="1"/>
  <c r="C166" i="1"/>
  <c r="C119" i="1"/>
  <c r="C120" i="1"/>
  <c r="C121" i="1"/>
  <c r="C122" i="1"/>
  <c r="C123" i="1"/>
  <c r="C410" i="1"/>
  <c r="C124" i="1"/>
  <c r="C118" i="1"/>
  <c r="C125" i="1"/>
  <c r="C167" i="1"/>
  <c r="C183" i="1"/>
  <c r="C184" i="1"/>
  <c r="C81" i="1"/>
  <c r="C188" i="1"/>
  <c r="C182" i="1"/>
  <c r="C11" i="1"/>
  <c r="C239" i="1"/>
  <c r="C240" i="1"/>
  <c r="C138" i="1"/>
  <c r="C139" i="1"/>
  <c r="C140" i="1"/>
  <c r="C199" i="1"/>
  <c r="C144" i="1"/>
  <c r="C52" i="1"/>
  <c r="C145" i="1"/>
  <c r="C146" i="1"/>
  <c r="C151" i="1"/>
  <c r="C152" i="1"/>
  <c r="C153" i="1"/>
  <c r="C10" i="1"/>
  <c r="C104" i="1"/>
  <c r="C168" i="1"/>
  <c r="C169" i="1"/>
  <c r="C170" i="1"/>
  <c r="C203" i="1"/>
  <c r="C15" i="1"/>
  <c r="C41" i="1"/>
  <c r="C42" i="1"/>
  <c r="C171" i="1"/>
  <c r="C230" i="1"/>
  <c r="C154" i="1"/>
  <c r="C155" i="1"/>
  <c r="C148" i="1"/>
  <c r="C156" i="1"/>
  <c r="C172" i="1"/>
  <c r="C173" i="1"/>
  <c r="C241" i="1"/>
  <c r="C269" i="1"/>
  <c r="C272" i="1"/>
  <c r="C174" i="1"/>
  <c r="C175" i="1"/>
  <c r="C291" i="1"/>
  <c r="C34" i="1"/>
  <c r="C309" i="1"/>
  <c r="C292" i="1"/>
  <c r="C337" i="1"/>
  <c r="C18" i="1"/>
  <c r="C394" i="1"/>
  <c r="C506" i="1"/>
  <c r="C626" i="1"/>
  <c r="C44" i="1"/>
  <c r="C290" i="1"/>
  <c r="C189" i="1"/>
  <c r="C190" i="1"/>
  <c r="C191" i="1"/>
  <c r="C365" i="1"/>
  <c r="C417" i="1"/>
  <c r="C507" i="1"/>
  <c r="C141" i="1"/>
  <c r="C142" i="1"/>
  <c r="C143" i="1"/>
  <c r="C198" i="1"/>
  <c r="C318" i="1"/>
  <c r="C319" i="1"/>
  <c r="C200" i="1"/>
  <c r="C201" i="1"/>
  <c r="C346" i="1"/>
  <c r="C370" i="1"/>
  <c r="C206" i="1"/>
  <c r="C717" i="1"/>
  <c r="C231" i="1"/>
  <c r="C652" i="1"/>
  <c r="C434" i="1"/>
  <c r="C739" i="1"/>
  <c r="C379" i="1"/>
  <c r="C8" i="1"/>
  <c r="C204" i="1"/>
  <c r="C205" i="1"/>
  <c r="C207" i="1"/>
  <c r="C208" i="1"/>
  <c r="C748" i="1"/>
  <c r="C827" i="1"/>
  <c r="C9" i="1"/>
  <c r="C212" i="1"/>
  <c r="C273" i="1"/>
  <c r="C47" i="1"/>
  <c r="C293" i="1"/>
  <c r="C35" i="1"/>
  <c r="C196" i="1"/>
  <c r="C197" i="1"/>
  <c r="C16" i="1"/>
  <c r="C17" i="1"/>
  <c r="C20" i="1"/>
  <c r="C21" i="1"/>
  <c r="C23" i="1"/>
  <c r="C24" i="1"/>
  <c r="C25" i="1"/>
  <c r="C830" i="1"/>
  <c r="C22" i="1"/>
  <c r="C26" i="1"/>
  <c r="C27" i="1"/>
  <c r="C28" i="1"/>
  <c r="C29" i="1"/>
  <c r="C30" i="1"/>
  <c r="C411" i="1"/>
  <c r="C347" i="1"/>
  <c r="C213" i="1"/>
  <c r="C215" i="1"/>
  <c r="C216" i="1"/>
  <c r="C217" i="1"/>
  <c r="C218" i="1"/>
  <c r="C219" i="1"/>
  <c r="C220" i="1"/>
  <c r="C221" i="1"/>
  <c r="C222" i="1"/>
  <c r="C223" i="1"/>
  <c r="C224" i="1"/>
  <c r="C225" i="1"/>
  <c r="C214" i="1"/>
  <c r="C421" i="1"/>
  <c r="C535" i="1"/>
  <c r="C229" i="1"/>
  <c r="C232" i="1"/>
  <c r="C233" i="1"/>
  <c r="C440" i="1"/>
  <c r="C234" i="1"/>
  <c r="C235" i="1"/>
  <c r="C236" i="1"/>
  <c r="C457" i="1"/>
  <c r="C242" i="1"/>
  <c r="C237" i="1"/>
  <c r="C226" i="1"/>
  <c r="C238" i="1"/>
  <c r="C227" i="1"/>
  <c r="C270" i="1"/>
  <c r="C925" i="1"/>
  <c r="C243" i="1"/>
  <c r="C271" i="1"/>
  <c r="C246" i="1"/>
  <c r="C247" i="1"/>
  <c r="C248" i="1"/>
  <c r="C249" i="1"/>
  <c r="C250" i="1"/>
  <c r="C251" i="1"/>
  <c r="C408" i="1"/>
  <c r="C490" i="1"/>
  <c r="C491" i="1"/>
  <c r="C546" i="1"/>
  <c r="C948" i="1"/>
  <c r="C594" i="1"/>
  <c r="C482" i="1"/>
  <c r="C606" i="1"/>
  <c r="C550" i="1"/>
  <c r="C936" i="1"/>
  <c r="C688" i="1"/>
  <c r="C294" i="1"/>
  <c r="C483" i="1"/>
  <c r="C295" i="1"/>
  <c r="C48" i="1"/>
  <c r="C749" i="1"/>
  <c r="C348" i="1"/>
  <c r="C492" i="1"/>
  <c r="C349" i="1"/>
  <c r="C661" i="1"/>
  <c r="C49" i="1"/>
  <c r="C50" i="1"/>
  <c r="C46" i="1"/>
  <c r="C45" i="1"/>
  <c r="C51" i="1"/>
  <c r="C380" i="1"/>
  <c r="C244" i="1"/>
  <c r="C57" i="1"/>
  <c r="C320" i="1"/>
  <c r="C967" i="1"/>
  <c r="C105" i="1"/>
  <c r="C275" i="1"/>
  <c r="C276" i="1"/>
  <c r="C277" i="1"/>
  <c r="C281" i="1"/>
  <c r="C278" i="1"/>
  <c r="C279" i="1"/>
  <c r="C282" i="1"/>
  <c r="C280" i="1"/>
  <c r="C283" i="1"/>
  <c r="C284" i="1"/>
  <c r="C285" i="1"/>
  <c r="C286" i="1"/>
  <c r="C478" i="1"/>
  <c r="C479" i="1"/>
  <c r="C288" i="1"/>
  <c r="C296" i="1"/>
  <c r="C297" i="1"/>
  <c r="C298" i="1"/>
  <c r="C299" i="1"/>
  <c r="C300" i="1"/>
  <c r="C301" i="1"/>
  <c r="C493" i="1"/>
  <c r="C805" i="1"/>
  <c r="C613" i="1"/>
  <c r="C350" i="1"/>
  <c r="C430" i="1"/>
  <c r="C755" i="1"/>
  <c r="C536" i="1"/>
  <c r="C330" i="1"/>
  <c r="C387" i="1"/>
  <c r="C90" i="1"/>
  <c r="C33" i="1"/>
  <c r="C36" i="1"/>
  <c r="C37" i="1"/>
  <c r="C388" i="1"/>
  <c r="C38" i="1"/>
  <c r="C467" i="1"/>
  <c r="C39" i="1"/>
  <c r="C693" i="1"/>
  <c r="C468" i="1"/>
  <c r="C469" i="1"/>
  <c r="C304" i="1"/>
  <c r="C591" i="1"/>
  <c r="C745" i="1"/>
  <c r="C868" i="1"/>
  <c r="C305" i="1"/>
  <c r="C306" i="1"/>
  <c r="C307" i="1"/>
  <c r="C614" i="1"/>
  <c r="C311" i="1"/>
  <c r="C157" i="1"/>
  <c r="C158" i="1"/>
  <c r="C91" i="1"/>
  <c r="C321" i="1"/>
  <c r="C92" i="1"/>
  <c r="C322" i="1"/>
  <c r="C333" i="1"/>
  <c r="C710" i="1"/>
  <c r="C93" i="1"/>
  <c r="C94" i="1"/>
  <c r="C315" i="1"/>
  <c r="C95" i="1"/>
  <c r="C402" i="1"/>
  <c r="C537" i="1"/>
  <c r="C310" i="1"/>
  <c r="C323" i="1"/>
  <c r="C324" i="1"/>
  <c r="C312" i="1"/>
  <c r="C771" i="1"/>
  <c r="C334" i="1"/>
  <c r="C329" i="1"/>
  <c r="C331" i="1"/>
  <c r="C419" i="1"/>
  <c r="C332" i="1"/>
  <c r="C96" i="1"/>
  <c r="C134" i="1"/>
  <c r="C340" i="1"/>
  <c r="C338" i="1"/>
  <c r="C135" i="1"/>
  <c r="C351" i="1"/>
  <c r="C592" i="1"/>
  <c r="C352" i="1"/>
  <c r="C722" i="1"/>
  <c r="C353" i="1"/>
  <c r="C904" i="1"/>
  <c r="C354" i="1"/>
  <c r="C355" i="1"/>
  <c r="C686" i="1"/>
  <c r="C356" i="1"/>
  <c r="C357" i="1"/>
  <c r="C494" i="1"/>
  <c r="C358" i="1"/>
  <c r="C359" i="1"/>
  <c r="C556" i="1"/>
  <c r="C360" i="1"/>
  <c r="C692" i="1"/>
  <c r="C557" i="1"/>
  <c r="C750" i="1"/>
  <c r="C97" i="1"/>
  <c r="C98" i="1"/>
  <c r="C366" i="1"/>
  <c r="C371" i="1"/>
  <c r="C367" i="1"/>
  <c r="C372" i="1"/>
  <c r="C373" i="1"/>
  <c r="C374" i="1"/>
  <c r="C375" i="1"/>
  <c r="C341" i="1"/>
  <c r="C361" i="1"/>
  <c r="C344" i="1"/>
  <c r="C538" i="1"/>
  <c r="C530" i="1"/>
  <c r="C531" i="1"/>
  <c r="C99" i="1"/>
  <c r="C100" i="1"/>
  <c r="C376" i="1"/>
  <c r="C495" i="1"/>
  <c r="C806" i="1"/>
  <c r="C381" i="1"/>
  <c r="C816" i="1"/>
  <c r="C382" i="1"/>
  <c r="C723" i="1"/>
  <c r="C136" i="1"/>
  <c r="C1010" i="1"/>
  <c r="C851" i="1"/>
  <c r="C795" i="1"/>
  <c r="C768" i="1"/>
  <c r="C818" i="1"/>
  <c r="C496" i="1"/>
  <c r="C946" i="1"/>
  <c r="C389" i="1"/>
  <c r="C769" i="1"/>
  <c r="C390" i="1"/>
  <c r="C793" i="1"/>
  <c r="C794" i="1"/>
  <c r="C751" i="1"/>
  <c r="C393" i="1"/>
  <c r="C392" i="1"/>
  <c r="C395" i="1"/>
  <c r="C147" i="1"/>
  <c r="C209" i="1"/>
  <c r="C31" i="1"/>
  <c r="C53" i="1"/>
  <c r="C302" i="1"/>
  <c r="C325" i="1"/>
  <c r="C401" i="1"/>
  <c r="C403" i="1"/>
  <c r="C404" i="1"/>
  <c r="C497" i="1"/>
  <c r="C856" i="1"/>
  <c r="C326" i="1"/>
  <c r="C882" i="1"/>
  <c r="C412" i="1"/>
  <c r="C849" i="1"/>
  <c r="C654" i="1"/>
  <c r="C498" i="1"/>
  <c r="C413" i="1"/>
  <c r="C414" i="1"/>
  <c r="C409" i="1"/>
  <c r="C883" i="1"/>
  <c r="C101" i="1"/>
  <c r="C631" i="1"/>
  <c r="C418" i="1"/>
  <c r="C131" i="1"/>
  <c r="C742" i="1"/>
  <c r="C422" i="1"/>
  <c r="C423" i="1"/>
  <c r="C424" i="1"/>
  <c r="C425" i="1"/>
  <c r="C420" i="1"/>
  <c r="C426" i="1"/>
  <c r="C431" i="1"/>
  <c r="C887" i="1"/>
  <c r="C615" i="1"/>
  <c r="C539" i="1"/>
  <c r="C540" i="1"/>
  <c r="C541" i="1"/>
  <c r="C542" i="1"/>
  <c r="C543" i="1"/>
  <c r="C544" i="1"/>
  <c r="C545" i="1"/>
  <c r="C616" i="1"/>
  <c r="C617" i="1"/>
  <c r="C643" i="1"/>
  <c r="C893" i="1"/>
  <c r="C915" i="1"/>
  <c r="C444" i="1"/>
  <c r="C448" i="1"/>
  <c r="C1025" i="1"/>
  <c r="C917" i="1"/>
  <c r="C924" i="1"/>
  <c r="C462" i="1"/>
  <c r="C461" i="1"/>
  <c r="C463" i="1"/>
  <c r="C442" i="1"/>
  <c r="C841" i="1"/>
  <c r="C842" i="1"/>
  <c r="C872" i="1"/>
  <c r="C873" i="1"/>
  <c r="C465" i="1"/>
  <c r="C470" i="1"/>
  <c r="C471" i="1"/>
  <c r="C472" i="1"/>
  <c r="C1042" i="1"/>
  <c r="C1071" i="1"/>
  <c r="C476" i="1"/>
  <c r="C253" i="1"/>
  <c r="C475" i="1"/>
  <c r="C743" i="1"/>
  <c r="C831" i="1"/>
  <c r="C377" i="1"/>
  <c r="C579" i="1"/>
  <c r="C580" i="1"/>
  <c r="C987" i="1"/>
  <c r="C327" i="1"/>
  <c r="C254" i="1"/>
  <c r="C328" i="1"/>
  <c r="C362" i="1"/>
  <c r="C363" i="1"/>
  <c r="C396" i="1"/>
  <c r="C255" i="1"/>
  <c r="C256" i="1"/>
  <c r="C257" i="1"/>
  <c r="C988" i="1"/>
  <c r="C499" i="1"/>
  <c r="C1002" i="1"/>
  <c r="C500" i="1"/>
  <c r="C501" i="1"/>
  <c r="C664" i="1"/>
  <c r="C957" i="1"/>
  <c r="C502" i="1"/>
  <c r="C503" i="1"/>
  <c r="C607" i="1"/>
  <c r="C867" i="1"/>
  <c r="C602" i="1"/>
  <c r="C608" i="1"/>
  <c r="C513" i="1"/>
  <c r="C258" i="1"/>
  <c r="C757" i="1"/>
  <c r="C711" i="1"/>
  <c r="C712" i="1"/>
  <c r="C514" i="1"/>
  <c r="C518" i="1"/>
  <c r="C558" i="1"/>
  <c r="C510" i="1"/>
  <c r="C519" i="1"/>
  <c r="C520" i="1"/>
  <c r="C521" i="1"/>
  <c r="C397" i="1"/>
  <c r="C515" i="1"/>
  <c r="C522" i="1"/>
  <c r="C523" i="1"/>
  <c r="C511" i="1"/>
  <c r="C524" i="1"/>
  <c r="C713" i="1"/>
  <c r="C838" i="1"/>
  <c r="C378" i="1"/>
  <c r="C192" i="1"/>
  <c r="C525" i="1"/>
  <c r="C559" i="1"/>
  <c r="C526" i="1"/>
  <c r="C509" i="1"/>
  <c r="C527" i="1"/>
  <c r="C528" i="1"/>
  <c r="C532" i="1"/>
  <c r="C533" i="1"/>
  <c r="C529" i="1"/>
  <c r="C534" i="1"/>
  <c r="C800" i="1"/>
  <c r="C714" i="1"/>
  <c r="C715" i="1"/>
  <c r="C432" i="1"/>
  <c r="C433" i="1"/>
  <c r="C724" i="1"/>
  <c r="C560" i="1"/>
  <c r="C259" i="1"/>
  <c r="C260" i="1"/>
  <c r="C261" i="1"/>
  <c r="C801" i="1"/>
  <c r="C802" i="1"/>
  <c r="C934" i="1"/>
  <c r="C262" i="1"/>
  <c r="C263" i="1"/>
  <c r="C264" i="1"/>
  <c r="C947" i="1"/>
  <c r="C949" i="1"/>
  <c r="C950" i="1"/>
  <c r="C159" i="1"/>
  <c r="C951" i="1"/>
  <c r="C202" i="1"/>
  <c r="C910" i="1"/>
  <c r="C911" i="1"/>
  <c r="C665" i="1"/>
  <c r="C160" i="1"/>
  <c r="C595" i="1"/>
  <c r="C596" i="1"/>
  <c r="C597" i="1"/>
  <c r="C598" i="1"/>
  <c r="C274" i="1"/>
  <c r="C308" i="1"/>
  <c r="C335" i="1"/>
  <c r="C803" i="1"/>
  <c r="C603" i="1"/>
  <c r="C604" i="1"/>
  <c r="C601" i="1"/>
  <c r="C364" i="1"/>
  <c r="C19" i="1"/>
  <c r="C245" i="1"/>
  <c r="C844" i="1"/>
  <c r="C161" i="1"/>
  <c r="C612" i="1"/>
  <c r="C618" i="1"/>
  <c r="C619" i="1"/>
  <c r="C620" i="1"/>
  <c r="C621" i="1"/>
  <c r="C622" i="1"/>
  <c r="C623" i="1"/>
  <c r="C624" i="1"/>
  <c r="C611" i="1"/>
  <c r="C625" i="1"/>
  <c r="C832" i="1"/>
  <c r="C804" i="1"/>
  <c r="C833" i="1"/>
  <c r="C834" i="1"/>
  <c r="C628" i="1"/>
  <c r="C632" i="1"/>
  <c r="C633" i="1"/>
  <c r="C129" i="1"/>
  <c r="C398" i="1"/>
  <c r="C629" i="1"/>
  <c r="C634" i="1"/>
  <c r="C193" i="1"/>
  <c r="C194" i="1"/>
  <c r="C399" i="1"/>
  <c r="C400" i="1"/>
  <c r="C405" i="1"/>
  <c r="C484" i="1"/>
  <c r="C485" i="1"/>
  <c r="C627" i="1"/>
  <c r="C635" i="1"/>
  <c r="C644" i="1"/>
  <c r="C645" i="1"/>
  <c r="C646" i="1"/>
  <c r="C647" i="1"/>
  <c r="C642" i="1"/>
  <c r="C700" i="1"/>
  <c r="C648" i="1"/>
  <c r="C649" i="1"/>
  <c r="C650" i="1"/>
  <c r="C651" i="1"/>
  <c r="C835" i="1"/>
  <c r="C195" i="1"/>
  <c r="C427" i="1"/>
  <c r="C384" i="1"/>
  <c r="C391" i="1"/>
  <c r="C701" i="1"/>
  <c r="C415" i="1"/>
  <c r="C666" i="1"/>
  <c r="C458" i="1"/>
  <c r="C459" i="1"/>
  <c r="C460" i="1"/>
  <c r="C958" i="1"/>
  <c r="C40" i="1"/>
  <c r="C473" i="1"/>
  <c r="C474" i="1"/>
  <c r="C504" i="1"/>
  <c r="C691" i="1"/>
  <c r="C971" i="1"/>
  <c r="C505" i="1"/>
  <c r="C548" i="1"/>
  <c r="C694" i="1"/>
  <c r="C695" i="1"/>
  <c r="C696" i="1"/>
  <c r="C699" i="1"/>
  <c r="C702" i="1"/>
  <c r="C703" i="1"/>
  <c r="C549" i="1"/>
  <c r="C704" i="1"/>
  <c r="C228" i="1"/>
  <c r="C667" i="1"/>
  <c r="C267" i="1"/>
  <c r="C668" i="1"/>
  <c r="C845" i="1"/>
  <c r="C669" i="1"/>
  <c r="C846" i="1"/>
  <c r="C876" i="1"/>
  <c r="C289" i="1"/>
  <c r="C707" i="1"/>
  <c r="C716" i="1"/>
  <c r="C972" i="1"/>
  <c r="C486" i="1"/>
  <c r="C487" i="1"/>
  <c r="C488" i="1"/>
  <c r="C636" i="1"/>
  <c r="C637" i="1"/>
  <c r="C638" i="1"/>
  <c r="C718" i="1"/>
  <c r="C725" i="1"/>
  <c r="C726" i="1"/>
  <c r="C973" i="1"/>
  <c r="C974" i="1"/>
  <c r="C952" i="1"/>
  <c r="C721" i="1"/>
  <c r="C727" i="1"/>
  <c r="C728" i="1"/>
  <c r="C639" i="1"/>
  <c r="C1003" i="1"/>
  <c r="C450" i="1"/>
  <c r="C313" i="1"/>
  <c r="C719" i="1"/>
  <c r="C729" i="1"/>
  <c r="C730" i="1"/>
  <c r="C738" i="1"/>
  <c r="C428" i="1"/>
  <c r="C303" i="1"/>
  <c r="C187" i="1"/>
  <c r="C640" i="1"/>
  <c r="C744" i="1"/>
  <c r="C740" i="1"/>
  <c r="C953" i="1"/>
  <c r="C599" i="1"/>
  <c r="C600" i="1"/>
  <c r="C609" i="1"/>
  <c r="C610" i="1"/>
  <c r="C551" i="1"/>
  <c r="C2" i="1"/>
  <c r="C3" i="1"/>
  <c r="C4" i="1"/>
  <c r="C552" i="1"/>
  <c r="C937" i="1"/>
  <c r="C938" i="1"/>
  <c r="C774" i="1"/>
  <c r="C776" i="1"/>
  <c r="C777" i="1"/>
  <c r="C778" i="1"/>
  <c r="C775" i="1"/>
  <c r="C779" i="1"/>
  <c r="C780" i="1"/>
  <c r="C782" i="1"/>
  <c r="C783" i="1"/>
  <c r="C781" i="1"/>
  <c r="C784" i="1"/>
  <c r="C785" i="1"/>
  <c r="C641" i="1"/>
  <c r="C480" i="1"/>
  <c r="C689" i="1"/>
  <c r="C690" i="1"/>
  <c r="C697" i="1"/>
  <c r="C316" i="1"/>
  <c r="C555" i="1"/>
  <c r="C561" i="1"/>
  <c r="C562" i="1"/>
  <c r="C563" i="1"/>
  <c r="C564" i="1"/>
  <c r="C565" i="1"/>
  <c r="C698" i="1"/>
  <c r="C731" i="1"/>
  <c r="C732" i="1"/>
  <c r="C733" i="1"/>
  <c r="C734" i="1"/>
  <c r="C735" i="1"/>
  <c r="C339" i="1"/>
  <c r="C369" i="1"/>
  <c r="C758" i="1"/>
  <c r="C877" i="1"/>
  <c r="C878" i="1"/>
  <c r="C912" i="1"/>
  <c r="C653" i="1"/>
  <c r="C736" i="1"/>
  <c r="C211" i="1"/>
  <c r="C786" i="1"/>
  <c r="C416" i="1"/>
  <c r="C737" i="1"/>
  <c r="C746" i="1"/>
  <c r="C747" i="1"/>
  <c r="C869" i="1"/>
  <c r="C385" i="1"/>
  <c r="C5" i="1"/>
  <c r="C6" i="1"/>
  <c r="C7" i="1"/>
  <c r="C870" i="1"/>
  <c r="C772" i="1"/>
  <c r="C773" i="1"/>
  <c r="C406" i="1"/>
  <c r="C913" i="1"/>
  <c r="C914" i="1"/>
  <c r="C940" i="1"/>
  <c r="C941" i="1"/>
  <c r="C581" i="1"/>
  <c r="C456" i="1"/>
  <c r="C807" i="1"/>
  <c r="C808" i="1"/>
  <c r="C811" i="1"/>
  <c r="C812" i="1"/>
  <c r="C809" i="1"/>
  <c r="C810" i="1"/>
  <c r="C813" i="1"/>
  <c r="C814" i="1"/>
  <c r="C817" i="1"/>
  <c r="C464" i="1"/>
  <c r="C815" i="1"/>
  <c r="C582" i="1"/>
  <c r="C435" i="1"/>
  <c r="C436" i="1"/>
  <c r="C1011" i="1"/>
  <c r="C819" i="1"/>
  <c r="C820" i="1"/>
  <c r="C821" i="1"/>
  <c r="C822" i="1"/>
  <c r="C823" i="1"/>
  <c r="C836" i="1"/>
  <c r="C828" i="1"/>
  <c r="C481" i="1"/>
  <c r="C512" i="1"/>
  <c r="C790" i="1"/>
  <c r="C791" i="1"/>
  <c r="C210" i="1"/>
  <c r="C266" i="1"/>
  <c r="C132" i="1"/>
  <c r="C954" i="1"/>
  <c r="C959" i="1"/>
  <c r="C847" i="1"/>
  <c r="C566" i="1"/>
  <c r="C589" i="1"/>
  <c r="C905" i="1"/>
  <c r="C1012" i="1"/>
  <c r="C796" i="1"/>
  <c r="C593" i="1"/>
  <c r="C630" i="1"/>
  <c r="C13" i="1"/>
  <c r="C43" i="1"/>
  <c r="C32" i="1"/>
  <c r="C993" i="1"/>
  <c r="C848" i="1"/>
  <c r="C687" i="1"/>
  <c r="C797" i="1"/>
  <c r="C824" i="1"/>
  <c r="C825" i="1"/>
  <c r="C850" i="1"/>
  <c r="C705" i="1"/>
  <c r="C708" i="1"/>
  <c r="C567" i="1"/>
  <c r="C855" i="1"/>
  <c r="C857" i="1"/>
  <c r="C858" i="1"/>
  <c r="C568" i="1"/>
  <c r="C861" i="1"/>
  <c r="C862" i="1"/>
  <c r="C863" i="1"/>
  <c r="C864" i="1"/>
  <c r="C865" i="1"/>
  <c r="C438" i="1"/>
  <c r="C439" i="1"/>
  <c r="C826" i="1"/>
  <c r="C890" i="1"/>
  <c r="C752" i="1"/>
  <c r="C871" i="1"/>
  <c r="C342" i="1"/>
  <c r="C386" i="1"/>
  <c r="C994" i="1"/>
  <c r="C314" i="1"/>
  <c r="C368" i="1"/>
  <c r="C407" i="1"/>
  <c r="C553" i="1"/>
  <c r="C880" i="1"/>
  <c r="C798" i="1"/>
  <c r="C884" i="1"/>
  <c r="C885" i="1"/>
  <c r="C881" i="1"/>
  <c r="C886" i="1"/>
  <c r="C569" i="1"/>
  <c r="C437" i="1"/>
  <c r="C889" i="1"/>
  <c r="C891" i="1"/>
  <c r="C268" i="1"/>
  <c r="C892" i="1"/>
  <c r="C894" i="1"/>
  <c r="C895" i="1"/>
  <c r="C896" i="1"/>
  <c r="C897" i="1"/>
  <c r="C898" i="1"/>
  <c r="C753" i="1"/>
  <c r="C852" i="1"/>
  <c r="C853" i="1"/>
  <c r="C902" i="1"/>
  <c r="C901" i="1"/>
  <c r="C903" i="1"/>
  <c r="C570" i="1"/>
  <c r="C441" i="1"/>
  <c r="C571" i="1"/>
  <c r="C572" i="1"/>
  <c r="C573" i="1"/>
  <c r="C489" i="1"/>
  <c r="C508" i="1"/>
  <c r="C866" i="1"/>
  <c r="C466" i="1"/>
  <c r="C590" i="1"/>
  <c r="C935" i="1"/>
  <c r="C787" i="1"/>
  <c r="C605" i="1"/>
  <c r="C706" i="1"/>
  <c r="C839" i="1"/>
  <c r="C916" i="1"/>
  <c r="C918" i="1"/>
  <c r="C919" i="1"/>
  <c r="C920" i="1"/>
  <c r="C655" i="1"/>
  <c r="C899" i="1"/>
  <c r="C900" i="1"/>
  <c r="C854" i="1"/>
  <c r="C879" i="1"/>
  <c r="C837" i="1"/>
  <c r="C859" i="1"/>
  <c r="C926" i="1"/>
  <c r="C927" i="1"/>
  <c r="C928" i="1"/>
  <c r="C931" i="1"/>
  <c r="C930" i="1"/>
  <c r="C932" i="1"/>
  <c r="C933" i="1"/>
  <c r="C906" i="1"/>
  <c r="C574" i="1"/>
  <c r="C554" i="1"/>
  <c r="C799" i="1"/>
  <c r="C843" i="1"/>
  <c r="C921" i="1"/>
  <c r="C943" i="1"/>
  <c r="C944" i="1"/>
  <c r="C945" i="1"/>
  <c r="C443" i="1"/>
  <c r="C875" i="1"/>
  <c r="C583" i="1"/>
  <c r="C907" i="1"/>
  <c r="C923" i="1"/>
  <c r="C908" i="1"/>
  <c r="C575" i="1"/>
  <c r="C584" i="1"/>
  <c r="C577" i="1"/>
  <c r="C585" i="1"/>
  <c r="C576" i="1"/>
  <c r="C586" i="1"/>
  <c r="C983" i="1"/>
  <c r="C287" i="1"/>
  <c r="C317" i="1"/>
  <c r="C343" i="1"/>
  <c r="C770" i="1"/>
  <c r="C663" i="1"/>
  <c r="C792" i="1"/>
  <c r="C670" i="1"/>
  <c r="C860" i="1"/>
  <c r="C888" i="1"/>
  <c r="C671" i="1"/>
  <c r="C929" i="1"/>
  <c r="C840" i="1"/>
  <c r="C672" i="1"/>
  <c r="C673" i="1"/>
  <c r="C429" i="1"/>
  <c r="C674" i="1"/>
  <c r="C675" i="1"/>
  <c r="C656" i="1"/>
  <c r="C676" i="1"/>
  <c r="C677" i="1"/>
  <c r="C678" i="1"/>
  <c r="C659" i="1"/>
  <c r="C662" i="1"/>
  <c r="C679" i="1"/>
  <c r="C657" i="1"/>
  <c r="C680" i="1"/>
  <c r="C681" i="1"/>
  <c r="C965" i="1"/>
  <c r="C754" i="1"/>
  <c r="C939" i="1"/>
  <c r="C960" i="1"/>
  <c r="C961" i="1"/>
  <c r="C955" i="1"/>
  <c r="C578" i="1"/>
  <c r="C962" i="1"/>
  <c r="C963" i="1"/>
  <c r="C874" i="1"/>
  <c r="C966" i="1"/>
  <c r="C964" i="1"/>
  <c r="C975" i="1"/>
  <c r="C970" i="1"/>
  <c r="C909" i="1"/>
  <c r="C976" i="1"/>
  <c r="C682" i="1"/>
  <c r="C683" i="1"/>
  <c r="C977" i="1"/>
  <c r="C978" i="1"/>
  <c r="C968" i="1"/>
  <c r="C979" i="1"/>
  <c r="C980" i="1"/>
  <c r="C981" i="1"/>
  <c r="C516" i="1"/>
  <c r="C969" i="1"/>
  <c r="C547" i="1"/>
  <c r="C709" i="1"/>
  <c r="C1000" i="1"/>
  <c r="C1018" i="1"/>
  <c r="C984" i="1"/>
  <c r="C1019" i="1"/>
  <c r="C985" i="1"/>
  <c r="C922" i="1"/>
  <c r="C942" i="1"/>
  <c r="C445" i="1"/>
  <c r="C982" i="1"/>
  <c r="C759" i="1"/>
  <c r="C588" i="1"/>
  <c r="C587" i="1"/>
  <c r="C989" i="1"/>
  <c r="C990" i="1"/>
  <c r="C991" i="1"/>
  <c r="C1022" i="1"/>
  <c r="C1045" i="1"/>
  <c r="C992" i="1"/>
  <c r="C995" i="1"/>
  <c r="C996" i="1"/>
  <c r="C997" i="1"/>
  <c r="C998" i="1"/>
  <c r="C999" i="1"/>
  <c r="C660" i="1"/>
  <c r="C1051" i="1"/>
  <c r="C1053" i="1"/>
  <c r="C1001" i="1"/>
  <c r="C1004" i="1"/>
  <c r="C1005" i="1"/>
  <c r="C1006" i="1"/>
  <c r="C1007" i="1"/>
  <c r="C1008" i="1"/>
  <c r="C446" i="1"/>
  <c r="C451" i="1"/>
  <c r="C452" i="1"/>
  <c r="C453" i="1"/>
  <c r="C454" i="1"/>
  <c r="C449" i="1"/>
  <c r="C455" i="1"/>
  <c r="C956" i="1"/>
  <c r="C684" i="1"/>
  <c r="C685" i="1"/>
  <c r="C1061" i="1"/>
  <c r="C760" i="1"/>
  <c r="C761" i="1"/>
  <c r="C762" i="1"/>
  <c r="C756" i="1"/>
  <c r="C763" i="1"/>
  <c r="C764" i="1"/>
  <c r="C765" i="1"/>
  <c r="C447" i="1"/>
  <c r="C766" i="1"/>
  <c r="C767" i="1"/>
  <c r="C720" i="1"/>
  <c r="C788" i="1"/>
  <c r="C658" i="1"/>
  <c r="C986" i="1"/>
  <c r="C789" i="1"/>
  <c r="C1049" i="1"/>
  <c r="C1078" i="1"/>
  <c r="C1079" i="1"/>
  <c r="C1081" i="1"/>
  <c r="C1083" i="1"/>
  <c r="C1087" i="1"/>
  <c r="C1088" i="1"/>
  <c r="C1091" i="1"/>
  <c r="C109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<sst xmlns="http://schemas.openxmlformats.org/spreadsheetml/2006/main" count="9947" uniqueCount="3731">
  <si>
    <t>Id</t>
  </si>
  <si>
    <t>Start time</t>
  </si>
  <si>
    <t>Completion time</t>
  </si>
  <si>
    <t>Email</t>
  </si>
  <si>
    <t>Name</t>
  </si>
  <si>
    <t>Nama Pelapor</t>
  </si>
  <si>
    <t>Nama Proyek</t>
  </si>
  <si>
    <t>Periode Progres</t>
  </si>
  <si>
    <t>Presentase Aktual Progress</t>
  </si>
  <si>
    <t>Presentase Rencana Progress</t>
  </si>
  <si>
    <t>Presentase BAB 1</t>
  </si>
  <si>
    <t>Presentase BAB 2</t>
  </si>
  <si>
    <t>Presentase BAB 3</t>
  </si>
  <si>
    <t>Presentase BAB 4</t>
  </si>
  <si>
    <t>Presentase BAB 5</t>
  </si>
  <si>
    <t>Presentase BAB 6</t>
  </si>
  <si>
    <t>Presentase BAB 7</t>
  </si>
  <si>
    <t>Presentase BAB 8</t>
  </si>
  <si>
    <t>Presentase BAB 9</t>
  </si>
  <si>
    <t>Presentase BAB 10</t>
  </si>
  <si>
    <t>Presentase BAB 11</t>
  </si>
  <si>
    <t>Presentase BAB 12</t>
  </si>
  <si>
    <t>Presentase BAB 13</t>
  </si>
  <si>
    <t>Presentase BAB 14</t>
  </si>
  <si>
    <t>Presentase BAB 15</t>
  </si>
  <si>
    <t>Presentase BAB 16</t>
  </si>
  <si>
    <t>Link Dokumentasi Video Drone</t>
  </si>
  <si>
    <t>Link Dokumentasi Foto</t>
  </si>
  <si>
    <t>Link Orthophoto</t>
  </si>
  <si>
    <t>Link Reality Modeling</t>
  </si>
  <si>
    <t>Periode Issue</t>
  </si>
  <si>
    <t>Issue</t>
  </si>
  <si>
    <t>Koordinat Proyek</t>
  </si>
  <si>
    <t>Lat</t>
  </si>
  <si>
    <t>Long</t>
  </si>
  <si>
    <t>Status</t>
  </si>
  <si>
    <t>__PowerAppsId__</t>
  </si>
  <si>
    <t>Esri_Anonymous</t>
  </si>
  <si>
    <t>M Saifudin Ashari</t>
  </si>
  <si>
    <t>Jalan Tol Bocimi Seksi 2</t>
  </si>
  <si>
    <t>01295f48-974d-48b4-b138-23608606326d</t>
  </si>
  <si>
    <t>08fb3e28-02c7-48ac-a421-4bed199374e4</t>
  </si>
  <si>
    <t>500ce746-deba-47b9-9ae4-7498cd048bba</t>
  </si>
  <si>
    <t>1205050c-ff5d-4ff0-9aa0-81d8fbcf4f08</t>
  </si>
  <si>
    <t>c68e95c8-1f3f-4599-8951-5f49ec41862c</t>
  </si>
  <si>
    <t>e1421f62-7e4c-428e-b28a-90197d1bff3a</t>
  </si>
  <si>
    <t>andi.firdaus_waskitakarya</t>
  </si>
  <si>
    <t>Basuki Rahmat Hakim</t>
  </si>
  <si>
    <t>Jalan Long Semamu - Long Bawan 2 (JOP 70%)</t>
  </si>
  <si>
    <t>655347d4-a916-4a70-bd8c-c68781c0163f</t>
  </si>
  <si>
    <t>0fbc4e87-ee39-4edb-8909-ced495f1002e</t>
  </si>
  <si>
    <t>Riezky Ibnu Prasetyo</t>
  </si>
  <si>
    <t>Jalan Tol Cibitung - Cilincing Seksi 2</t>
  </si>
  <si>
    <t>c6a5273c-ee19-49b2-81e0-8e030882b53c</t>
  </si>
  <si>
    <t>Haryo Widiandoko</t>
  </si>
  <si>
    <t>Jalan Tol Japek II Selatan Paket 3</t>
  </si>
  <si>
    <t>19d374c5-f708-4999-bf5b-03c18c3f703c</t>
  </si>
  <si>
    <t>Alfian Budi Prasetya</t>
  </si>
  <si>
    <t>Jalan Akses dan Kawasan Avasta</t>
  </si>
  <si>
    <t>Buangan Galian Boundary Drain</t>
  </si>
  <si>
    <t>3c7732a5-9cc7-4aaf-b3c2-ffbe6b8be0d3</t>
  </si>
  <si>
    <t>16d4afbe-7b98-48a8-98ae-c62a16e8e0b8</t>
  </si>
  <si>
    <t>29/07/22</t>
  </si>
  <si>
    <t>c197a9bb-6395-4e63-a980-725996468e2f</t>
  </si>
  <si>
    <t>Nizar Zulkarnain</t>
  </si>
  <si>
    <t>Jalan Tol Cimanggis Cibitung Seksi 2</t>
  </si>
  <si>
    <t>https://ptwaskita-my.sharepoint.com/:i:/g/personal/nizar_zulkarnain_waskita_co_id/EaUVyfC89PVBr9PeS1_jnhgB8f_-NXtHOoYDIYkFKtM6yg?e=aVNgqT</t>
  </si>
  <si>
    <t>Steel Box Girder Elevated Transyogi masih belum dikirim seluruhnya secara kontinu oleh BMI. Persiapan erection masih terkendala alat support erection masih belum disetting untuk erection.</t>
  </si>
  <si>
    <t>8641390f-d4d3-416d-b55e-344112a1a6f8</t>
  </si>
  <si>
    <t>https://drive.google.com/drive/u/2/folders/1TPNPPyr5KG-BOau-0_zVewD5BD4OGclD</t>
  </si>
  <si>
    <t>https://ptwaskita-my.sharepoint.com/:f:/g/personal/fahmi_waskita_co_id/EmNyIicQoohIvNQFWujff_kB_kDxEQuFgLeC7aB4Z_3QSA?e=2BxylI</t>
  </si>
  <si>
    <t>d94abc25-bcdd-4d2c-bf59-d0b8f0c91a69</t>
  </si>
  <si>
    <t>https://drive.google.com/file/d/15Jh9CL6Dd-vDUCFdby6THO7TZ1Tx8len/view?usp=sharing</t>
  </si>
  <si>
    <t>71f31616-6be4-4207-b82d-9b4732f76118</t>
  </si>
  <si>
    <t>853cb85b-63bb-4a20-8e0b-adf4d84ac83f</t>
  </si>
  <si>
    <t>Banyu Purwita</t>
  </si>
  <si>
    <t>Fly Over Simpang Sekip - Palembang (JOI 65%)</t>
  </si>
  <si>
    <t>https://ptwaskita-my.sharepoint.com/:f:/g/personal/banyu_purwita_waskita_co_id/EqTjUHNq3YxAussMGuMB4SsB4kHg8l1RoWIAsL3jYUQ9ig?e=wkoXee</t>
  </si>
  <si>
    <t>89b87f51-6f64-40d2-b72a-c60f36713864</t>
  </si>
  <si>
    <t>Fajar Sodiq Febriansyah</t>
  </si>
  <si>
    <t>Jalan Tol Paspro Seksi 4</t>
  </si>
  <si>
    <t>79671d44-4c09-4490-b3d4-56864afc245b</t>
  </si>
  <si>
    <t>Ajik Prastiyo</t>
  </si>
  <si>
    <t>Pekerjaan Beton Struktur
Jumlah BP sudah terpenuhi, flow material (pasir, semen, split) belum terpenuhi</t>
  </si>
  <si>
    <t>3769f100-aa01-4ba6-b8a3-c10358e5be4e</t>
  </si>
  <si>
    <t>Nungki Herdiana</t>
  </si>
  <si>
    <t>Proyek Peningkatan Jalan Sp. Siligita - Kempinski</t>
  </si>
  <si>
    <t>Progress pekerjaan item Cipta Karya 10.09 % belum dapat ditagihkan terkait dengan HPS item baru dan spesifikasi teknis untuk dasar pembayaran.</t>
  </si>
  <si>
    <t>8ec8e0fd-939e-45bd-b4c4-3dba6514f144</t>
  </si>
  <si>
    <t>Kekurangan fleet untuk melakukan pekerjaan tanah sesuai target</t>
  </si>
  <si>
    <t>0d0edcf6-4a51-4c67-895d-a686a6e81e92</t>
  </si>
  <si>
    <t>Adanya beberapa lahan konsinyasi yang belum bebas dengan nilai UGK sebesar 10,83 M, pada lokasi IC STA 03+150 – 03+500, yang mengganggu mobilisasi pekerjaan.</t>
  </si>
  <si>
    <t>fe9b9e08-32ae-4cf2-8e70-64a9d38d0277</t>
  </si>
  <si>
    <t>31/07/22</t>
  </si>
  <si>
    <t>96664f5d-0d79-4fe6-a9b9-50bd634f2668</t>
  </si>
  <si>
    <t>Addendum final menunggu addendum item ke Cipta Karya</t>
  </si>
  <si>
    <t>2aa8c67d-d1fd-4c23-bbf9-7476588f45b4</t>
  </si>
  <si>
    <t>Keterlambatan pengiriman material Ducting dikarenakan WPB tidak memiliki kemampuann finansial untuk membayar expedisi.</t>
  </si>
  <si>
    <t>6166c7e5-06d4-40c4-9da5-7e6822445089</t>
  </si>
  <si>
    <t>Pada area Jalan Siligita - Kempinski sering dilakukan event, baik dari pihak instansi maupun kegiatan kenegaraan sehingga Polisi menghentikan aktifitas proyek saat tamu menuju lokasi.</t>
  </si>
  <si>
    <t>34bee91d-8648-42ab-87bc-94cad0314020</t>
  </si>
  <si>
    <t>Pekerjan Pengaspalan mengalami keterlambatan dikarenakan subkon pekerjaan aspal tidak memiliki kemampuan finansial yang baik</t>
  </si>
  <si>
    <t>ee12e7a8-ab13-42e3-babb-8b31431e7c1c</t>
  </si>
  <si>
    <t>ee7a42ce-6524-429f-858e-4f27d20b88d0</t>
  </si>
  <si>
    <t>https://drive.google.com/file/d/1_m11qHP04rEw3MA-Ex-QOBusDt3_tSDo/view?usp=sharing</t>
  </si>
  <si>
    <t>https://drive.google.com/file/d/1AhBYaMU89WHRri0kBpF5ucBZBmfRVGba/view?usp=sharing</t>
  </si>
  <si>
    <t>https://ptwaskita-my.sharepoint.com/:f:/r/personal/fahmi_waskita_co_id/Documents/BIM%20-%20INFRA%202/Project/WKINF2%20-%20D32C19006%20(Jakarta%20-%20Cikampek%20II%20Selatan%20Paket%203)/3.%20PUBLISHED/9.%20REALITY%20MODELING/202207%20-%20Juli%202022/SS%2</t>
  </si>
  <si>
    <t>https://ptwaskita-my.sharepoint.com/:f:/r/personal/fahmi_waskita_co_id/Documents/BIM%20-%20INFRA%202/Project/WKINF2%20-%20D32C19006%20(Jakarta%20-%20Cikampek%20II%20Selatan%20Paket%203)/3.%20PUBLISHED/9.%20REALITY%20MODELING/202207%20-%20Juli%202022?csf=</t>
  </si>
  <si>
    <t>2e8eaf7c-f39d-4660-b564-95301d839974</t>
  </si>
  <si>
    <t>Muhamad Saifudin Ashari</t>
  </si>
  <si>
    <t>0e9bf1c8-34fd-4480-ae73-d21fc719798f</t>
  </si>
  <si>
    <t>Keterlambatan terbitnya Jaminan Pemeliharaan dikarenakan belum disahkan ADD 3 oleh para pihak</t>
  </si>
  <si>
    <t>a3ae426c-b68b-430c-94bc-0144fcf21e0d</t>
  </si>
  <si>
    <t>0e050198-432c-4fe3-a1a6-964ecb201086</t>
  </si>
  <si>
    <t>17/10/22</t>
  </si>
  <si>
    <t>Semua girder (PCI &amp; Steel Box Girder) JU Akses Cibadak telah selesai tererection</t>
  </si>
  <si>
    <t>1d11f478-5f50-4682-b3cb-160711d6a1f6</t>
  </si>
  <si>
    <t>20/10/22</t>
  </si>
  <si>
    <t>Adanya genangan air di Sta. 4+100 jalan siligita-Kempinski (depan hotel vouk) dikarenakan elevasi badan jalan rencana di bawah elevasi tanah warga yang tidak mau dibebaskan dan curah hujan yang tinggi.</t>
  </si>
  <si>
    <t>58899984-e84f-4c92-aeb2-b82a58c8b1c7</t>
  </si>
  <si>
    <t>Fungsional Nataru Bocimi Seksi 2 dilaksanakan pada 23 sd 31 Des 2022 dan arus balik Nataru pada 1 sd 2 Jan 2023</t>
  </si>
  <si>
    <t>f646259a-2611-4fce-8fdb-e901a4a2fb47</t>
  </si>
  <si>
    <t>YECKASTORO JANUWISESA</t>
  </si>
  <si>
    <t>https://drive.google.com/file/d/1cRh0mkRmYQapfKQc5MJNXwwddD5qArPv/view?usp=share_link</t>
  </si>
  <si>
    <t>Bocimi Seksi 2 dibuka sebagai jalur fungsional Libur Natal 2022 dan tahun baru 2023 pada 23 Desember sd 2 Januari 2023</t>
  </si>
  <si>
    <t>91dbe8c0-e4cf-4058-a133-1ad625dc4ab2</t>
  </si>
  <si>
    <t>https://drive.google.com/file/d/1c7FMSLa45dM05wRH_D1oEtUcV1F66J80/view?usp=share_link; https://drive.google.com/file/d/1O4I1zuyJeyjr40DshCJOerpZy95cC5f6/view?usp=share_link; https://drive.google.com/file/d/1JLTZnVinxoGH9GaDIaGbI0uU4I-Dfb1j/view?usp=share</t>
  </si>
  <si>
    <t>616a9607-fda0-408a-8bf0-c14df13084a4</t>
  </si>
  <si>
    <t>PLN : tiang dan pln yg masih berada dilokasi menggangu jalannya progress pekerjaan
PDAM : pipa PDAM yang belum terkoneksi di lahan Bea Cukai mengakibatkan pipa eksisting di lokasi frontage belum bisa dibongkar dan berdampak pek timbunan, aggregate A, di</t>
  </si>
  <si>
    <t>51346516-6302-4696-bea3-35570b1cd623</t>
  </si>
  <si>
    <t>18/07/22</t>
  </si>
  <si>
    <t>e033a1ad-9c09-47e5-992e-ee3392a2aeaf</t>
  </si>
  <si>
    <t>https://drive.google.com/file/d/1hoIbrWfJndjcZUPcrl68H17tdaf7syBe/view?usp=sharing</t>
  </si>
  <si>
    <t>https://ptwaskita-my.sharepoint.com/personal/fahmi_waskita_co_id/_layouts/15/onedrive.aspx?ga=1&amp;id=%2Fpersonal%2Ffahmi%5Fwaskita%5Fco%5Fid%2FDocuments%2FBIM%20%2D%20INFRA%202%2FProject%2FWKINF2%20%2D%201316022%20%28Jalan%20Tol%20Cimanggis%20%2D%20Cibitun</t>
  </si>
  <si>
    <t>5e3db6df-3d63-4799-a886-3ac9cb0ccacb</t>
  </si>
  <si>
    <t>548449c6-c7c7-46f6-b5e0-143878b92724</t>
  </si>
  <si>
    <t>Utomo Aryowibowo</t>
  </si>
  <si>
    <t>ee4c7b34-8960-4bec-982b-58a66df11094</t>
  </si>
  <si>
    <t>Terdapat material sisa untuk jalan akses alat berat</t>
  </si>
  <si>
    <t>60035a60-e6a1-45e7-b36b-aeff6c1ebb6f</t>
  </si>
  <si>
    <t>1269cb65-5584-46f9-ae77-901e87fa9bfc</t>
  </si>
  <si>
    <t>22d17ce8-3d94-478e-a907-55056661c10f</t>
  </si>
  <si>
    <t>https://drive.google.com/drive/folders/1XP4tP4vhQZanKddI5hCtkCGLmAnnllVv</t>
  </si>
  <si>
    <t>https://ptwaskita-my.sharepoint.com/:f:/g/personal/fahmi_waskita_co_id/EuvJAl6OzyhGmExRzRp9MRsBdC9rQKLBxVL0hYZ_7jWu6w?e=tSHMIR</t>
  </si>
  <si>
    <t>Penyelesaian MC100 dan As Built Drawing untuk Cibcil 2 dan 4, rencana deadline pada 4 Juni 2023</t>
  </si>
  <si>
    <t>124928be-07ea-4876-902f-5e7607ddde16</t>
  </si>
  <si>
    <t>Target pengecoran Bulan September per hari 700 m3, terealisasi dari skema SBO 520 m3/hari.  Supply material SBO khusunya material (Pasir &amp; Split) masih belum tercapai sesuai rencana.</t>
  </si>
  <si>
    <t>e101d633-eb60-43f6-a761-193c271081f8</t>
  </si>
  <si>
    <t>f39f2a27-cd34-4b09-9477-3761f017bc4e</t>
  </si>
  <si>
    <t>23/09/22</t>
  </si>
  <si>
    <t>7584c050-edf2-4cba-bf40-0efea5d7cfe2</t>
  </si>
  <si>
    <t>1c9cb0b2-5271-4040-9a6e-8abd0e4a90b0</t>
  </si>
  <si>
    <t>https://drive.google.com/file/d/1fRqlbo0NVLg_Qsenzj383P4Xi6NYVwpB/view?usp=drivesdk</t>
  </si>
  <si>
    <t>https://drive.google.com/file/d/1mDHBnWIDVb6kMhDI8-ROGpKTzDo48MM5/view?usp=drivesdk</t>
  </si>
  <si>
    <t>https://ptwaskita-my.sharepoint.com/:f:/r/personal/fahmi_waskita_co_id/Documents/BIM%20-%20INFRA%202/Project/WKINF2%20-%20D32C19006%20(Jakarta%20-%20Cikampek%20II%20Selatan%20Paket%203)/3.%20PUBLISHED/9.%20REALITY%20MODELING/202209%20-%20September?csf=1&amp;</t>
  </si>
  <si>
    <t>fe2f2f7f-0c8a-4ddc-a213-2a2a0c662016</t>
  </si>
  <si>
    <t>aacbd036-8539-462b-8ad3-55f6114654f3</t>
  </si>
  <si>
    <t>51724b83-fc8d-4665-8c2c-80e64197f643</t>
  </si>
  <si>
    <t>ISNAEN DWI SANJOYO</t>
  </si>
  <si>
    <t>Jalan Tol Becakayu 2A Ujung</t>
  </si>
  <si>
    <t>https://ptwaskita-my.sharepoint.com/:f:/g/personal/becakayu2aujung_waskita_co_id/EtKhMYsK2zBGvQMyfV2-WRsBC3ZCjB_RnOw0cJzRnU-lAg?e=ifnktz</t>
  </si>
  <si>
    <t>https://ptwaskita-my.sharepoint.com/:f:/g/personal/becakayu2aujung_waskita_co_id/ElS0Je9n74BHv0P4RIjzSFcB3eCRaDiN4udpPNN6Swh4_A?e=FnrX4F</t>
  </si>
  <si>
    <t>bb27975e-d5a0-4ded-9281-4fb93753765c</t>
  </si>
  <si>
    <t>https://drive.google.com/file/d/1GTDsa7gWvHoKc8GaU6ozlozRG1z_DTe7/view?usp=sharing</t>
  </si>
  <si>
    <t>https://drive.google.com/drive/folders/1oYy2XURVTfr70nYDGN_umbwAihwV2UIS?usp=sharing</t>
  </si>
  <si>
    <t>f7e99b11-652e-4f23-9193-3c9701b260b9</t>
  </si>
  <si>
    <t>Ganis Satria Pratama</t>
  </si>
  <si>
    <t>Jalan Sofi - Wayabula 1</t>
  </si>
  <si>
    <t>86a86e84-ca24-46a1-bbb1-887f33b192f1</t>
  </si>
  <si>
    <t>Subkont blasting belum memulai pekerjaan (keterlambtan material) dan pengurusan ijin.</t>
  </si>
  <si>
    <t>7cc50828-1ef7-4e31-bb04-4bce981390c4</t>
  </si>
  <si>
    <t>Pekerja mogok kerja/pulang (sebagian belum dilunasi pembayarannya), akibatnya pekerjaan struktur terlambat</t>
  </si>
  <si>
    <t>72e62bdc-8ece-4509-b669-a97b8a5eb463</t>
  </si>
  <si>
    <t>Longsoran dibeberapa titik akses menuju lokasi proyek, akses terputus.</t>
  </si>
  <si>
    <t>79d4021d-abfc-4381-84b6-82f91a8eedf9</t>
  </si>
  <si>
    <t>6039402e-4d22-46f2-91fe-4e2fdae0af0b</t>
  </si>
  <si>
    <t>Desain zona 1,2 dan 4 sudah final, namun desain zona 3 masih dilakukan pembahasan/asistensi perubahan trase serta dispensasi grade dengan Dirjen Bina Marga</t>
  </si>
  <si>
    <t>70e1d164-2cf1-4a8b-ace7-2000db21590a</t>
  </si>
  <si>
    <t>PPK dan Pemerintah Kabupaten Pulau Morotai baru melakukan sosialisasi kepada warga desa cio maluleo, namun belum memberikan kejelasan terkait realisasi pembayaran 100% ganti rugi tanaman milik warga sehingga warga melakukan penutupan trase proyek dan men</t>
  </si>
  <si>
    <t>3c6ea8a6-518d-4460-bc1a-056a07e183f6</t>
  </si>
  <si>
    <t>23/07/21</t>
  </si>
  <si>
    <t>7a235aa4-b31e-48ea-b446-96d7ad442a8a</t>
  </si>
  <si>
    <t>23/01/21</t>
  </si>
  <si>
    <t>1123fc0b-6f78-4bb8-bdbd-f356bacdf905</t>
  </si>
  <si>
    <t>9132576e-5648-473a-a60f-3f9309ec3e0e</t>
  </si>
  <si>
    <t>Pekerjaan Beton belum dapat memenuhi target harian pengecoran karena kekurangan stock material.</t>
  </si>
  <si>
    <t>4c698679-9ad7-46b0-970e-ee02d8988724</t>
  </si>
  <si>
    <t>Pekerjaan Besi Struktur masih kurang maksimal dikarenakan pengiriman material Besi D22, D25 dan D32 mengalami keterlambatan</t>
  </si>
  <si>
    <t>97837e00-49f8-4638-a0c2-8ad604ea2375</t>
  </si>
  <si>
    <t>Pekerjaan stressing Girder tertunda akibat WBP kehabisan stock Strand</t>
  </si>
  <si>
    <t>fa0408ec-9bf3-4d36-9b39-98802a069cd3</t>
  </si>
  <si>
    <t>Penanganan Tanah Lunak oleh Owner pada Lokasi IC STA 00+000 – 01+000 dalam proses penunjukkan vendor oleh SCM</t>
  </si>
  <si>
    <t>aed3fea0-f304-4c7b-b20c-2cd76cd5ae2a</t>
  </si>
  <si>
    <t>Perubahan desain, perhitungan volume tambah, dan item baru akibat Clearzone masih dalam proses.</t>
  </si>
  <si>
    <t>20ffcf71-e4f5-4485-ac6c-478b32b77dff</t>
  </si>
  <si>
    <t>84b69128-2a16-4f82-b3ca-c846dd3a7218</t>
  </si>
  <si>
    <t>Ketersediaan PCU &amp; PCI Girder untuk Erection masih belum mencukupi karena terkendala stressing girder yg belum siap</t>
  </si>
  <si>
    <t>70ed3731-6b27-4f8c-8e87-30e383d42f85</t>
  </si>
  <si>
    <t>fe8ae836-1fd5-4932-b35b-785b38353b04</t>
  </si>
  <si>
    <t>989075db-03fe-4292-bb08-6eeb4ecc52cc</t>
  </si>
  <si>
    <t>79038291-62b3-4f30-bc58-ef2d515848c9</t>
  </si>
  <si>
    <t>23ed115b-f4c0-47b1-b7e5-a9685e2fac9f</t>
  </si>
  <si>
    <t>610f44e6-8fd6-44f0-856b-285e4249f14c</t>
  </si>
  <si>
    <t>BUDI SUGORO</t>
  </si>
  <si>
    <t>33bcb9ff-2636-46a2-8f33-232ba56609fb</t>
  </si>
  <si>
    <t>60d714c8-2a7f-4783-a76c-1fc7d99e322b</t>
  </si>
  <si>
    <t>https://ptwaskita-my.sharepoint.com/personal/nizar_zulkarnain_waskita_co_id/_layouts/15/onedrive.aspx?id=%2Fpersonal%2Fnizar%5Fzulkarnain%5Fwaskita%5Fco%5Fid%2FDocuments%2FOrthophoto</t>
  </si>
  <si>
    <t>e2596b29-a78e-4565-b330-3796250c14e2</t>
  </si>
  <si>
    <t>https://ptwaskita-my.sharepoint.com/:f:/g/personal/nizar_zulkarnain_waskita_co_id/EqnPyDu26RxIisn3JPE4K6gBUTZWwUtFrihgA0LqhtrjzA?e=kq5cWW</t>
  </si>
  <si>
    <t>1. Pekerjaan Tanah
Borrow Material Target Februari 35.000 m3 saat ini belum dilaksanakan pekerjaan Borrow (Percepatan administrasi untuk berkontrak dengan vendor baru, serta koordinasi dengan pihak eksternal terkait ijin Quarry)
2. Pekerjaan Struktur
WSBP saat ini dalam proses persiapan lahan untuk pendirian Baching Plan, Rencana M2 Maret mulai beroprasi.
3. Legal dan Administrasi
Pihak JPB dan KSO telah bersurat mengenai keterlambatan di zona Waskita dan akan dilakukan skema pengelolaan vendor bersama atau pengambil alihan pekerjaan oleh KSO
Telah dilaksanakan SCM tahap 1 dan akan dilanjutkan dengan SCM tahap 2 (Berkoordinasi dengan UB terkait sumber daya yang harus dipenuhi untuk mencapai target test case</t>
  </si>
  <si>
    <t>9305f542-e5be-4ce8-bdd3-abd27a36ff67</t>
  </si>
  <si>
    <t>ADITYA ANGGA</t>
  </si>
  <si>
    <t>a66f42ab-592f-4641-8c4f-21a0e6fe56b5</t>
  </si>
  <si>
    <t>ce7a77d1-bef2-491c-bafd-40f376085fb1</t>
  </si>
  <si>
    <t>BASUKI RAHMAT HAKIM</t>
  </si>
  <si>
    <t>14/04/22</t>
  </si>
  <si>
    <t>Perlu pengalihan trase tambahan untuk mengejar panjang efektif dan penyesuaian terhadap volume kontrak karena trase alternatif secara panjang desainnya lebih kecil dan lebih pendek.</t>
  </si>
  <si>
    <t>1e300e4b-3710-42dd-8e4b-1a6bc9f6a78c</t>
  </si>
  <si>
    <t>Aji Kukuh Pambudi</t>
  </si>
  <si>
    <t>15/04/22</t>
  </si>
  <si>
    <t>Terdapat perbedaan elevasi yang sangat signifikan (50 – 190 meter) antara Eksisting DED dan Eksisting Aktual Lapangan (Sta. 12+800 s/d 20+000). Pada Sta. 20+000 – 28+000 apabila mengikuti CL DED terdapat selisih over volume dikarenakan perbedaan eksi</t>
  </si>
  <si>
    <t>7f077173-509a-4b84-96fa-f96c42004ae1</t>
  </si>
  <si>
    <t>d88d9398-9035-47aa-9fb7-ac8323cfb309</t>
  </si>
  <si>
    <t>https://drive.google.com/file/d/1W8D1rsMJ-lydyMUMby8lo4uV7tULB-ZQ/view?usp=sharing</t>
  </si>
  <si>
    <t>https://drive.google.com/drive/folders/1cndGMPpQPHboXGpybVs9dmp6VUJm6Lzf?usp=sharing</t>
  </si>
  <si>
    <t>https://ptwaskita-my.sharepoint.com/:i:/g/personal/ahmadi_ahmadi_waskita_co_id/EUkDiOPm-aVKiUq8FkYuSDUBWzJKgXZKASp4SAmYnvAKAg?e=69KZfQ</t>
  </si>
  <si>
    <t>https://ptwaskita-my.sharepoint.com/:u:/g/personal/ahmadi_ahmadi_waskita_co_id/EXBq3_GyagNHjZD3WAET7kUB-30AXHCgm2JFcqDSpkI0CA?e=0QWj5p</t>
  </si>
  <si>
    <t>2ca306ac-0d6b-4654-b9b9-f4c896b2333b</t>
  </si>
  <si>
    <t>9ff9dc32-177a-4014-a204-133b4ef50cec</t>
  </si>
  <si>
    <t>13bc87da-0297-488e-960d-3b018568383e</t>
  </si>
  <si>
    <t>27/04/22</t>
  </si>
  <si>
    <t>Keterlambatan alat bored pile menyebabkan start drilling terlambat 2 bulan</t>
  </si>
  <si>
    <t>302540a0-ed86-469e-8524-45867183ae68</t>
  </si>
  <si>
    <t>1. Pekerjaan Tanah  Cuaca hujan dengan insentitas sering subkon masih banyak belum berproduksi
2. Pekerjaan Beton  WBP harus mendirikan Plan di Sta Awal (kecil)</t>
  </si>
  <si>
    <t>21b463a9-3413-45b5-a7cd-3917c1452e53</t>
  </si>
  <si>
    <t>1e839d59-cf06-45d0-9d30-896fb018527d</t>
  </si>
  <si>
    <t>e688a102-01b9-4e09-ae52-8b47ece49ec6</t>
  </si>
  <si>
    <t>https://drive.google.com/drive/folders/1HK4DSjLm97leXnZWUfZQEwSYbdhGVzN5</t>
  </si>
  <si>
    <t>1. Proses perubahan Cara Pembayaran semula Turn Key Modified 3 kali pembayaran : Pembayaran Pendahuluan 5%, PHO Gate to Gate Sadang-Kutanegara, PHO Keseluruhan. menjadi Turnkey Modified 5 kali pembayaran : Pendahuluan 5%, 70% Gate to Gate Sadang- Kutaneg</t>
  </si>
  <si>
    <t>adfcc41e-33eb-4247-809e-1ebdac30e160</t>
  </si>
  <si>
    <t>26/04/22</t>
  </si>
  <si>
    <t>Main Road Zona 2 sudah ada +- 70 Pilehead siap erection Full Slab namun tekendala material full slab yang belum ada (keb. +- 840 Pcs)</t>
  </si>
  <si>
    <t>bf6351db-7f29-40f2-8334-adca60a32ef9</t>
  </si>
  <si>
    <t>e799e720-fff2-499b-ae66-113c901c33ad</t>
  </si>
  <si>
    <t>P3 BKT sedang proses pekerjaan metode cofferdam, pemacanganan SSP</t>
  </si>
  <si>
    <t>1225c96d-53d8-471a-a6f5-111adab71b3f</t>
  </si>
  <si>
    <t>1. Keterlambatan pengiriman BBM ke area proyek akibat
kondisi akses
2. Pengiriman sparepart perbaikan alat terlambat akibat
terbatasnya jasa pengiriman barang ke arah proyek</t>
  </si>
  <si>
    <t>edf0877b-19cd-4d93-b398-029bcb6356ef</t>
  </si>
  <si>
    <t>Persiapan Uji Layak Fungsi dan closing defect di lapangan setelah PHO</t>
  </si>
  <si>
    <t>9f761b43-bfbb-47a8-9a46-5dddd682c07e</t>
  </si>
  <si>
    <t>Akses ke stok pile moloku belum bisa via darat, menunggu pekerjaan blasting belum memulai pekerjaan (keterlambtan material dan dalam proses pengurusan ijin dari rekanan).</t>
  </si>
  <si>
    <t>fd143e1f-a3b4-4c24-b23d-67f20a3a4a02</t>
  </si>
  <si>
    <t>Ali Amirrudin A</t>
  </si>
  <si>
    <t>https://drive.google.com/file/d/1gHyRJ1XU4W04hvW6hyuyI-Ki41J6zbAS/view?usp=sharing</t>
  </si>
  <si>
    <t>https://ptwaskita-my.sharepoint.com/:f:/g/personal/fajar_sodiq_waskita_co_id/EjBUmlZa4HFMoyRDkw4OTowBzu92MaG5k92-gnuQtNFw-A?e=RHOVKP</t>
  </si>
  <si>
    <t>https://ptwaskita-my.sharepoint.com/:f:/g/personal/fajar_sodiq_waskita_co_id/EorORqEmjfZDkeRQOePqWU4BUuvWLrlHIJXtPoHGMbanLQ?e=u6Gd0Z</t>
  </si>
  <si>
    <t>Kondisi alat sering terjadi kerusakan, faktor umur peralatan, dan pada saat perbaikan membutuhkan waktu untuk proses pengirman sparepart yang didatangkan dari luar daerah.</t>
  </si>
  <si>
    <t>972ecf29-f1e3-47be-817e-88fe0e9f6645</t>
  </si>
  <si>
    <t>Kondisi curah hujan di lapangan tinggi dan keterlambatan pekerjaan blasting (keterlambtan material handak dari rekanan).</t>
  </si>
  <si>
    <t>0a7a2060-dd05-4928-9d68-95e6435e3033</t>
  </si>
  <si>
    <t>https://drive.google.com/file/d/1lygmEgAMI-NcD-9S9ru8nvUEjJuOy9XQ/view?usp=sharing</t>
  </si>
  <si>
    <t>https://1drv.ms/u/s!Av3zzsz7Xi3Zg4FsJi-k1XrvM6bzRA?e=C4NOGQ</t>
  </si>
  <si>
    <t>https://ptwaskita-my.sharepoint.com/:f:/r/personal/fajar_sodiq_waskita_co_id/Documents/INFRASTRUCTURE%202%20DIVISION/P1417059%20-%20PASPRO%20SEKSI%204/2.SHARED/3.%20FOTOGRAMETRI/2022/09.%20September/Orthophoto?csf=1&amp;web=1&amp;e=jDuR7u</t>
  </si>
  <si>
    <t>https://ptwaskita-my.sharepoint.com/:f:/g/personal/fajar_sodiq_waskita_co_id/EgXCKqz7z31JrLaljC7MXHkBKHv22oXDjLqPAbus1_qBLg?e=ysDgy5</t>
  </si>
  <si>
    <t>3a9d3f3d-d6e1-44f6-aaad-a011a2a4c784</t>
  </si>
  <si>
    <t>20/11/20</t>
  </si>
  <si>
    <t>Pekerjaan Timbunan tanah belum maksimal karena kondisi Cuaca di Probolinggo masih Ekstrim</t>
  </si>
  <si>
    <t>6f2f402b-e38a-4fa8-8a6c-c475e675662c</t>
  </si>
  <si>
    <t>Kondisi curah hujan yang cukup tinggi dan tenaga kerja masih kurang sesuai rencna (sebgian tenaga pulang tidak kembali ke proyek)</t>
  </si>
  <si>
    <t>41f1ecf5-cc33-4cf3-8f37-fb4be8a05bb8</t>
  </si>
  <si>
    <t>24/03/22</t>
  </si>
  <si>
    <t>Desain yang sudah final dari sta 0+000 s/d 5+500, sisanya masih dilakukan pembahasan terkait dispensasi grade/kemiringan dengan Dirjen Bina Marga , rencana penambahan dana 10% dan usulan penambahan masa pelaksanaan</t>
  </si>
  <si>
    <t>a9ed2155-f9ce-4a45-86db-714a2e3cc545</t>
  </si>
  <si>
    <t>19/01/21</t>
  </si>
  <si>
    <t>PU dan Pemerintah Kabupaten Pulau Morotai baru melakukan sosialisasi kepada warga desa cio maluleo, namun belum memberikan kejelasan terkait realisasi pembayaran 100% ganti rugi tanaman milik warga</t>
  </si>
  <si>
    <t>c900764c-e385-4abc-a3be-fc2a2b965690</t>
  </si>
  <si>
    <t>Erection Girder MM2100 terkendala Aksesoris kelengkapan LG belum ready, crane service dan genset belum siap</t>
  </si>
  <si>
    <t>3e9a1bc3-225e-4809-a6e6-0df8311d694d</t>
  </si>
  <si>
    <t>Teddy Pradana</t>
  </si>
  <si>
    <t>https://ptwaskita-my.sharepoint.com/:v:/g/personal/wayabula1_infra2_waskita_co_id/EaCtRrl4JGpMrd_NdKScx9MBnE7b7EYbmjkcltKLgEvGDQ?e=lqAdhq</t>
  </si>
  <si>
    <t>https://ptwaskita-my.sharepoint.com/:u:/g/personal/wayabula1_infra2_waskita_co_id/EZEHr1li-6pBhertKGrvnjoBNJsh8cfXbLi6rhZ7_AKZZA?e=u35xIJ</t>
  </si>
  <si>
    <t>https://ptwaskita-my.sharepoint.com/:i:/g/personal/wayabula1_infra2_waskita_co_id/Ee5CCTeN9C5Druu8g-OUfXkBj7_0W0xVI5YH2n83pn1-Og?e=VlPAaG</t>
  </si>
  <si>
    <t>https://ptwaskita-my.sharepoint.com/:u:/g/personal/wayabula1_infra2_waskita_co_id/EfLG1k1yI5pApI6pFvwRMCgBgIUuYtBDur4k7GV3T3fDhw?e=xY7HcL</t>
  </si>
  <si>
    <t>93355183-b28c-4e69-9b98-ae55a9e67f3d</t>
  </si>
  <si>
    <t>Terdapat perbedaan elevasi yang sangat signifikan (50 – 190 meter) antara Eksisting DED dan Eksisting Aktual Lapangan (Sta. 12+800 s/d
20+000). Pada Sta. 20+000 – 28+000 apabila mengikuti CL DED terdapat selisih over volume dikarenakan perbedaan eksi</t>
  </si>
  <si>
    <t>21c23994-45fb-4695-beab-7eb870be9c0a</t>
  </si>
  <si>
    <t>https://drive.google.com/file/d/1C7k3Dpl56BP0ohNNNqFPxLGOSdiajmaB/view?usp=sharing</t>
  </si>
  <si>
    <t>https://ptwaskita-my.sharepoint.com/:f:/g/personal/basuki_rahmat_waskita_co_id/En9mL5xhcEVAq9qklpYRl2IBe5w8ilQwR7Q20EfnQ_MDWQ?e=abzjud</t>
  </si>
  <si>
    <t>https://ptwaskita-my.sharepoint.com/:i:/g/personal/ahmadi_ahmadi_waskita_co_id/Ebq98vzS6tlLosEdivfgahEB7CPi64esdO0uAMJRNggnag?e=DtiMcY</t>
  </si>
  <si>
    <t>d1f0644d-8695-4160-9fbb-41543e974935</t>
  </si>
  <si>
    <t>13/04/22</t>
  </si>
  <si>
    <t>Perlu pengalihan trase tambahan untuk mengejar panjang efektif dan penyesuaian terhadap volume kontrak karena trase alternatif secara Panjang
desainnya lebih kecil dan lebih pendek.</t>
  </si>
  <si>
    <t>f11f4865-e97d-4fcc-87e1-55ec8e82ae36</t>
  </si>
  <si>
    <t>Dilakukan percepatan progres lapangan yang terkendala pada stock persediaan BBM yang menipis &amp; alat berat rusak</t>
  </si>
  <si>
    <t>1238083f-8a36-490b-a0db-54e82260a908</t>
  </si>
  <si>
    <t>Y. BUDI RASCHMAT K</t>
  </si>
  <si>
    <t>20/04/22</t>
  </si>
  <si>
    <t>45401385-ceae-4db8-a2cb-6184fee8c6ef</t>
  </si>
  <si>
    <t>19/05/22</t>
  </si>
  <si>
    <t>SBG Elevated Transyogi masih belum dikirim ke lokasi erection, tim BMI masih menunggu keputusan management BMI</t>
  </si>
  <si>
    <t>68a522e5-f23f-4d9e-9de2-2deb7551d159</t>
  </si>
  <si>
    <t>e858efae-6584-4f98-adc4-301656d47d3f</t>
  </si>
  <si>
    <t>24/05/22</t>
  </si>
  <si>
    <t>- Pekerjaan Kurang : Adanya rencana oleh Owner yaitu pembagian Proyek Paspro Seksi 4 menjadi 2 zona yaitu zona 4A dan Zona 4B.
- Tanah Lunak &amp; Pekerjaan Clearzone : Perubahan desain, perhitungan volume tambah, dan item baru akibat Penagangan Tanah Lunak</t>
  </si>
  <si>
    <t>842a82eb-ba96-4560-b11e-e2ce6a1fd6e4</t>
  </si>
  <si>
    <t>Kenaikan harga material besi dari APP</t>
  </si>
  <si>
    <t>88aa12f9-fb79-4dec-8289-ae8015fb8858</t>
  </si>
  <si>
    <t>Belum adanya design RTA Pekerjaan Rambu, Guardrail, dan PJU akibat clearzone, yang mana item tersebut memerlukan waktu dalam produksi / fabrikasi serta koordinasi dengan pihak External.</t>
  </si>
  <si>
    <t>ef18fe36-0fcd-47ac-af73-79c1c595afcb</t>
  </si>
  <si>
    <t>- WBP keterbatasan solar, Keterlambatan SBO split hanya 1 vendor, BP Pendamping masih fokus melayani ritel.
- Kebutuhan dana SBO untuk WBP sebesar : Rp. 89,49 M sd Sept ‘22 dan Rp. 91,13 M sd selesai.</t>
  </si>
  <si>
    <t>9b74e2ca-063f-44ed-9380-6b3da1fc7600</t>
  </si>
  <si>
    <t>30f056dc-0167-42f1-bece-aafce84bfd6e</t>
  </si>
  <si>
    <t>40833764-7e45-4e72-bb2e-975ce1bcfd9b</t>
  </si>
  <si>
    <t>https://1drv.ms/u/s!Av3zzsz7Xi3Zg5Ynr7rJHSF_A7KgdQ?e=lKGL9C</t>
  </si>
  <si>
    <t>https://1drv.ms/u/s!Av3zzsz7Xi3Zg4FsJi-k1XrvM6bzRA?e=efcDos</t>
  </si>
  <si>
    <t>https://ptwaskita-my.sharepoint.com/:f:/g/personal/fajar_sodiq_waskita_co_id/En_GURvrkEBCvHzW21kNvd0BJ5bCpF1qfUDDdETWvUcopw?email=ali.amirrudin%40waskita.co.id&amp;e=ZeOSeQ</t>
  </si>
  <si>
    <t>https://ptwaskita-my.sharepoint.com/:f:/g/personal/fajar_sodiq_waskita_co_id/Ekw5Ns4t9WpCktcg0F1wmxABirHHoknRBSAC0Ynur28U4g?email=ali.amirrudin%40waskita.co.id&amp;e=y3yZ67</t>
  </si>
  <si>
    <t>SBG Elevated Transyogi masih dalam proses fabrikasi, sehingga menghambat schedule erection</t>
  </si>
  <si>
    <t>83853b56-910d-4f0c-acef-bd0003a34d12</t>
  </si>
  <si>
    <t>https://drive.google.com/file/d/1nUUah2CVd1J3cTFA8KHt1c80mTHxlzgU/view?usp=sharing</t>
  </si>
  <si>
    <t>Permasalahan:
1. Desain rest area sampai saat ini belum ada
2. Target harian pekerjaan Galtim belum memenuhi target dengan 4 Subkon Aktif
3. Target penyerapan beton ready mix belum tercapai di 150 m3/hari
4. Telah dilaksanakan Show Cause Meeting Tahap 1 dari KSO ke WSKT karena keterlambatan sudah memasuki kategori 1, dengan target Test Case dalam 14 hari adalah 4.482%
Penyelesaian/Next Step:
1. Surat permohonan desain ke pihak JPB selaku owner proyek sudah diluncurkan sebanyak 3 kali. Rencana desain alternatif Rest Area sudah didesainkan untuk dieksekusi di lapangan.
2. Diperlukan Support pembayaran tagihan vendor agar dilakukan penambahan fleet alat. Koordinasi dengan vendor terkait agar segera menambah fleet alat.
3. Masih di supply dengan 1 Vendor yakni MJB, Kapasitas MJB belum memenuhi target karena melayani 3 member KSO bersamaan. BP WBP rencana beroprasi M4 Februari 2024
4. Akan dilakukan pembahasan terkait pekerjaan item terlambat yang akan dilakukan skema pengelolaan vendor bersama atau pengambil alihan pekerjaan oleh KSO. Koordinasi dengan UB terkait sumber daya yang harus dipenuhi agar tercapai target TestCase</t>
  </si>
  <si>
    <t>f9efaf54-d1a5-4114-b3b6-9a00563accae</t>
  </si>
  <si>
    <t>https://ptwaskita-my.sharepoint.com/:i:/g/personal/nizar_zulkarnain_waskita_co_id/EajAft-nzCVFjWNFyXbOxc4B_0t646E5on4En6GJhDMTlw?e=eK9aLX</t>
  </si>
  <si>
    <t>1. Desain Tapping, PIT dan Cross MUT belum ada, masih dalam proses permintaan ke P2JN
2. Desain Integrasi MUT 6C-1 (Tipe Khusus) terhadap MUT tipe 2
3. Terdapat Direksi Keet yang belum melakukan relokasi yang berada di lokasi terase 6C-1</t>
  </si>
  <si>
    <t>e089bcf4-5244-40b2-b7e1-821d57cd9af3</t>
  </si>
  <si>
    <t>https://drive.google.com/file/d/1auCoCUYlKSNFDaBaO4b-3oXE4lB79QNP/view?usp=sharing</t>
  </si>
  <si>
    <t>https://ptwaskita-my.sharepoint.com/:i:/g/personal/nizar_zulkarnain_waskita_co_id/EajAft-nzCVFjWNFyXbOxc4B_0t646E5on4En6GJhDMTlw?e=alxOpv</t>
  </si>
  <si>
    <t>ee093aa2-b315-4473-9107-b8c51d9e553f</t>
  </si>
  <si>
    <t>Pekerjaan Timbunan tanah belum maksimal dikarenakan kondisi Cuaca dengan terbatas nya quarry dan vendor</t>
  </si>
  <si>
    <t>92229055-4119-444e-ae9c-128a060cca02</t>
  </si>
  <si>
    <t>22/05/22</t>
  </si>
  <si>
    <t>bdcbaef7-6b51-4c0d-8d11-24f8531f3e06</t>
  </si>
  <si>
    <t>https://drive.google.com/drive/folders/1O84eLrUnsiPc_puop_MhlRBBU831nrf1</t>
  </si>
  <si>
    <t>https://ptwaskita-my.sharepoint.com/:f:/g/personal/fahmi_waskita_co_id/Er7J_4d7DB9HtcqybRrWdn4B18_fOLnVbKluhFsetV3vLg?e=5RMUn9</t>
  </si>
  <si>
    <t>Penyelesaian temuan defect di lapangan hasil dari Uji Laik Fungsi</t>
  </si>
  <si>
    <t>c95aa949-d217-4bea-8249-962b148b0f81</t>
  </si>
  <si>
    <t>https://drive.google.com/file/d/162-Trrvi9uXNHfY2mei_bmMsyXE1k-RJ/view?usp=drivesdk</t>
  </si>
  <si>
    <t>https://drive.google.com/drive/u/1/folders/1kmrMiwwSehqxNU0bzF-Lsqa0XNsWg_RL</t>
  </si>
  <si>
    <t>https://ptwaskita-my.sharepoint.com/:f:/r/personal/fahmi_waskita_co_id/Documents/BIM%20-%20INFRA%202/Project/WKINF2%20-%20D32C19006%20(Jakarta%20-%20Cikampek%20II%20Selatan%20Paket%203)/3.%20PUBLISHED/9.%20REALITY%20MODELING/202205%20-%20Mei%202022/Ortho</t>
  </si>
  <si>
    <t>https://ptwaskita-my.sharepoint.com/:f:/r/personal/fahmi_waskita_co_id/Documents/BIM%20-%20INFRA%202/Project/WKINF2%20-%20D32C19006%20(Jakarta%20-%20Cikampek%20II%20Selatan%20Paket%203)/3.%20PUBLISHED/9.%20REALITY%20MODELING/202205%20-%20Mei%202022/Reali</t>
  </si>
  <si>
    <t>1. Aset PT. IHM berupa rumah di segmen lingkar sepaku 4 sta. 2+200.
2. Lahan yang belum bebas di ujung segmen lingkar sepaku 4 sta. 2+496 (sebelah kiri).</t>
  </si>
  <si>
    <t>5924dcb7-1eaf-4b29-becf-d7bc730f0fba</t>
  </si>
  <si>
    <t>26877da7-8e63-491b-92e0-8205bd8b76ad</t>
  </si>
  <si>
    <t>346dc7ae-9b44-4993-864b-5ef3325f814f</t>
  </si>
  <si>
    <t>46e57636-8d86-4b4d-b752-3df8697aa8de</t>
  </si>
  <si>
    <t>ff9c64f0-d8b0-4a1d-8b41-4e97165e0dd8</t>
  </si>
  <si>
    <t>Arif Ridho</t>
  </si>
  <si>
    <t>31/05/22</t>
  </si>
  <si>
    <t>b949353f-599c-43ee-b891-6cbf9211271b</t>
  </si>
  <si>
    <t>63d89fa9-1ff5-44b2-b770-9efed433527b</t>
  </si>
  <si>
    <t>https://ptwaskita-my.sharepoint.com/personal/fahmi_waskita_co_id/_layouts/15/onedrive.aspx?csf=1&amp;web=1&amp;e=cKufKK&amp;cid=8b70c8a3%2D1999%2D40f7%2Dba78%2D83a3a8f545e6&amp;FolderCTID=0x0120008AE2C3201DBDD44A93E08450C0DB2828&amp;id=%2Fpersonal%2Ffahmi%5Fwaskita%5Fco%5Fi</t>
  </si>
  <si>
    <t>902ae798-fb78-466a-8608-1940c751df9c</t>
  </si>
  <si>
    <t>https://ptwaskita-my.sharepoint.com/personal/becakayu2aujung_waskita_co_id/_layouts/15/onedrive.aspx?id=%2Fpersonal%2Fbecakayu2aujung%5Fwaskita%5Fco%5Fid%2FDocuments%2FDRONE%202022%2FMEI&amp;ga=1</t>
  </si>
  <si>
    <t>Gambar Jembatan Cilengsi belum approve</t>
  </si>
  <si>
    <t>f9839827-02d0-41c2-8256-16b55edfc9cc</t>
  </si>
  <si>
    <t>Andi Firdaus</t>
  </si>
  <si>
    <t>24/06/22</t>
  </si>
  <si>
    <t>Penurunan kinerja vendor local prioritas untuk pekerjaan Base A, MEP,
Bangunan Pelengkap akibat tidak memiliki kemampuan finansial yang baik.</t>
  </si>
  <si>
    <t>4eeddd9c-1ad4-4f5d-bcdc-79f3865c9eeb</t>
  </si>
  <si>
    <t>Progress sebesar 30,06% belum dapat ditagihkan dikarenakan dikerjakan
sebelum kontrak &amp; menunggu diskresi dari Kementerian PUPR.</t>
  </si>
  <si>
    <t>e6317906-142c-43ec-b7ba-f13a09d5e13f</t>
  </si>
  <si>
    <t>Jalan Akses STA 10+500 rusak tidak bisa dilalui roda 4</t>
  </si>
  <si>
    <t>1a3f593b-ab4f-42c5-a2a6-4285303a3213</t>
  </si>
  <si>
    <t>https://ptwaskita-my.sharepoint.com/:i:/g/personal/wayabula1_infra2_waskita_co_id/EWs4vzu6IUJIvGDiaXLltoUBEWkvwoaRgcWtTJYa6JLIvA?e=9gTNel</t>
  </si>
  <si>
    <t>https://ptwaskita-my.sharepoint.com/:u:/g/personal/wayabula1_infra2_waskita_co_id/EeyWKuv8CShPq_bp_1BGSlABqxNvwDNOeP271jVu53wtVw?e=c9L4g8</t>
  </si>
  <si>
    <t>091731b1-8141-4dd1-9e12-d592498cda26</t>
  </si>
  <si>
    <t>Dibutuhkan revisi dimensi bentang girder P2 Jembatan A</t>
  </si>
  <si>
    <t>895a75e3-7298-400a-801c-9d74ba381d76</t>
  </si>
  <si>
    <t>23/06/22</t>
  </si>
  <si>
    <t>a6c93799-4f46-4076-9e3d-592af21ad44d</t>
  </si>
  <si>
    <t>https://ptwaskita-my.sharepoint.com/:f:/r/personal/fahmi_waskita_co_id/Documents/BIM%20-%20INFRA%202/Project/WKINF2%20-%20D32C19006%20(Jakarta%20-%20Cikampek%20II%20Selatan%20Paket%203)/3.%20PUBLISHED/9.%20REALITY%20MODELING/202206%20-%20Juni%202022?csf=</t>
  </si>
  <si>
    <t>e1c1b776-4f60-48b9-a36e-1d8297222334</t>
  </si>
  <si>
    <t>9a6c0889-b115-44ba-ba59-8383ee8d052c</t>
  </si>
  <si>
    <t>Budi Sugoro</t>
  </si>
  <si>
    <t>23f72156-28ff-40ac-b286-9b043fe22993</t>
  </si>
  <si>
    <t>https://drive.google.com/file/d/1h4J7soN6AOhi5c2YuYnuawzt2a1p1teL/view?usp=sharing</t>
  </si>
  <si>
    <t>https://ptwaskita-my.sharepoint.com/:f:/g/personal/basuki_rahmat_waskita_co_id/Et2ZPCt1gQFLiBdP0KdrB0UB7JuZq9e8jU9xDZx5FKCgRQ?e=aseS3Q</t>
  </si>
  <si>
    <t>https://ptwaskita-my.sharepoint.com/:i:/g/personal/ahmadi_ahmadi_waskita_co_id/ERKpE76RlXJBoj5vhkwsSaAB2K_eCAjZn9-n4e5lnvkCZQ?e=UlYh0G</t>
  </si>
  <si>
    <t>05ccd3b4-ef1b-4daf-a934-58ea1e8e769e</t>
  </si>
  <si>
    <t>Aditya Angga</t>
  </si>
  <si>
    <t>f0c519f3-77a3-4f1e-9a67-d6c8cae12434</t>
  </si>
  <si>
    <t>e9f368af-9c6a-4614-b0c7-98d2fe3c4462</t>
  </si>
  <si>
    <t>c252ebf7-3edb-44a8-a6fe-5c3327616429</t>
  </si>
  <si>
    <t>https://drive.google.com/file/d/1NNCdlL5h8U6f6KeLximzpUq0e7AATBRK/view?usp=sharing</t>
  </si>
  <si>
    <t>https://drive.google.com/drive/u/1/folders/1uDlh5Hdf5_YyW_c5uD7XuD-iMERGklFM</t>
  </si>
  <si>
    <t>https://ptwaskita-my.sharepoint.com/personal/fahmi_waskita_co_id/_layouts/15/onedrive.aspx?ga=1&amp;isAscending=true&amp;id=%2Fpersonal%2Ffahmi%5Fwaskita%5Fco%5Fid%2FDocuments%2FBIM%20%2D%20INFRA%202%2FProject%2FWKINF2%20%2D%201321047%20%28Proyek%20Infrastruktur</t>
  </si>
  <si>
    <t>Penentuan Lokasi Buangan Tanah Galian U-ditch</t>
  </si>
  <si>
    <t>c92f7bc6-a0ff-4a46-8dee-141c1d124ec2</t>
  </si>
  <si>
    <t>20/06/22</t>
  </si>
  <si>
    <t>ac9998ab-aefc-43bf-935f-ce1abfe41c33</t>
  </si>
  <si>
    <t>https://ptwaskita-my.sharepoint.com/:v:/g/personal/wayabula1_infra2_waskita_co_id/EeV24iRyDAFBg_J9Zb77DeEBxh9kWuQ74-Js8A0lwd0TBg?e=6mrl0f</t>
  </si>
  <si>
    <t>Tenaga kerja masih kurang sesuai rencana (sebgian tenaga pulang dan tidak kembali ke proyek)</t>
  </si>
  <si>
    <t>44d648e5-ea67-4101-b139-5555b6cb0f65</t>
  </si>
  <si>
    <t>https://drive.google.com/file/d/1NUvAeuqFYMWsKo3oejQmwer6cqXwSCdk/view?usp=sharing</t>
  </si>
  <si>
    <t>https://drive.google.com/file/d/1V-qQeTOZd_gMZ6tPhKnxHWEFLu2rj8xL/view?usp=sharing</t>
  </si>
  <si>
    <t>https://ptwaskita-my.sharepoint.com/:f:/g/personal/fahmi_waskita_co_id/EoGu44uBqAJOui1cKE2eke8ByPgGIMNvJ3rN8Ubmi3RsDQ?e=2Kklrf</t>
  </si>
  <si>
    <t>a841f984-25cb-47b0-9657-c34be5806ef3</t>
  </si>
  <si>
    <t>https://ptwaskita-my.sharepoint.com/:f:/r/personal/fahmi_waskita_co_id/Documents/BIM%20-%20INFRA%202/Project/WKINF2%20-%201317039%20(Jalan%20Tol%20Cibitung%20-%20Cilincing%20Seksi%202)/1.%20WIP/4.%20Reality%20Modelling/04.%20FOTOGRAMETRI/Juni%202022/Mesh</t>
  </si>
  <si>
    <t>1.Masih Besarnya Jatuh Tempo Pembayaran Vendor
2.Pembayaran ke vendor yang aktif masih terkendala proses KMK yang
sudah lebih dari 2 bulan
3.Dana Kerja untuk oprasional masih sangat terbatas</t>
  </si>
  <si>
    <t>82bf6f91-6dd5-4e91-bbeb-961e433ae3fc</t>
  </si>
  <si>
    <t>168ce3a8-5dfc-41d6-a5f7-f18e867ab4e5</t>
  </si>
  <si>
    <t>c4e2c50b-ec07-4bf6-8680-2dacb0107de4</t>
  </si>
  <si>
    <t>7b0fd4c1-a83b-4777-878a-3b018557bda9</t>
  </si>
  <si>
    <t>Kondisi alat yang tidak prima, sering terjadi kerusakan, faktor umur perlatan yang lebih dari 5 tahun ( 2 unit bulldozer sudah berumur 10 tahun)</t>
  </si>
  <si>
    <t>87605bf7-51bc-4ce9-a88d-bfbe29838948</t>
  </si>
  <si>
    <t>Steel Box Girder Elevated Transyogi masih belum dikirim seluruhnya secara kontinu oleh BMI</t>
  </si>
  <si>
    <t>b755c0f9-bd6d-4f21-83db-0d313e139e61</t>
  </si>
  <si>
    <t>24/01/22</t>
  </si>
  <si>
    <t>a7a72c40-cad2-47dd-a522-0144d1a9b36c</t>
  </si>
  <si>
    <t>13/02/22</t>
  </si>
  <si>
    <t>bc894948-15c1-4dd1-840b-e5d21ad919dd</t>
  </si>
  <si>
    <t>17/04/22</t>
  </si>
  <si>
    <t>f780cf30-5fb3-47f3-a03a-fe69b91445e9</t>
  </si>
  <si>
    <t>14/03/22</t>
  </si>
  <si>
    <t>a11e4c6c-269a-4e0b-9957-7648c870c193</t>
  </si>
  <si>
    <t>Persetujuan finalisasi desain zona 3 dan addendum 6 saat ini sudah disetujui, namun masih proses pengesahan.</t>
  </si>
  <si>
    <t>1d03abc4-23e7-418a-b6e5-2a9ef7421601</t>
  </si>
  <si>
    <t>609125fb-7e69-4c0a-ba21-5a608b840522</t>
  </si>
  <si>
    <t>https://ptwaskita-my.sharepoint.com/:u:/g/personal/wayabula1_infra2_waskita_co_id/EXbrF-9ydlpJgRrVqFgtiwsBeJ9eAelVqI-JITd_tGsR8Q?e=xkn1Aw</t>
  </si>
  <si>
    <t>SBG Transyogi masih belum dikirim seluruhnya secara kontinu oleh BMI. Persiapan Erection masih terkendala kelengkapan material dan alat support erection masih belum semua didatangkan.</t>
  </si>
  <si>
    <t>7cc2b3ea-ac59-4337-b501-148f9caffcc6</t>
  </si>
  <si>
    <t>https://1drv.ms/u/s!Av3zzsz7Xi3Zg5Ynr7rJHSF_A7KgdQ?e=P6SpqU</t>
  </si>
  <si>
    <t>https://ptwaskita-my.sharepoint.com/:f:/g/personal/fajar_sodiq_waskita_co_id/En_GURvrkEBCvHzW21kNvd0BJ5bCpF1qfUDDdETWvUcopw?email=ali.amirrudin%40waskita.co.id&amp;e=G8A5sa</t>
  </si>
  <si>
    <t>https://ptwaskita-my.sharepoint.com/:f:/g/personal/fajar_sodiq_waskita_co_id/Ekw5Ns4t9WpCktcg0F1wmxABirHHoknRBSAC0Ynur28U4g?email=ali.amirrudin%40waskita.co.id&amp;e=SKOrCN</t>
  </si>
  <si>
    <t>- Ketersediaan PCI Girder belum mencukupi untuk pekerjaan erection Non-PMN
- Pengadaan beton ready mix dan besi beton belum dapat dilakukan untuk ruas Non-PMN</t>
  </si>
  <si>
    <t>d01286c0-4fd4-476d-9f7e-3e77c1405d07</t>
  </si>
  <si>
    <t>22a85ff7-7569-48fe-b1d2-6c4cf0caf581</t>
  </si>
  <si>
    <t>48bcdb82-edd4-4021-ac26-f9bddd0a131d</t>
  </si>
  <si>
    <t>FITRI WAHYUDI</t>
  </si>
  <si>
    <t>Video Drone Mei
https://drive.google.com/file/d/1xHBsLcMgF5iI3-kh68g__CP6jehJ_4hx/view?usp=sharing</t>
  </si>
  <si>
    <t>Documentasi Mc 0 //                                                                                         https://drive.google.com/drive/folders/1c83Thk0J6NPQE1ACgQkmiBmPPh6P9usH?usp=sharing</t>
  </si>
  <si>
    <t>TIF,ORTOMOZAIC
https://drive.google.com/file/d/161VH5t73_nC6N0D-krK7pRFvFuG020Dm/view?usp=sharing</t>
  </si>
  <si>
    <t>( FILE SLPK )
https://drive.google.com/file/d/161VH5t73_nC6N0D-krK7pRFvFuG020Dm/view?usp=sharing</t>
  </si>
  <si>
    <t>a824b504-d3a4-4fd1-913c-6a5ffd029a93</t>
  </si>
  <si>
    <t>Berdasarkan Berita Acara Papenkon Addendum kontrak ke-XV menyatakan pekerjaan proyek tol Cimanggis-Cibitung seksi 2 akan dapat diselesaikan pada bulan Juni 2023 jika SBO lancar pada bulan Mei 2022.</t>
  </si>
  <si>
    <t>2ec204df-f033-4bfd-b5ae-77857689cb7b</t>
  </si>
  <si>
    <t>4470a7cb-3098-4eed-8f35-457c4af450ac</t>
  </si>
  <si>
    <t>Kondisi alat yang tidak prima, sering terjadi kerusakan, faktor umur perlatan , dan dalam perbaikan membutuhkan waktu proses pengirman sparepart didatangkan dari luar daerah.</t>
  </si>
  <si>
    <t>34b8f108-f91c-4f70-9cb1-70c13e0ef2f1</t>
  </si>
  <si>
    <t>Terdapat utilitas yang perlu direlokasi pada area pekerjaan sbb:
1. Ruko Suncity : Kabel SKTM PLN; Kabel SUTR PLN; Kabel Udara Provider; Kabel Tanam Provider; Panel ODC provider; Trafo PLN; Manhole Provider
2. Abutment 1 Hasibuan sisi Barat (Proyek Rev</t>
  </si>
  <si>
    <t>5d8e4317-324c-4015-b069-325142e2df98</t>
  </si>
  <si>
    <t>c8bb1729-039b-4210-9221-10051263071b</t>
  </si>
  <si>
    <t>25326d9d-936c-45d2-bd94-f02ecd75e941</t>
  </si>
  <si>
    <t>4f25c03f-6d17-4007-8f7d-ddf2c2dff9bd</t>
  </si>
  <si>
    <t>a232e849-945b-4538-92f7-9fe2ff697f23</t>
  </si>
  <si>
    <t>https://ptwaskita-my.sharepoint.com/:i:/g/personal/nizar_zulkarnain_waskita_co_id/EZFitrrCKdpNlh0QoD8wI0wB8XwQUGDl4GhBNzZ9m0Vnuw?e=expNCR</t>
  </si>
  <si>
    <t>af7164a2-6f6b-4279-a03c-1eada7e3ddd3</t>
  </si>
  <si>
    <t>https://ptwaskita-my.sharepoint.com/:f:/g/personal/nizar_zulkarnain_waskita_co_id/EtArwv0RqrZGlIAo9v0XdJwBnmvoQ7MXGpxZ_vvdtslcFQ?e=1zggcY</t>
  </si>
  <si>
    <t>4b197e8b-de24-47ad-9ca4-9b221b05ff7c</t>
  </si>
  <si>
    <t>https://drive.google.com/file/d/15_kX3eSq9TnSQu6rtp0q7Bn83DhAKAVR/view?usp=sharing</t>
  </si>
  <si>
    <t>Isu Produksi / Operasional
- Pembebasan lahan belum 100 % &gt;&gt; (Bersurat ke owner terkait pembebasan lahan, serah terima lahan secara parsial)
- Jalan Akses melibatkan 3 pihak BBWS, PJT2 &amp; Pertagas &gt;&gt; (Sudah berkoodinasi dan menunggu surat perizinan dari kabalai BBWS, menunggu justifikasi dari pertagas)
Isu Kontraktual dan legal
- Penerbitan Asuransi CAR (Contractor's All Risk) terlambat &gt;&gt; (Telah dilakukan klarifikasi dan negosiasi dengan beberapa penyedia jasa asuransi CAR , telah dilakukan penujukan Pialang, saat ini sedang proses penerbitan cover note vendor asuransi, close covernote telah ttd semua)
- Administrasi approval dokumen memakan waktu lama &gt;&gt; (Proses approval dokumen memakan waktu kurang llebih 21 hari untuk proses approval)
Isu K3 dan Lingkungan
- Sosialisasi warga sekita terkait akses &gt;&gt; (telah dilakukan sosialisasi dengan pemangku kepetentingan desa)
- Buangan air dewatering dari lokasi galian, tidak boleh dibuat ke saluran tersier &gt;&gt; (Membuat parit disamping lokasi galian dan dihubungkan ke saluran sekunder)
Isu Finansial
- Permintaan pembayaran vendor tempo 30 hari dan DP 10% &gt;&gt; (Pengaturan cashflow dan skala prioritas pembayaran)</t>
  </si>
  <si>
    <t>9b9feafb-6e93-4f93-b308-687915bb9b74</t>
  </si>
  <si>
    <t>Adanya rencana oleh Owner yaitu pembagian Proyek Paspro Seksi 4 menjadi 2 zona yaitu zona 4A dan Zona 4B</t>
  </si>
  <si>
    <t>0f0d685f-4a7a-455f-9d6a-4be228f7a69e</t>
  </si>
  <si>
    <t>25/05/22</t>
  </si>
  <si>
    <t>- Peralihan Kontrak WBP dari skema SBO menjadi kontrak Standart
- Keterbatasan Supply pasir galunggung di batching plant WBP Pangkalan
- Keterbatasan jumlah TM dan DT yang ada sehingga mengganggu sirkulasi pengecoran</t>
  </si>
  <si>
    <t>b4d54044-5922-4002-b895-e93928ec4f17</t>
  </si>
  <si>
    <t>357bbc17-7cb6-4fa3-b2e1-20d55590cb60</t>
  </si>
  <si>
    <t>Pekerjaan Besi Struktur masih kurang maksimal dikarenakan pengiriman material Besi D25 dan D16 mengalami keterlambatan
Pekerjaan Besi Struktur masih kurang maksimal dikarenakan pengiriman material Besi D25 dan D16 mengalami keterlambatan</t>
  </si>
  <si>
    <t>f4b67e7f-9999-4312-a201-75b4a295dc77</t>
  </si>
  <si>
    <t>dcec8f46-d5a7-4e9d-ac14-8e90d364aa97</t>
  </si>
  <si>
    <t>ab5c24fd-0084-46f4-8a14-9e6211a6cab4</t>
  </si>
  <si>
    <t>1acfadda-6f00-4373-81aa-cb9d53a8e2d2</t>
  </si>
  <si>
    <t>STA 13-19 yang harus selesai di Des’21 mengalami keterlambatan
sehingga ada potensi denda 5% dan Klarifikasi &amp; negoisasi dari CTP</t>
  </si>
  <si>
    <t>83b3fcf0-278f-424d-8968-66b072ed04e6</t>
  </si>
  <si>
    <t>bafa2694-1cfb-48ae-8174-96ea93fcdafa</t>
  </si>
  <si>
    <t>Perijinan pembongkaran struktur eksisting HK ATP (untuk struktur pilehead, slab, parapet)</t>
  </si>
  <si>
    <t>10cee905-0bf7-4acd-a426-48e1887ce5f3</t>
  </si>
  <si>
    <t>06f3df7e-ceff-427b-b23e-c4ae56694837</t>
  </si>
  <si>
    <t>https://ptwaskita-my.sharepoint.com/personal/fahmi_waskita_co_id/_layouts/15/onedrive.aspx?ct=1667180831649&amp;or=OWA-NT&amp;cid=d85df1db-4669-3bc5-51d0-1a425b6b919b&amp;ga=1&amp;id=%2Fpersonal%2Ffahmi_waskita_co_id%2FDocuments%2FBIM%20-%20INFRA%202%2FProject%2FWKINF2%</t>
  </si>
  <si>
    <t>6693caef-a333-4861-a6d2-0fe025fc5eed</t>
  </si>
  <si>
    <t>Yusron</t>
  </si>
  <si>
    <t>Jalan dan Jembatan Bts. Blitar Lot 6B</t>
  </si>
  <si>
    <t>14/07/22</t>
  </si>
  <si>
    <t>Pekerjaan Erection SBG saat ini menunggu proses kesiapan SBG untuk diangkat selanjutnya . Material on site : 60 /60, Segmen Assembly : 55/60,  Segmen Erection : 6/12 Girder</t>
  </si>
  <si>
    <t>1e267c00-678a-43f3-85c3-ec02f8d7ded7</t>
  </si>
  <si>
    <t>portaladminwskt</t>
  </si>
  <si>
    <t>Agus</t>
  </si>
  <si>
    <t>20/07/22</t>
  </si>
  <si>
    <t>1da937da-8314-41ad-bc5d-2b65eab9ba5f</t>
  </si>
  <si>
    <t>89bddd77-8d85-40e0-9421-fdcff48639b1</t>
  </si>
  <si>
    <t>https://drive.google.com/file/d/18B7N089S1YY5RphTX6wLk8j_mWE3UvDJ/view?usp=sharing</t>
  </si>
  <si>
    <t>https://drive.google.com/drive/folders/1tQ7oFl5s8c-R6DGQ0dDvSAfosqxzPLp-?usp=sharing</t>
  </si>
  <si>
    <t>https://ptwaskita-my.sharepoint.com/:i:/g/personal/ahmadi_ahmadi_waskita_co_id/EYwsxF1puCBEmvhUR1ytsZ8B840JOMbHM0RkZvBnm5sNrQ?e=MMXNog</t>
  </si>
  <si>
    <t>ac725fbe-51f0-487e-a2ef-a1c0c8c6f894</t>
  </si>
  <si>
    <t>Telah dilakukan Peresmian Proyek Bocimi Seksi 2 oleh Presiden RI Bapak Joko Widodo</t>
  </si>
  <si>
    <t>2cd814ec-25b3-4ba0-a94b-9f27b26a12df</t>
  </si>
  <si>
    <t>00966096-39ab-4d05-adf2-525da7c038d8</t>
  </si>
  <si>
    <t>https://ptwaskita-my.sharepoint.com/:i:/g/personal/wayabula1_infra2_waskita_co_id/ETgLxzBL_DRLq71dF5aGLMkBuqGQPm8SQvvJwhD1FTSKJQ?e=dk7ouB</t>
  </si>
  <si>
    <t>f8bb3ea6-0075-41c9-b617-3caf6589bb66</t>
  </si>
  <si>
    <t>fitri wahyudi</t>
  </si>
  <si>
    <t>https://drive.google.com/file/d/1QvsGXT5WhsfVU7FM7golCLQmmVkBOMgB/view?usp=sharing</t>
  </si>
  <si>
    <t>https://drive.google.com/drive/folders/1h5KO8QDCx4o27G3NZira3HoBmtSLmT8p?usp=sharing</t>
  </si>
  <si>
    <t>https://drive.google.com/drive/folders/1c9i9v1eaLkC45juC8gvXgqc63DYw9_FW?usp=sharing</t>
  </si>
  <si>
    <t>Hingga saat ini proses addendum penambahan waktu pelaksanaan masih dalam tahap pembahasan di tingkat pusat (PUPR)</t>
  </si>
  <si>
    <t>377a5d8d-f26e-46c0-87b9-0b36c33d6da0</t>
  </si>
  <si>
    <t>df22d240-09f4-43ef-9e65-20d7d867dde4</t>
  </si>
  <si>
    <t>25/07/22</t>
  </si>
  <si>
    <t>d356aeea-ac60-44f5-b4b8-f02e962915f8</t>
  </si>
  <si>
    <t>https://ptwaskita-my.sharepoint.com/:u:/g/personal/wayabula1_infra2_waskita_co_id/EQd4BcfBTwFKijTutmkUSz4BhjFSHkexzlQsmEL3nvba1Q?e=4UZikW</t>
  </si>
  <si>
    <t>f14bb3ed-2aa4-486c-bc3a-39cab1a0a020</t>
  </si>
  <si>
    <t>https://ptwaskita-my.sharepoint.com/:f:/r/personal/fahmi_waskita_co_id/Documents/BIM%20-%20INFRA%202/Project/WKINF2%20-%20D32C19006%20(Jakarta%20-%20Cikampek%20II%20Selatan%20Paket%203)/3.%20PUBLISHED/9.%20REALITY%20MODELING/DRONE-RAW?csf=1&amp;web=1&amp;e=sJr4L</t>
  </si>
  <si>
    <t>https://ptwaskita-my.sharepoint.com/:f:/r/personal/fahmi_waskita_co_id/Documents/BIM%20-%20INFRA%202/Project/WKINF2%20-%20D32C19006%20(Jakarta%20-%20Cikampek%20II%20Selatan%20Paket%203)/3.%20PUBLISHED/9.%20REALITY%20MODELING?csf=1&amp;web=1&amp;e=eM9ZIp</t>
  </si>
  <si>
    <t>86d8d177-8c13-42f1-b610-a1cffe94b671</t>
  </si>
  <si>
    <t>Fathan Zul Waskito</t>
  </si>
  <si>
    <t>10bfcaa2-db35-4871-b3b8-df77ee235961</t>
  </si>
  <si>
    <t>6ac96785-d632-422d-88a8-c592be90a05c</t>
  </si>
  <si>
    <t>https://ptwaskita-my.sharepoint.com/:f:/g/personal/fahmi_waskita_co_id/EjYXnUQEUBhJhE_T0kRkOjMBWjLYSeDomw7ccH7c59H4gA?e=eJOX8T</t>
  </si>
  <si>
    <t>https://ptwaskita-my.sharepoint.com/:f:/g/personal/fahmi_waskita_co_id/EodBR7O1bL9Gvf-5e0P36ssB5MnQTFxYpyf7m6UQuvRJBA?e=E52IHG</t>
  </si>
  <si>
    <t>https://ptwaskita-my.sharepoint.com/:f:/g/personal/fahmi_waskita_co_id/EgJOVvLweAhJqHNU3cd1qfMBDdL_s-K1sUxS4dE2-BLC7w?e=8j3YWt</t>
  </si>
  <si>
    <t>https://ptwaskita-my.sharepoint.com/:f:/g/personal/fahmi_waskita_co_id/EhzjAGmPcnRCvLOnldLNvg0BOABHSUbh2pjZmToqxKCZsA?e=hrQxuj</t>
  </si>
  <si>
    <t>7c6f0b98-480d-49ac-b604-662b418bd9c0</t>
  </si>
  <si>
    <t>SFO Jalan Tol Ruas Kanci - Pejagan</t>
  </si>
  <si>
    <t>Permohonan pencairan tagihan oleh vendor pengaspalan belum diterima</t>
  </si>
  <si>
    <t>e1f80b37-b7e4-4af6-ba72-12605cc3a908</t>
  </si>
  <si>
    <t>Pembongkaran Launcher Gantry terlambat, berdampak pada pekerjaan di area main road belakang abutment 2 Elevated Transyogi, yaitu pekerjaan perkerasan rigid pavements dst.</t>
  </si>
  <si>
    <t>02a132d6-5d3a-4111-bc44-18353b95fba6</t>
  </si>
  <si>
    <t>71bc9107-a3e9-41c0-9aab-ac05f1346843</t>
  </si>
  <si>
    <t>Pengurangan lingkup dan penambahan waktu akibat kemampuan produksi subkon dalam mencapai target pekerjaan</t>
  </si>
  <si>
    <t>6be9d0a1-ae2c-448a-845a-171bd7ebc624</t>
  </si>
  <si>
    <t>523909c3-a3db-4f81-aa1a-252f21e7f3f4</t>
  </si>
  <si>
    <t>c5f728af-6ef4-490b-a794-2b958430a3ba</t>
  </si>
  <si>
    <t>https://drive.google.com/file/d/1-QKh0jzkwkcmqa4PNGwQ4WvY3Nf7rfGD/view?usp=sharing</t>
  </si>
  <si>
    <t>https://drive.google.com/drive/folders/1tlsz8PI5wlb-woaLhQxhWed3LXWu2AiA?usp=sharing</t>
  </si>
  <si>
    <t>https://ptwaskita-my.sharepoint.com/:i:/g/personal/ahmadi_ahmadi_waskita_co_id/EQ2I4QPPVBFCtS6YGILMFmQBprno0YG10ZWslSmLnOSETw?e=PcRJay</t>
  </si>
  <si>
    <t>Suplai Solar dari Long Bawan hanya bisa 1 ton per minggu ke area proyek</t>
  </si>
  <si>
    <t>66661adb-0a75-4982-9bb1-b1ceb64a24d3</t>
  </si>
  <si>
    <t>14/08/22</t>
  </si>
  <si>
    <t>Penambahan item pekerjaan AC-BC pada Kontrak Vendor yang belum disetujui kembali</t>
  </si>
  <si>
    <t>41858c90-9de0-4301-862a-0a507f479b5d</t>
  </si>
  <si>
    <t>5bfb2c4f-2b5e-44bf-9003-92aa4e75c8b0</t>
  </si>
  <si>
    <t>Suplai solar dari Semamu terkendala akibat angkutan solar yang masih dalam peoses perbaikan</t>
  </si>
  <si>
    <t>aa7157b6-00df-455c-9288-4142f4a787b1</t>
  </si>
  <si>
    <t>18/08/22</t>
  </si>
  <si>
    <t>Proses MC100 Addendum Final
- Data ukur lebih dari 5cm tidak diakui konsultan
- ABD lebih dari 5cm belum diakui konsultan
- Masih ada pekerjaan yang belum diakui (ada memo walaupun pada lapangan tidak terjadi kerusakan)</t>
  </si>
  <si>
    <t>c9f95479-6eef-41e1-b3f9-d6588b76ee98</t>
  </si>
  <si>
    <t>Perbaikan alat berat yang memakan waktu lebih lama, dikarenakan kendala pengiriman sparepart</t>
  </si>
  <si>
    <t>7b959c47-df39-4290-974e-d50019540e7d</t>
  </si>
  <si>
    <t>8e986754-1945-4ca2-bc09-b1577394440a</t>
  </si>
  <si>
    <t>Kondisi alat sering terjadi kerusakan, faktor umur perlatan , dan dlm perbaikan mbthkan wktu proses pengirman sparepart didatangkan dari luar daerah.</t>
  </si>
  <si>
    <t>576ff6ee-a488-4cff-a29c-1ce6e07728bb</t>
  </si>
  <si>
    <t>Kurangnya Personil untuk mengerjakan dan mengupdate progress BIM</t>
  </si>
  <si>
    <t>cc75460f-a195-47a7-a5b0-476dcdc4526c</t>
  </si>
  <si>
    <t>Pengajuan Addendum MC-100 serta Variation Order</t>
  </si>
  <si>
    <t>1b27e74f-d21f-4ebe-b37f-b61568a31dab</t>
  </si>
  <si>
    <t>Tiang Listrik dan Apjatel di pedestrian perlu direlokasi</t>
  </si>
  <si>
    <t>946f7e18-2610-49bc-be49-0ed9cb81b389</t>
  </si>
  <si>
    <t>4ad05a5f-51dd-44e2-8ad2-751231f366b3</t>
  </si>
  <si>
    <t>https://drive.google.com/file/d/1gZ3OcxJdgrskzJSytdRcxLDl-CEoncbA/view</t>
  </si>
  <si>
    <t>https://ptwaskita-my.sharepoint.com/:i:/r/personal/fahmi_waskita_co_id/Documents/BIM%20-%20INFRA%202/Project/WKINF2%20-%201322007%20(LOT%20-%20P.%20Sine%20-%20Bts%20Kab.%20Blitar%202%20(Road%20and%20Bridge))/1.%20WIP/2.%20Photogrammetry/Ortho/Bulan%205%2</t>
  </si>
  <si>
    <t>https://webgis.waskita.co.id/portal/apps/instant/3dviewer/index.html?appid=7d2735f142d74fe99fa080d4651e0d97</t>
  </si>
  <si>
    <t>558c0272-50ea-410a-9a7b-b9f8b878ff71</t>
  </si>
  <si>
    <t>29/08/22</t>
  </si>
  <si>
    <t>Instalasi kabel pada saluran ducting oleh beberapa provider menyebabkan kerusakan pekerjaan pada beberapa spot area di zona Siligita - Kempinski</t>
  </si>
  <si>
    <t>ed80d982-ec5e-43e8-a18a-b851782b128a</t>
  </si>
  <si>
    <t>a58bf125-0ce6-4c7f-853f-cf988832867e</t>
  </si>
  <si>
    <t>Realisasi Pekerjaan tanah per hari 13.600 m3 dari rencana 20.000 m3.
Jumlah Fleet saat ini sudah sesuai dengan rencana yaitu 17 Fleet, tetapi produktifitas belum maksimal.
Quarry sedang dalam inspeksi oleh polda selama 1 minggu sehingga pek. Timbunan dib</t>
  </si>
  <si>
    <t>22772cc9-eae1-4f67-944d-0fdbca5f8696</t>
  </si>
  <si>
    <t>Target pengecoran per hari 1400 m3, terealisasi dari skema SBO 500 m3/hari, diharapkan dapats segera diterapkan Non SBO.
Quarry Lumbang masih terkendala perijinan, sehingga WSBP belum dapat mensupport non SBO.
Supply material SBO masih belum tercapai s</t>
  </si>
  <si>
    <t>dcadfe28-610a-4966-9a7d-03abe0985d69</t>
  </si>
  <si>
    <t>32322f45-d1a3-46c4-a0ae-4661706b9227</t>
  </si>
  <si>
    <t>8d363cd0-8775-4ede-9180-0f57e14ceecc</t>
  </si>
  <si>
    <t>cdcb6b9f-6a95-43c7-b2ac-f16b3bd9bb8b</t>
  </si>
  <si>
    <t>5a0a14f5-2f7e-4fb9-a476-978512847eb3</t>
  </si>
  <si>
    <t>bbb6bde8-48c9-42c3-b15f-a0876731b7eb</t>
  </si>
  <si>
    <t>https://drive.google.com/file/d/16cfIA01BTs2xgg4eAyhnsnSE7SpMkQ1s/view?usp=sharing</t>
  </si>
  <si>
    <t>https://ptwaskita-my.sharepoint.com/:i:/g/personal/nizar_zulkarnain_waskita_co_id/EeLIzxkY0HJLjtGRVSTCMhwBzBiO0pWg47ZhF2LzbuKtUQ?e=OIOUiE</t>
  </si>
  <si>
    <t>Ketersediaan PCI Girder untuk pekerjaan erection Non-PMN masih belum mencukupi karena terkendala material girder dan strand yang belum didatangkan.</t>
  </si>
  <si>
    <t>c04fee6e-4815-4e0e-ab31-a485af657e4a</t>
  </si>
  <si>
    <t>24/08/22</t>
  </si>
  <si>
    <t>Keterlambatan Produksi Girder bentang 35,8 M dan 25,8 M, karena menunggu kontrak.</t>
  </si>
  <si>
    <t>4f59ac3e-5e5e-4563-99e6-640ed6f8c042</t>
  </si>
  <si>
    <t>627abc84-10e9-400e-b77c-98898f7b2d0f</t>
  </si>
  <si>
    <t>https://drive.google.com/file/d/18V5jzkUgcDtorBkOzssTtoDW74i1-MaF/view?usp=share_link</t>
  </si>
  <si>
    <t>https://drive.google.com/drive/folders/18SJYp1jkpzgUMuGss_iRxLfAo5rxZuVG?usp=sharing</t>
  </si>
  <si>
    <t>https://drive.google.com/drive/folders/1QCe6VbF_8wo8UPqteAkQmDyZJT2jcNjZ?usp=share_link</t>
  </si>
  <si>
    <t>https://drive.google.com/drive/folders/12CN2V8tZcunkJSgHfuWxaOmzVFL9ybkG?usp=share_link</t>
  </si>
  <si>
    <t>e637e01a-bb51-4d2c-9b76-959480e93da4</t>
  </si>
  <si>
    <t>https://ptwaskita-my.sharepoint.com/:f:/g/personal/banyu_purwita_waskita_co_id/EqTjUHNq3YxAussMGuMB4SsB7s2rrcflDpIuNCrZdQ2_FA?e=accdV2</t>
  </si>
  <si>
    <t>Terdapat Aset IHM dalam trase Sta 2+200 berupa Rumah dan 2+025 berupa Gudang</t>
  </si>
  <si>
    <t>cc0d5b34-422f-415a-b2af-cfcc7996579b</t>
  </si>
  <si>
    <t>Tiang Listrik dan tiang Apjatel di pedestrian perlu direlokasi</t>
  </si>
  <si>
    <t>5da4692d-56bf-4d27-af3d-4ae83d1b9769</t>
  </si>
  <si>
    <t>15/09/22</t>
  </si>
  <si>
    <t>Instalasi kabeel pada saluran ducting oleh beberapa provider menyebabkan kerusakan pekerjaan pada beberapa spot area di zona siligita - kempinski</t>
  </si>
  <si>
    <t>f630d690-b2b1-4446-bcf4-afb671c3d506</t>
  </si>
  <si>
    <t>40e4dc8f-8932-42ec-91be-aada9520df3c</t>
  </si>
  <si>
    <t>f86da3fa-4f2b-498e-831b-1482f1205d89</t>
  </si>
  <si>
    <t>https://drive.google.com/file/d/1TGhbqigUIvJVIt6ve-SciGDMeXR1U2dD/view?usp=sharing</t>
  </si>
  <si>
    <t>https://drive.google.com/drive/folders/1QN4oVUePnl0XbxVxILe6FLM6ACCenQvk?usp=sharing</t>
  </si>
  <si>
    <t>https://ptwaskita-my.sharepoint.com/:f:/g/personal/ahmadi_ahmadi_waskita_co_id/ElAe_0W2-TlApS4LoP_Z9d8BQ_qf5UeOjQP-_pVnb_xc3g?e=zAXzc5</t>
  </si>
  <si>
    <t>d9f96c22-83b4-4ffc-9d05-2a6216394732</t>
  </si>
  <si>
    <t>20/09/22</t>
  </si>
  <si>
    <t>c0c5348f-7b57-4d44-9ce5-b34ee13a62d0</t>
  </si>
  <si>
    <t>area ramp 1 dan 2 belum bebas</t>
  </si>
  <si>
    <t>56f7a898-6493-420f-b6d7-f92272c8e686</t>
  </si>
  <si>
    <t>https://ptwaskita-my.sharepoint.com/:f:/g/personal/banyu_purwita_waskita_co_id/EjCsE_r5FXxIt0uF0U1b0I8BhJaFoavrW1CsM4GgcqTy1A?e=UWylIO</t>
  </si>
  <si>
    <t>https://ptwaskita-my.sharepoint.com/:f:/g/personal/banyu_purwita_waskita_co_id/EuRBO1e-wXFJiQw0-05iZioBAz-oqCA3UcQW7oXdDTeuNg?e=0Va6KS</t>
  </si>
  <si>
    <t>https://ptwaskita-my.sharepoint.com/:f:/g/personal/banyu_purwita_waskita_co_id/EvWxk2RzbilMp0p_SWqqaiMBP2GvHg9b3jc8eMd0wneHWw?e=9Avq80</t>
  </si>
  <si>
    <t>2c4e9dc1-15ee-481b-a58d-3fb50a491325</t>
  </si>
  <si>
    <t>https://ptwaskita-my.sharepoint.com/:f:/g/personal/banyu_purwita_waskita_co_id/EqTjUHNq3YxAussMGuMB4SsB7s2rrcflDpIuNCrZdQ2_FA?e=4d6rwD</t>
  </si>
  <si>
    <t>Pekerjaan Timbunan tanah belum maksimal dikarenakan kondisi Cuaca dengan
terbatas nya quarry dan vendor</t>
  </si>
  <si>
    <t>98538fe0-87e5-4a80-b12e-2a403509039d</t>
  </si>
  <si>
    <t>30/06/22</t>
  </si>
  <si>
    <t>d4f6b5ef-5b01-4ca6-99e3-90e462516e48</t>
  </si>
  <si>
    <t>8cccc2d2-872d-44bc-a2de-7738b730e156</t>
  </si>
  <si>
    <t>Pengadaan Beton ready mix dan besi beton belum dapat dilakukan dan produksi belum memenuhi untuk ruas Non-PMN</t>
  </si>
  <si>
    <t>72140ca4-2039-4de1-8f00-b311d3597197</t>
  </si>
  <si>
    <t>0c28cc71-2fdc-4490-9347-c59fa4cd7c16</t>
  </si>
  <si>
    <t>828f68fb-60c6-434c-85c1-82bbebf6df58</t>
  </si>
  <si>
    <t>dbb6cc71-3e17-4a87-a9fe-02fd453b3394</t>
  </si>
  <si>
    <t>4f0a9dec-b136-4f77-a905-ce8bb2165d1f</t>
  </si>
  <si>
    <t>e39d2ad2-d692-462a-a421-264382c796dd</t>
  </si>
  <si>
    <t>e4194696-8d75-4927-9e3e-fa1bbb036b32</t>
  </si>
  <si>
    <t>2dd5bb79-78a5-4a31-89b2-fe5fd478617d</t>
  </si>
  <si>
    <t>e5272d31-fe52-450f-9485-f6442ccc5824</t>
  </si>
  <si>
    <t>5008a969-c643-456b-955c-0dcd03a6965f</t>
  </si>
  <si>
    <t>Pencapaian Test Case (SCM Tahap 2)
Pada tanggal 15/09/2023 telah dilakukan SCM tahap 2 karena deviasi progres telah mencapai &gt;5%</t>
  </si>
  <si>
    <t>dcc6e117-1b82-460d-bd5e-42e575f3f49c</t>
  </si>
  <si>
    <t>d9eb037f-2082-4c9f-b118-11ddee4a3392</t>
  </si>
  <si>
    <t>29/09/22</t>
  </si>
  <si>
    <t>d615caec-1c6b-425d-a6f2-cf22432742a1</t>
  </si>
  <si>
    <t>8811edc9-2eb1-4875-8e54-50c83cbb2168</t>
  </si>
  <si>
    <t>https://drive.google.com/file/d/1TIp4YAyP2NOGWl5Omm3Audu8gOYJQ28o/view?usp=sharing</t>
  </si>
  <si>
    <t>https://ptwaskita-my.sharepoint.com/:f:/r/personal/fahmi_waskita_co_id/Documents/BIM%20-%20INFRA%202/Project/WKINF2%20-%201322007%20(LOT%20-%20P.%20Sine%20-%20Bts%20Kab.%20Blitar%202%20(Road%20and%20Bridge))/1.%20WIP/2.%20Photogrammetry/1.%20RAW%20foto?c</t>
  </si>
  <si>
    <t>https://ptwaskita-my.sharepoint.com/:f:/r/personal/fahmi_waskita_co_id/Documents/BIM%20-%20INFRA%202/Project/WKINF2%20-%201322007%20(LOT%20-%20P.%20Sine%20-%20Bts%20Kab.%20Blitar%202%20(Road%20and%20Bridge))/1.%20WIP/2.%20Photogrammetry/Ortho?csf=1&amp;web=1</t>
  </si>
  <si>
    <t>5708f702-aeaa-42cd-bfd6-d32fcda90a37</t>
  </si>
  <si>
    <t>https://drive.google.com/file/d/10QU0-95bs1UjNaoEUQ8ysBRgbwLH0eh1/view?usp=sharing</t>
  </si>
  <si>
    <t>https://ptwaskita-my.sharepoint.com/:i:/g/personal/nizar_zulkarnain_waskita_co_id/ESYkAPFwgmxFsxSFAqOqefIB4ZFtTRVRSSO7axLoPCIbKA?e=BJij7T</t>
  </si>
  <si>
    <t>cde31e41-2fb3-4d15-8452-dbed9250ae84</t>
  </si>
  <si>
    <t>https://ptwaskita-my.sharepoint.com/personal/fahmi_waskita_co_id/_layouts/15/onedrive.aspx?ct=1664530424592&amp;or=OWA-NT&amp;cid=9d85c8be-d1ce-230c-7d5b-f330a9224233&amp;ga=1&amp;id=%2Fpersonal%2Ffahmi_waskita_co_id%2FDocuments%2FBIM%20-%20INFRA%202%2FProject%2FWKINF2%</t>
  </si>
  <si>
    <t>Tiang PJU, Tiang Baliho, Tiang PLN di lokasi pekerjaan Exit Tol (Jalan Nasional) belum direlokasi</t>
  </si>
  <si>
    <t>7dd7425e-7084-4bf2-b50f-26b6dbf73acd</t>
  </si>
  <si>
    <t>https://ptwaskita-my.sharepoint.com/:f:/g/personal/banyu_purwita_waskita_co_id/EqTjUHNq3YxAussMGuMB4SsBRBigkgqPdbpX4jvT4vYRaQ?e=SAzWNn</t>
  </si>
  <si>
    <t>bbda581e-f216-4684-844d-b556165286bb</t>
  </si>
  <si>
    <t>b847f53f-30be-41f5-897a-b8fbc08be877</t>
  </si>
  <si>
    <t>https://drive.google.com/file/d/1GQwwXSuTzmfTT9s8qD9yccmU3_BXrp4U/view?usp=sharing</t>
  </si>
  <si>
    <t>https://drive.google.com/drive/folders/1mhLU5L8E-mkbZd4amRreUA1deyyEk7_Y?usp=sharing</t>
  </si>
  <si>
    <t>https://ptwaskita-my.sharepoint.com/:f:/g/personal/ahmadi_ahmadi_waskita_co_id/ElEHf_87TypLqmGIeV7LgKYBUXZOIFz4Fssz1R40J15dmQ?e=3QcV6q</t>
  </si>
  <si>
    <t>https://ptwaskita-my.sharepoint.com/:f:/g/personal/ahmadi_ahmadi_waskita_co_id/EvtOeuJh5GpKj2oaQ-KG5_ABqE8aKF1_EL4I2jGwJD2r1w?e=kYO90t</t>
  </si>
  <si>
    <t>46d8e2d0-1348-4d5c-b1f0-e8daad0ccda3</t>
  </si>
  <si>
    <t>Terdapat lubang galian PJU yang tergenang air, mengakibatkan terkendalanya pekerjaan</t>
  </si>
  <si>
    <t>fa260985-e853-4ab1-a0a1-2f73c789233c</t>
  </si>
  <si>
    <t>99980e67-6c6e-40ec-929a-34f4b8ef2ab5</t>
  </si>
  <si>
    <t>d05c5f3a-49ee-490a-94a3-1471b3090329</t>
  </si>
  <si>
    <t>c468bd7d-80db-46a6-a6ab-ab0ba760248b</t>
  </si>
  <si>
    <t>Suplai solar dari Semamu Terkendala akibat angkutan solar yang masih dalam peoses perbaikan</t>
  </si>
  <si>
    <t>29228a79-b44f-458e-838d-a3b813b6cb67</t>
  </si>
  <si>
    <t>https://drive.google.com/file/d/1X-1-mbqcIYzaalDwnXKDBXU68dUZyT-y/view</t>
  </si>
  <si>
    <t>https://ptwaskita-my.sharepoint.com/personal/fahmi_waskita_co_id/_layouts/15/onedrive.aspx?ga=1&amp;id=%2Fpersonal%2Ffahmi%5Fwaskita%5Fco%5Fid%2FDocuments%2FBIM%20%2D%20INFRA%202%2FProject%2FWKINF2%20%2D%201321047%20%28Proyek%20Infrastruktur%20Jalan%20Akses%</t>
  </si>
  <si>
    <t>d891d32c-7a73-43c9-bf90-5a0ec0bbe983</t>
  </si>
  <si>
    <t>https://ptwaskita-my.sharepoint.com/:i:/g/personal/wayabula1_infra2_waskita_co_id/EV4Imp5keaNIl_qFSlHcfUABCqiKyCsz6mhbrwcurX4gBQ?e=xYI3Po</t>
  </si>
  <si>
    <t>9a4e43d4-f532-4f04-a2e4-28324c7e47bb</t>
  </si>
  <si>
    <t>https://ptwaskita-my.sharepoint.com/:u:/g/personal/wayabula1_infra2_waskita_co_id/EYhzs-MldhFBmprvSueUxNABRsXRRQhUvC4Ia2s1f9rYww?e=vU3mMc</t>
  </si>
  <si>
    <t>7e6db76a-21f8-4c46-bf64-494015fce17c</t>
  </si>
  <si>
    <t>tidak tercapainya produktivitas vendor blasting</t>
  </si>
  <si>
    <t>077ee486-52f6-4903-ba18-7f5e30330734</t>
  </si>
  <si>
    <t>30/10/22</t>
  </si>
  <si>
    <t>dada96bb-6bd5-4345-bdcb-54ae17b9a55d</t>
  </si>
  <si>
    <t>6a99a920-55d8-45f2-9c01-87cef350dc3c</t>
  </si>
  <si>
    <t>Realisasi Pekerjaan tanah di M4 Okt maks per hari 21.038 m3 namun rata-rata per hari 16.497 dari rencana 17.061 m3</t>
  </si>
  <si>
    <t>edb27dca-71f2-4102-ba37-8a1b78d6ba1c</t>
  </si>
  <si>
    <t>7a66934c-3974-40d1-9427-6c04e62c5a19</t>
  </si>
  <si>
    <t>WBP keterbatasan solar, Keterlambatan SBO split hanya 1 vendor, BP Pendamping masih fokus melayani ritel.
Kebutuhan dana SBO untuk WBP sebesar : Rp. 91,13 M sd selesai, dan Kebutuhan dana SBO setiap minggu sebesar : Rp. 3,79 M.</t>
  </si>
  <si>
    <t>4d276f5c-55f7-42e6-a67e-f2e0cb49e50d</t>
  </si>
  <si>
    <t>8027c599-9ed9-4a83-941d-2fa655cf895e</t>
  </si>
  <si>
    <t>https://drive.google.com/file/d/1eO9y1uLKV6H6qwaCeY6qMM0WV0NPLA92/view?usp=sharing</t>
  </si>
  <si>
    <t>https://ptwaskita-my.sharepoint.com/:i:/g/personal/fahmi_waskita_co_id/ETL1zhNvk_RKjx6BIz8dR7YBKNuEcRfNrjEYH_aAACseXQ?e=c69gzw</t>
  </si>
  <si>
    <t>0dd1f78a-1dd6-4757-a945-41a4bab06232</t>
  </si>
  <si>
    <t>Pembebasan Lahan Kemenhan menghambat pekerjaan simpang sebidang exit tol Cibadak</t>
  </si>
  <si>
    <t>87411841-6996-4ae6-8805-350afd1842cf</t>
  </si>
  <si>
    <t>31/10/22</t>
  </si>
  <si>
    <t>24a3ae76-3064-45a2-ad64-4604c8d8842a</t>
  </si>
  <si>
    <t>https://drive.google.com/file/d/12ufItq8lflUKYsY_0P6iq4txgJjL7Wx6/view?usp=share_link</t>
  </si>
  <si>
    <t>https://ptwaskita-my.sharepoint.com/:f:/r/personal/fahmi_waskita_co_id/Documents/BIM%20-%20INFRA%202/Project/WKINF2%20-%201322007%20(LOT%20-%20P.%20Sine%20-%20Bts%20Kab.%20Blitar%202%20(Road%20and%20Bridge))/1.%20WIP/2.%20Photogrammetry/2.%20Olahan%20-%2</t>
  </si>
  <si>
    <t>ad7e0504-dff1-48c7-99a2-e1b1966f5402</t>
  </si>
  <si>
    <t>Target pengecoran Bulan Oktober  per hari 1600 m3, terealisasi  maks 700 m3/hari. 
Upaya yang sudah dilakukan Project untuk mensupport supply beton (Membantu pengadaan material dengan Skema SBO, Mengakomodir Kenaikan Harga Ready Mix WBP, &amp; Skema Uan</t>
  </si>
  <si>
    <t>0a865773-3fcd-4383-af26-ae1db640e3d0</t>
  </si>
  <si>
    <t>Target Pek. Guardrail Bulan Oktober 2.500 m, s.d saat ini material sudah datang 1.500 m dari WKI per tgl 25 Okt 2022, Vendor Guardrail Xaviera mengundurkan diri.</t>
  </si>
  <si>
    <t>fc9ae817-9fff-4c8c-8504-317b1c2fe937</t>
  </si>
  <si>
    <t>S.d saat ini masih dalam proses Tender.
Estimasi Material On Site di M-4 November 2022.</t>
  </si>
  <si>
    <t>cb9f6913-366c-4f7a-af20-b07b3322fa18</t>
  </si>
  <si>
    <t>Asistensi Desain ke kemenhub dijadwalkan M-1 November 2022.
Target Pengadaan Rambu M-4 Nov 2022.</t>
  </si>
  <si>
    <t>f2620d09-896e-4439-8c29-354d80bccfa5</t>
  </si>
  <si>
    <t>9201626c-414b-47bd-8e0e-abda3e30b869</t>
  </si>
  <si>
    <t>Pembongkaran Launcher Gantry yang terlambat berakibat pada pekerjaan area mainroad belakang Abutment 2 Elevated Transyogi menjadi terlambat juga (rigid, barrier, dll)</t>
  </si>
  <si>
    <t>495fc375-de95-46b6-8b0a-7421b24658a2</t>
  </si>
  <si>
    <t>Andri Julio Hermawan</t>
  </si>
  <si>
    <t>https://ptwaskita-my.sharepoint.com/:f:/g/personal/fahmi_waskita_co_id/EhySU81z2OJPoJmD771aBnUBx-4bmpQRqIK6jtO8n1mS7A?e=2mo30k</t>
  </si>
  <si>
    <t>penanganan RTA tanah clayshale pada lokasi galian adalah
dengan membuat kemiringan 1:4. Tetapi dengan keterbatasan lahan sehingga
galian banyak mengalami kelongsoran</t>
  </si>
  <si>
    <t>5184ac1f-370a-4040-b3fc-512838ac08d7</t>
  </si>
  <si>
    <t>https://drive.google.com/drive/folders/1SgEBtKz67SZRWO5lg43ciAAhLE3_6EK7?usp=sharing</t>
  </si>
  <si>
    <t>https://ptwaskita-my.sharepoint.com/:f:/g/personal/fahmi_waskita_co_id/Eu-8p5-8VA1Bk4GEjHDXIXYB2G_-LRIOgoXeG27kHYAW_w?e=FIvWpy</t>
  </si>
  <si>
    <t>Pekerjaan Kurang  : Adanya pekerjaan kurang akibat pemisahan zona 4B dari kontrak Pasuruan Probolinggo Seksi 4.
Pekerjaan Tambah dan Item Baru : Adanya pekerjaan tambah dan item baru akibat Penanganan Tanah Lunak &amp; Clearzone senilai 47 M</t>
  </si>
  <si>
    <t>6b71a294-1005-45ea-a927-8413a28fe316</t>
  </si>
  <si>
    <t>3a9c519f-062d-473b-a8d5-958aa36e564c</t>
  </si>
  <si>
    <t>https://drive.google.com/file/d/1Szqkr1N-HyxaRWW_4hhhr0nxiMhZL6oL/view?usp=sharing</t>
  </si>
  <si>
    <t>https://drive.google.com/drive/folders/1b7f2mevdd-AgkmBtZF4iwpa4ZbbZLjlh?usp=sharing</t>
  </si>
  <si>
    <t>https://ptwaskita-my.sharepoint.com/:f:/g/personal/ahmadi_ahmadi_waskita_co_id/EqZALSX1QGhLvCHVcZGNwakBMq1Pv-dAzWRlnI_uy7JdnQ?e=L9B5Gp</t>
  </si>
  <si>
    <t>Keterlambatan pengiriman BBM ke area proyek akibat
kondisi akses</t>
  </si>
  <si>
    <t>1603aa02-64a0-499f-b63b-c4f51d2bd4e0</t>
  </si>
  <si>
    <t>18/11/22</t>
  </si>
  <si>
    <t>Pengiriman sparepart perbaikan alat terlambat akibat terbatasnya jasa pengiriman barang</t>
  </si>
  <si>
    <t>f5d7ddf6-6aaf-4918-8959-5e4d2783a5e6</t>
  </si>
  <si>
    <t>4b3e1471-1f42-4a32-adb9-89b3bcf67772</t>
  </si>
  <si>
    <t>https://ptwaskita-my.sharepoint.com/:f:/g/personal/banyu_purwita_waskita_co_id/EqTjUHNq3YxAussMGuMB4SsBiXh4oqEIfNRGgQPI_JRXdw?e=ow5kbw</t>
  </si>
  <si>
    <t>eb3874b0-1d9a-4f51-8c3a-11ce0d786da7</t>
  </si>
  <si>
    <t>73b8e7f5-0504-41a6-9d55-3637157fccdc</t>
  </si>
  <si>
    <t>519af85d-4ac9-40d6-ae9f-da640292c9f2</t>
  </si>
  <si>
    <t>8f3b6af7-76eb-480f-ba17-d740c6206efb</t>
  </si>
  <si>
    <t>Nico Nakmofa</t>
  </si>
  <si>
    <t>88b412ae-be12-4fed-a095-54822ba19f45</t>
  </si>
  <si>
    <t>829f3151-1e83-4009-876a-dff98e556f2b</t>
  </si>
  <si>
    <t>Nur Alfan Wisnu H</t>
  </si>
  <si>
    <t>Jalan IKN Lingkar Sepaku Segmen 4</t>
  </si>
  <si>
    <t>708dc047-d9c4-46cf-a7db-1c332f871065</t>
  </si>
  <si>
    <t>Tri Suseno</t>
  </si>
  <si>
    <t>Jalan SP. Blusuh – BTS. Kalteng JOP 62.5</t>
  </si>
  <si>
    <t>1. Masih Besarnya Jatuh Tempo Pembayaran Vendor
2. Pembayaran ke vendor yang aktif masih terkendala proses KMK yang sudah lebih dari 2 bulan
3. Dana Kerja untuk oprasional masih sangat terbatas</t>
  </si>
  <si>
    <t>6f7c499b-53ec-4248-a0ce-96a3a91a8eda</t>
  </si>
  <si>
    <t>f36a12d5-fb5d-4d60-9d96-1a27ead620d4</t>
  </si>
  <si>
    <t>acd835cc-48fc-449d-8ab0-80c3d13e5aef</t>
  </si>
  <si>
    <t>20/11/22</t>
  </si>
  <si>
    <t>b2fa2ce8-bf12-47d1-9e60-ce9729cb0e56</t>
  </si>
  <si>
    <t>Fikri Rifki Ghiffari</t>
  </si>
  <si>
    <t>https://drive.google.com/file/d/1Ey0Bq1Dw0-HgIi0IdNfwxZiRg80Us0Ld/view?usp=share_link</t>
  </si>
  <si>
    <t>https://ptwaskita-my.sharepoint.com/:i:/g/personal/fahmi_waskita_co_id/ETL1zhNvk_RKjx6BIz8dR7YBKNuEcRfNrjEYH_aAACseXQ?e=VcfUmr</t>
  </si>
  <si>
    <t>- Suplai Solar dari Long Bawan hanya bisa 1 ton per minggu ke area proyek.
- Suplai solar dari Semamu Terkendala akibat angkutan solar yang masih dalam proses perbaikan
- Pengiriman solar ke Semamu terhambat sehingga menjadi krisis solar
- Perbaikan alat</t>
  </si>
  <si>
    <t>a68cb8d3-1f40-422e-ad39-c8e7630d04f8</t>
  </si>
  <si>
    <t>https://drive.google.com/file/d/11UBd7RU92cOfZh2Rvycrlc_TIhSiijN_/view?usp=share_link</t>
  </si>
  <si>
    <t>https://ptwaskita-my.sharepoint.com/:f:/g/personal/fahmi_waskita_co_id/El_WFAFXRItPsPifi0E6wSEBZCzuFUZ9uiUmyed3pTHZsg?e=Xu372e</t>
  </si>
  <si>
    <t>256e4b8c-9d43-4d74-9932-bb145a3448d3</t>
  </si>
  <si>
    <t>1. Untuk menyelesaikan Gate Sadang Kutanegara lahan yang belum bebas
10 5 Ha
2. Sedangkan lahan yang dilokasi Zona 1 dan Spot Spot Zona 2 lahan yang
belum bebas 231 Ha</t>
  </si>
  <si>
    <t>88e12d11-0ac6-4b08-a95b-0482ea0a05a2</t>
  </si>
  <si>
    <t>Aldian Winata</t>
  </si>
  <si>
    <t>Rekonstruksi Jembatan Palu 4</t>
  </si>
  <si>
    <t>d99f6164-7a7c-4106-99b7-7fe558acc942</t>
  </si>
  <si>
    <t>https://drive.google.com/file/d/1OJx5NEYwNCEDLbcABwyZq8eWVzWpAx0-/view?usp=sharing</t>
  </si>
  <si>
    <t>https://ptwaskita-my.sharepoint.com/:f:/g/personal/aldian_winata_waskita_co_id/EgUMJpyU2qhKhifPsVk4tjYB-sgSN5U9LRLy0CBgExwKTw?e=Z3nyMJ</t>
  </si>
  <si>
    <t>https://ptwaskita-my.sharepoint.com/:i:/g/personal/aldian_winata_waskita_co_id/EdkIHRjpeeBBpFAz6vZm-rgBwHf7KEcC1lKhvUPzsAU3eA?e=NRizCZ</t>
  </si>
  <si>
    <t>Produktivitas proyek rendah
1. Patner KSO PT Baswara Sinarmulia sudah tidak dapat menyelesaikan sisa pekerjaan 2. KondisI hutang baswara (Hutang suplai material &amp; hutang termin) kepada waskita tercatat per Oktober 2022 sebesar Rp. 16.432.656.970,- 3. Sa</t>
  </si>
  <si>
    <t>4c0b2ec4-df5c-45b1-a854-834d4bb3a781</t>
  </si>
  <si>
    <t>14/11/22</t>
  </si>
  <si>
    <t>feed38c9-25f1-4ba2-b2ea-150428c22b41</t>
  </si>
  <si>
    <t>c75c5be9-7d30-4df6-9577-fd7d631391f6</t>
  </si>
  <si>
    <t>34519510-ad24-4b0d-804c-cba2fe5d9981</t>
  </si>
  <si>
    <t>dc11c425-39bf-458a-93f6-39493f7ba01f</t>
  </si>
  <si>
    <t>299827be-ca8e-4f4a-adb1-d94934c83dad</t>
  </si>
  <si>
    <t>Alfian Budi PRasetya</t>
  </si>
  <si>
    <t>6167434d-fc32-47a5-bd21-e411137ff5b0</t>
  </si>
  <si>
    <t>Jalan Tol IKN 5A Tempadung-Pulau Balang (JOI 50%)</t>
  </si>
  <si>
    <t>9815c369-4ef8-4f63-ba4c-f650098df0f8</t>
  </si>
  <si>
    <t>https://drive.google.com/file/d/1J1LQLgIg5F9_E4qLXv3PEEtGg8IDmHhX/view?usp=share_link</t>
  </si>
  <si>
    <t>https://ptwaskita-my.sharepoint.com/:f:/g/personal/fahmi_waskita_co_id/EswF7E_W3kVEuVxcupvxXXsBCdyQ1umcU-EcTWncDva1xg?e=bIfwqE</t>
  </si>
  <si>
    <t>cc6b0ef3-8348-4919-bfee-4ebb3b903730</t>
  </si>
  <si>
    <t>66cede9e-3b2b-4f69-9fa2-3a5ae587618d</t>
  </si>
  <si>
    <t>46a0e870-27c3-424d-879b-4bc4190529ad</t>
  </si>
  <si>
    <t>de7b8e43-5633-442f-bdde-2c8e9b27ac8d</t>
  </si>
  <si>
    <t>https://ptwaskita-my.sharepoint.com/:f:/g/personal/banyu_purwita_waskita_co_id/EqTjUHNq3YxAussMGuMB4SsB7s2rrcflDpIuNCrZdQ2_FA?e=c7JRWx</t>
  </si>
  <si>
    <t>Outstanding progres diakibatkan oleh item baru dan over volume yang belum diakomodir di RAB kontrak.</t>
  </si>
  <si>
    <t>ab7738b4-bb2f-4fb4-97d3-9b473051eb03</t>
  </si>
  <si>
    <t>Pembebasan lahan terkait tegakan / pohon; Utilitas tiang listrik PLN di dekat Jalan Akses; Desain Persimpangan</t>
  </si>
  <si>
    <t>4f3aa55d-46e4-475e-a06b-985c722ab8cc</t>
  </si>
  <si>
    <t>06826d42-fb61-4ccd-9e98-6ff65273dbe7</t>
  </si>
  <si>
    <t>Asumsi Cuaca Maret 2022 sudah terang, s.d saat ini masih hujan 2 hari  sekali sehingga mengganggu pekerjaan timbunan</t>
  </si>
  <si>
    <t>001d546a-70cd-4fc8-ba54-d5da53ed8b3a</t>
  </si>
  <si>
    <t>03dd624c-a167-4d2e-84b3-c4a0a281c61e</t>
  </si>
  <si>
    <t>e388d63c-0727-4d92-b079-05a6c3cb5144</t>
  </si>
  <si>
    <t>040de823-d7df-4418-bd5c-84738894df3a</t>
  </si>
  <si>
    <t>9c44f32b-07d5-40df-8975-3ce9a8a6c0a0</t>
  </si>
  <si>
    <t>50b278db-a032-4795-a84b-96afbda7415f</t>
  </si>
  <si>
    <t>3,0 Km (39%) lahan belum terbit IPPKH (Izin Pinjam Pakai Kawasan Hutan) akibat adanya review design saat masa konstruksi</t>
  </si>
  <si>
    <t>3a87f3a2-6e7e-44b5-962c-5203f28b9085</t>
  </si>
  <si>
    <t>Rasendriya Ramanda Darettamarlan</t>
  </si>
  <si>
    <t>https://drive.google.com/file/d/1769vsS2tIkDD0H3FzXfHYMCcg3c4xlUx/view?usp=share_link</t>
  </si>
  <si>
    <t>https://ptwaskita-my.sharepoint.com/:f:/g/personal/rasendriya_ramanda_waskita_co_id/EszIQDN5-2RDiGD2SZGFeLUBC9shYfAvv630z9Q9_IWf6A?e=f9P3Ic</t>
  </si>
  <si>
    <t>https://ptwaskita-my.sharepoint.com/:f:/g/personal/rasendriya_ramanda_waskita_co_id/EmHNLZBTD11MnbQX1fd_mu0BPGv1PdoRucIn6MNMHX-niA?e=6fhSYW</t>
  </si>
  <si>
    <t>https://ptwaskita-my.sharepoint.com/:f:/g/personal/rasendriya_ramanda_waskita_co_id/EpODA-lEXPBIkwubaI7tQToB6d2dA0R4aLFuLvmiOcB4QA?e=pRuP21</t>
  </si>
  <si>
    <t>635ca702-52ad-4a13-8262-d37ac02a4ab8</t>
  </si>
  <si>
    <t>https://ptwaskita-my.sharepoint.com/:f:/g/personal/fahmi_waskita_co_id/EnSGTW8gRvFNoOdgLnHiSA0BKdM0slm7sX-ZnnKn8kJtiQ?e=hqam19</t>
  </si>
  <si>
    <t>81df3938-b7ee-4fe1-9000-7e800154699c</t>
  </si>
  <si>
    <t>https://drive.google.com/file/d/1f0zFbmiWC6TGr8XKRTmxQUyrmMUunaPd/view</t>
  </si>
  <si>
    <t>https://ptwaskita-my.sharepoint.com/:f:/r/personal/fahmi_waskita_co_id/Documents/BIM%20-%20INFRA%202/Project/WKINF2%20-%201316019%20(Jalan%20Tol%20Bocimi%20Seksi%202)/2.%20SHARED/Dokumentasi/Dokumentasi%20Lapangan/4.%202022%20November?csf=1&amp;web=1&amp;e=oWZvh</t>
  </si>
  <si>
    <t>https://ptwaskita-my.sharepoint.com/:f:/g/personal/fahmi_waskita_co_id/EqG-gGgfOftElXgN_pSMLKoBB3sEMd2MR4usJgjzvv1Ouw?e=El2I86</t>
  </si>
  <si>
    <t>https://ptwaskita-my.sharepoint.com/:f:/r/personal/fahmi_waskita_co_id/Documents/BIM%20-%20INFRA%202/Project/WKINF2%20-%201316019%20(Jalan%20Tol%20Bocimi%20Seksi%202)/2.%20SHARED/Dokumentasi/Reality%20Modelling/04.%202022%20November?csf=1&amp;web=1&amp;e=yBo1qS</t>
  </si>
  <si>
    <t>3c67ae36-4272-4c4f-b585-58e81473f22f</t>
  </si>
  <si>
    <t>28/11/22</t>
  </si>
  <si>
    <t>5634211c-540c-4431-a2cb-167186a5c376</t>
  </si>
  <si>
    <t>24/11/22</t>
  </si>
  <si>
    <t>86334c23-b1b0-4524-8966-cb6f527aba01</t>
  </si>
  <si>
    <t>https://drive.google.com/file/d/1kxjDj-Mf9NeG1xMXEvnOHN22pqdT7Csy/view?usp=share_link</t>
  </si>
  <si>
    <t>https://ptwaskita-my.sharepoint.com/:f:/r/personal/fahmi_waskita_co_id/Documents/BIM%20-%20INFRA%202/Project/WKINF2%20-%201322007%20(LOT%20-%20P.%20Sine%20-%20Bts%20Kab.%20Blitar%202%20(Road%20and%20Bridge))/1.%20WIP/2.%20Photogrammetry/1.%20RAW%20foto/0</t>
  </si>
  <si>
    <t>104b9f31-6c74-491d-9a50-1bdb9171d652</t>
  </si>
  <si>
    <t>15/11/22</t>
  </si>
  <si>
    <t>Utilitas PLN di jalan Nasional Exit Tol Cibadak belum direlokasi sehingga menghambat pekerjaan rigid di Area Simpang Sebidang</t>
  </si>
  <si>
    <t>80947db1-5690-4bee-9c77-49fc160204b5</t>
  </si>
  <si>
    <t>PCI Girder untuk area Non-PMN belum mencukupi karena terkendala material girder dan strand yg belum datang</t>
  </si>
  <si>
    <t>4bc7f506-3ef2-4c12-b19f-00a2e0ee34aa</t>
  </si>
  <si>
    <t>c173e0de-4d21-4ac8-a8d8-752792f0f3bc</t>
  </si>
  <si>
    <t>Asistensi Ulang terkait Desain ke kemenhub dijadwalkan M-4 November 2022.
Target Pengadaan Rambu M-2 Des 2022.</t>
  </si>
  <si>
    <t>921f80b0-a6f8-42ef-8511-75e70595bc94</t>
  </si>
  <si>
    <t>4e344834-b70b-4ca1-a185-fedcf8df8a15</t>
  </si>
  <si>
    <t>https://drive.google.com/file/d/1TXBIAHSqQFbtorI9T5Zd8vfa_pDg6osd/view?usp=sharing</t>
  </si>
  <si>
    <t>https://ptwaskita-my.sharepoint.com/:f:/g/personal/ahmadi_ahmadi_waskita_co_id/EqZALSX1QGhLvCHVcZGNwakBMq1Pv-dAzWRlnI_uy7JdnQ?e=hEroba</t>
  </si>
  <si>
    <t>Produktivitas blasting tidak sesui rencana sehingga berpengaruh terhadap penyelesaian proyek</t>
  </si>
  <si>
    <t>cd2fe5e1-b248-4910-b3f7-23ed526c0913</t>
  </si>
  <si>
    <t>2ecc4cb1-602e-496f-8f27-90f0f9db40d5</t>
  </si>
  <si>
    <t>3114fe04-713a-471b-a06b-5a377bf37703</t>
  </si>
  <si>
    <t>https://drive.google.com/file/u/2/d/1nUguAcXNGBSiGLBW5CTw85dYaY6KD-9k/view?usp=share_link</t>
  </si>
  <si>
    <t>16d25344-1acc-416a-8f40-a2502d4ce790</t>
  </si>
  <si>
    <t>https://ptwaskita-my.sharepoint.com/:v:/g/personal/wayabula1_infra2_waskita_co_id/Ebl40LYivpZAt_4MU5EZtBsBs_fij8j0iSXhPJXeh2fiMQ?e=UiNs5O</t>
  </si>
  <si>
    <t>https://ptwaskita-my.sharepoint.com/:i:/g/personal/wayabula1_infra2_waskita_co_id/EXs-TgqoQcxGgrY2qpAbQjMBjeC-Af9T9GTpKy6iH2Hc1g?e=ZgHP98</t>
  </si>
  <si>
    <t>Target penyelesaian simpang sebidang tanggal 10 April 2023</t>
  </si>
  <si>
    <t>3d3331e5-741b-42a1-b54e-607840990816</t>
  </si>
  <si>
    <t>https://drive.google.com/drive/mobile/folders/1CEeKts4U7jGRU6XkBjJ5he66o_76dFXN/1sE1DU47UD8gyiPvXH_CVfzTIpLE60Rw3/17rArNKUSdGvHjVk7A9NIvqTXtN3nggnQ/1c421Zli8nwzdNDDVZDZWuacmRpR5T0M6?sort=13&amp;direction=a</t>
  </si>
  <si>
    <t>https://drive.google.com/drive/mobile/folders/1CEeKts4U7jGRU6XkBjJ5he66o_76dFXN/1sE1DU47UD8gyiPvXH_CVfzTIpLE60Rw3/1HQzk1aQTuEtNk1PWVcluA0b6NFKn7StR/13elTpCjF42bswnNTvV6ZqamKh2Yb-5ob/154HbsSGbTU1WDWXUboCuGvMy5unJmoZe/10lnaIiIxMroN4xqjtvXVIQlmYnKPs--5?sort</t>
  </si>
  <si>
    <t>9fb8df0c-4ea6-44e9-a55e-05c2a97109e7</t>
  </si>
  <si>
    <t>https://drive.google.com/file/d/1aKdULo3pEt2u9GB29GCk-WJNpx9MyVya/view?usp=drivesdk</t>
  </si>
  <si>
    <t>https://drive.google.com/file/d/1JHZExNPWg7p1skrxzfcqwLRyTldRC_YY/view?usp=drivesdk</t>
  </si>
  <si>
    <t>https://ptwaskita-my.sharepoint.com/:f:/r/personal/fahmi_waskita_co_id/Documents/BIM%20-%20INFRA%202/Project/WKINF2%20-%20D32C19006%20(Jakarta%20-%20Cikampek%20II%20Selatan%20Paket%203)/3.%20PUBLISHED/9.%20REALITY%20MODELING/202211%20-%20November%202022?</t>
  </si>
  <si>
    <t>masih ada beberapa lokasi lahan yang belum bebas</t>
  </si>
  <si>
    <t>cc2e38f0-6a70-4b9d-9de5-efecadede86a</t>
  </si>
  <si>
    <t>d87f4d13-3693-456a-a00f-eb659048e87c</t>
  </si>
  <si>
    <t>bb0b99a9-d3b0-4002-b42f-94e7b301d708</t>
  </si>
  <si>
    <t>502b230d-6d6e-4b75-a2ae-765fb8c222ed</t>
  </si>
  <si>
    <t>12af1947-3d8b-485b-874c-b498e563b47c</t>
  </si>
  <si>
    <t>1 Pada Rapat SCM III adanya CCO Untuk mempercepat penyelesaian pekerjaan dan mengurangi kebutuhan Split maka di lakukan CCO pada pekerjaan bahu jalan dan hotmix yang mengakibatkan penambahan sebesar 2,250 Km pada area Baswara.</t>
  </si>
  <si>
    <t>a6f052f3-3b77-46b4-90d6-7bdd450df2dc</t>
  </si>
  <si>
    <t>ea4255ed-6b35-4da8-a2ed-58429b2d4bfa</t>
  </si>
  <si>
    <t>0f8bf7d5-4627-4407-9cfd-112d8aa04551</t>
  </si>
  <si>
    <t>23/11/22</t>
  </si>
  <si>
    <t>accfcc32-15f1-47fa-b320-6272255e9469</t>
  </si>
  <si>
    <t>https://drive.google.com/drive/folders/1Lj1uhnjaqvlnewduDBR--HHb8ylpPP-f?usp=sharing</t>
  </si>
  <si>
    <t>https://ptwaskita-my.sharepoint.com/:f:/g/personal/ahmadi_ahmadi_waskita_co_id/EqZALSX1QGhLvCHVcZGNwakBMq1Pv-dAzWRlnI_uy7JdnQ?e=7ef5nH</t>
  </si>
  <si>
    <t>b73b4a3a-6262-4a51-8a26-b17c38eeae23</t>
  </si>
  <si>
    <t>1. Keterbatasan dana yang dimiliki waskita
2. Kondisi financial waskita belum stabil setelah pandemi covid
3. Beberapa supplier lokal meminta dibayar cash</t>
  </si>
  <si>
    <t>33128997-94d1-4b77-b651-8f433759b93d</t>
  </si>
  <si>
    <t>1. Kurangnya sosialisasi dengan masyarakat sekitar terkait adanya pekerjaan yang berhubungan dengan akses jalan warga
2. Masyarakat dan penduduk sekitar masih menjalankan hukum adat</t>
  </si>
  <si>
    <t>d0c89ea6-3038-4d1b-a816-4eca99946d47</t>
  </si>
  <si>
    <t>adanya pasal denda yang tidak dijelaskan batas maksimal dendanya</t>
  </si>
  <si>
    <t>78cd1f57-0b44-4f83-9d25-47f2e14611e8</t>
  </si>
  <si>
    <t>b7b1dbc8-640c-4b16-8da2-23184f7f8056</t>
  </si>
  <si>
    <t>Untuk material beton, besi dan geotekstil belum masuk kedalam APP 3
Bulanan awal.</t>
  </si>
  <si>
    <t>aac57a53-01a1-4101-911e-1dae48da2381</t>
  </si>
  <si>
    <t>https://ptwaskita-my.sharepoint.com/:i:/r/personal/fahmi_waskita_co_id/Documents/BIM%20-%20INFRA%202/Project/WKINF2%20-%201317039%20(Jalan%20Tol%20Cibitung%20-%20Cilincing%20Seksi%202)/1.%20WIP/4.%20Reality%20Modelling/04.%20FOTOGRAMETRI/November%202022/</t>
  </si>
  <si>
    <t>https://drive.google.com/file/d/1y9h_ePMNURMMGJ-gefBKfIb0D81Hcv8e/view</t>
  </si>
  <si>
    <t>8cecb024-4873-4613-8154-abd78e49c4c7</t>
  </si>
  <si>
    <t>25/11/22</t>
  </si>
  <si>
    <t>Adanya kabel SKTT 150 kV sehingga perlu dilakukan review desain pada
Ramp 1 (P7.1 dan P8.1) dan Ramp 2 (P3.2 – P4.2) Interchange Cilincing
2. Perubahan desain borepile menjadi CSP D800 mm pada P4.2 dan P5.2
(Ramp 2) serta P6.1 dan P7.1 (Ramp 1) Interch</t>
  </si>
  <si>
    <t>e4b54ab8-3a3b-405b-afe1-36d972bb8d10</t>
  </si>
  <si>
    <t>https://drive.google.com/file/d/16_5VtD0jbDPkwBcdmhnXicJ-Rf635xzi/view?usp=share_link</t>
  </si>
  <si>
    <t>d9287270-fda8-44f7-b8e1-2fac5a7a111d</t>
  </si>
  <si>
    <t>David</t>
  </si>
  <si>
    <t>https://drive.google.com/drive/folders/123zZ5YNzdANsSLNzdadxH9hoPwiX0LAg?usp=share_link</t>
  </si>
  <si>
    <t>605aa63d-9264-4b3c-8d3d-18e28429b0f8</t>
  </si>
  <si>
    <t>Rezky Yudhaseno</t>
  </si>
  <si>
    <t>https://ptwaskita-my.sharepoint.com/:v:/g/personal/tri_suseno_waskita_co_id/ETlQt7QJ5bdKsJ2WthaiAd0Be25FM9X3LlhT167v5uSumQ?e=hxDHuK</t>
  </si>
  <si>
    <t>0eb384d0-7a59-4767-9422-7ffead50659f</t>
  </si>
  <si>
    <t>https://ptwaskita-my.sharepoint.com/:u:/g/personal/wayabula1_infra2_waskita_co_id/EV_NcG92G7lLtkjLSneYGKgBUdVyLP8gqMFW3A817GVHLA?e=SIinO4</t>
  </si>
  <si>
    <t>https://ptwaskita-my.sharepoint.com/:u:/g/personal/wayabula1_infra2_waskita_co_id/EUdl3vo3rFZNvdayixOLMF4B8j5RrybXLIFq0yG6M_Hxug?e=fHP41h</t>
  </si>
  <si>
    <t>1e5e4104-2878-4fff-aab2-7bb627f4df84</t>
  </si>
  <si>
    <t>https://drive.google.com/file/d/1YKFX0_hWg2WHGZBTLdJpR9Iuuq9Lw5FS/view?usp=share_link</t>
  </si>
  <si>
    <t>https://ptwaskita-my.sharepoint.com/:f:/g/personal/rasendriya_ramanda_waskita_co_id/EjGPuyeX4LdMo5R4aptjp18BsChOdMPCiKEBKrtArivbVw?e=cuwddl</t>
  </si>
  <si>
    <t>https://ptwaskita-my.sharepoint.com/:f:/g/personal/rasendriya_ramanda_waskita_co_id/EmGsx9Ucd1VAud7LEuJJX5MBDvlYxYpcr3q8pQ-bjzOhLg?e=rn7j0h</t>
  </si>
  <si>
    <t>https://ptwaskita-my.sharepoint.com/:u:/g/personal/rasendriya_ramanda_waskita_co_id/EQSFVwN4Pw9JgZQROjwClboBL3Lfi0ozFV7n0AFmhkzh-A?e=EX6dTy</t>
  </si>
  <si>
    <t>1. DESIGN SALURAN BELUM FIX
2. BELUM BEBASNYA LAHAN RAMP 2
3. BELUM BEBASNYA LAHAN INTERSECTION</t>
  </si>
  <si>
    <t>f08a3b03-87af-4639-985d-e62f4d9a0ee6</t>
  </si>
  <si>
    <t>https://ptwaskita-my.sharepoint.com/:f:/g/personal/banyu_purwita_waskita_co_id/EqTjUHNq3YxAussMGuMB4SsBRBigkgqPdbpX4jvT4vYRaQ?e=cxNc9X</t>
  </si>
  <si>
    <t>cfd28ce5-a999-4ee7-90c9-4c3feaba2d36</t>
  </si>
  <si>
    <t>4146f05c-991d-4b84-a8f3-c767b5043ebc</t>
  </si>
  <si>
    <t>93c6be9f-cc20-4d23-be49-ae45b07e9bbf</t>
  </si>
  <si>
    <t>https://drive.google.com/file/d/1CJG40FzJTEVZL7WkQTJJi56WG-jmtELP/view?usp=share_link</t>
  </si>
  <si>
    <t>https://drive.google.com/drive/folders/1QCe6VbF_8wo8UPqteAkQmDyZJT2jcNjZ</t>
  </si>
  <si>
    <t>https://drive.google.com/drive/folders/12CN2V8tZcunkJSgHfuWxaOmzVFL9ybkG</t>
  </si>
  <si>
    <t>Untuk menyelesaikan Gate Sadang Kutanegara lahan yang belum bebas
10,5 Ha
Sedangkan lahan yang dilokasi Zona 1 dan Spot Spot Zona 2 lahan yang
belum bebas 231 Ha</t>
  </si>
  <si>
    <t>cad29cc4-010a-462f-9ad2-ec8a1e31d8af</t>
  </si>
  <si>
    <t>23/12/22</t>
  </si>
  <si>
    <t>b3bc788e-b05b-4d36-8f34-7feb20ce5fdb</t>
  </si>
  <si>
    <t>22/12/22</t>
  </si>
  <si>
    <t>Trase Proyek Bocimi dibuka untuk fungsional mudik lebaran 2023 mulai tanggal 15 April 2023</t>
  </si>
  <si>
    <t>de56cc5b-1af8-46ec-a415-bda9a69c1212</t>
  </si>
  <si>
    <t>https://drive.google.com/file/d/1ZdwMBlSi7ItITE97b8XDD0vM5Ma6vN0u/view?usp=sharing</t>
  </si>
  <si>
    <t>https://drive.google.com/drive/folders/1w0qp617dMCpp9DglOFjWF8IlWJvJP-fk?usp=sharing</t>
  </si>
  <si>
    <t>https://ptwaskita-my.sharepoint.com/:f:/g/personal/ahmadi_ahmadi_waskita_co_id/EtRzLTnSfA5FhJ-3DdN81Z8BJ_PuOdZkNcwQpE30PHvXNg?e=OUIOcz</t>
  </si>
  <si>
    <t>c6ee0932-042b-45c8-9992-2e5f0ff02e64</t>
  </si>
  <si>
    <t>https://ptwaskita-my.sharepoint.com/:f:/g/personal/banyu_purwita_waskita_co_id/EqTjUHNq3YxAussMGuMB4SsB7s2rrcflDpIuNCrZdQ2_FA?e=Mqxoqx</t>
  </si>
  <si>
    <t>Produksi material untuk campuran LPA dan Aspal Perlu ditingkatkan dan diawasi dalam segi mutu.</t>
  </si>
  <si>
    <t>eec4d26e-c6ec-4bdf-9507-06903dfe8cd9</t>
  </si>
  <si>
    <t>ca166bf4-fce1-423b-b28b-e450fd09e310</t>
  </si>
  <si>
    <t>https://ptwaskita-my.sharepoint.com/:i:/g/personal/wayabula1_infra2_waskita_co_id/EYk97FGCGNJMushl8tbU_zsBdV_PSH5oSSLIFJShY1_rQA?e=NYikOV</t>
  </si>
  <si>
    <t>https://ptwaskita-my.sharepoint.com/:u:/g/personal/wayabula1_infra2_waskita_co_id/Efykc2dj3pxHvwVMj4hqqG0BNzRpiiyTyUWGBGsKnd-W_g?e=n0959g</t>
  </si>
  <si>
    <t>8e4c9e8c-fd9b-4b42-a60c-d95db0119139</t>
  </si>
  <si>
    <t>bede56ae-9d3b-48e6-bf96-a1fe5fbda5f8</t>
  </si>
  <si>
    <t>7c9f3203-b426-4a64-9147-4d83475f5d1a</t>
  </si>
  <si>
    <t>85621496-9046-4936-b1c5-d4ee3ce6dd04</t>
  </si>
  <si>
    <t>a435b0fc-be77-4aeb-8fe5-84bae83dca45</t>
  </si>
  <si>
    <t>72f9b32d-0eeb-4eb2-9bd6-d7b699704a04</t>
  </si>
  <si>
    <t>Target Operasional Gate Sadang Kutanegara Des 2022 terkendala lahan belum bebas di SS Sadang dan Kutanegara sebesar 4,237%</t>
  </si>
  <si>
    <t>35a9d41a-24c9-4f6c-b58b-80dc97edbd76</t>
  </si>
  <si>
    <t>42f24254-8b7d-47fd-adbb-3f0ea8908322</t>
  </si>
  <si>
    <t>5b4e6e25-6f67-4875-8405-56b718df96fb</t>
  </si>
  <si>
    <t>https://drive.google.com/file/d/1ib_RpvgBg34rp53oJjmfBoaneFk7q3XL/view?usp=share_link</t>
  </si>
  <si>
    <t>https://ptwaskita-my.sharepoint.com/:f:/g/personal/rasendriya_ramanda_waskita_co_id/Eo8Bkn-3jodJuz0J9ZR4l7EBHORGbWJc8dTuRHbCpWspDw?e=2Q9ggs</t>
  </si>
  <si>
    <t>https://ptwaskita-my.sharepoint.com/:f:/g/personal/rasendriya_ramanda_waskita_co_id/Eg2AJdCuldZFvNiM0e6qjRYBaCZz-HaObRcI77f0tDM7lQ?e=mvho4Y</t>
  </si>
  <si>
    <t>https://ptwaskita-my.sharepoint.com/:f:/g/personal/rasendriya_ramanda_waskita_co_id/Esc_qmIN3TpDk-_MakTj_msBERHkcAYEKCpEEDgCYktPXA?e=h1YgdI</t>
  </si>
  <si>
    <t>Batas akhir pinjaman dari IsDB pada feb 2023, sedangkan kontrak habis di Apr 2023 dan ada potensi diperpanjang hingga Okt 2023. Kondisi ini berpotensi adanya termin yang tidak dapat terbayarkan setelah Feb 2023 jika batas pinjaman IsDB belum diperpanjang</t>
  </si>
  <si>
    <t>1de093cc-5899-4c4b-b9b1-e5f9e8e46e7e</t>
  </si>
  <si>
    <t>https://drive.google.com/file/d/1tRHeIeXA4ho6yPsh1-2L9KsVm0Tlckxw/view?usp=share_link</t>
  </si>
  <si>
    <t>https://drive.google.com/drive/folders/1X1x9o4t-AVFvFFaigB30hGAjzri1e2rC?usp=share_link</t>
  </si>
  <si>
    <t>https://drive.google.com/file/d/19dizlLFNPjBsEpVhMtsDpr4iEo_TJWKd/view?usp=share_link</t>
  </si>
  <si>
    <t>https://drive.google.com/file/d/1EyFu_XWs0Ud48sfN2y-YRzsjL7rNKKnR/view?usp=share_link</t>
  </si>
  <si>
    <t>PT. Waskita Karya dipanggil sebagai tergugat II, untuk mengikuti sidang terkait klaim warga terkait lahan di area timur Proyek Rekonstruksi Jembatan Palu 4</t>
  </si>
  <si>
    <t>387d8fc6-1735-4371-8194-3b36c263aa23</t>
  </si>
  <si>
    <t>Adanya perubahan dimensi Box Culvert dari ukuran 3x3 menjadi 2x2</t>
  </si>
  <si>
    <t>deb69a62-63f9-4a41-8f22-9d4e9c8d987e</t>
  </si>
  <si>
    <t>https://drive.google.com/file/d/1az3AifojeIySiyPHWCpjwY2hqluqAZy7/view?usp=drivesdk</t>
  </si>
  <si>
    <t>https://ptwaskita-my.sharepoint.com/:f:/r/personal/fahmi_waskita_co_id/Documents/BIM%20-%20INFRA%202/Project/WKINF2%20-%20D32C19006%20(Jakarta%20-%20Cikampek%20II%20Selatan%20Paket%203)/3.%20PUBLISHED/9.%20REALITY%20MODELING/202212%20-%20Desember%202022?</t>
  </si>
  <si>
    <t>penanganan RTA tanah clayshale pada lokasi galian adalah dengan membuat kemiringan 1:4. Tetapi dengan keterbatasan lahan sehingga galian banyak mengalami kelongsoran.</t>
  </si>
  <si>
    <t>f414f649-60e2-4f98-b74a-3eb79de5a6c0</t>
  </si>
  <si>
    <t>Terdapat lahan yang belum bebas pada Sta. 2+125 – 2+225 lahan mess
PT. IHM</t>
  </si>
  <si>
    <t>6c59c200-debc-4afd-acc9-8f45e8722ea5</t>
  </si>
  <si>
    <t>6b7d6c1a-b30e-4725-9577-6443aa13f9ca</t>
  </si>
  <si>
    <t>bc213767-812c-48b4-8068-ba13de618ff7</t>
  </si>
  <si>
    <t>Nizar Tarmidzi</t>
  </si>
  <si>
    <t>Rekonstruksi Jl. Kwatisore, Nabire, Papua (JOI 70%)</t>
  </si>
  <si>
    <t>bfaba5e2-1453-4178-a027-9f4805a4f4c8</t>
  </si>
  <si>
    <t>Stock Besi D25, D16, D13 habis mulai tanggal 10 Mei s.d 16 Mei 2022.</t>
  </si>
  <si>
    <t>dd19820b-0847-47cb-a032-fd567fd6ffad</t>
  </si>
  <si>
    <t>https://drive.google.com/file/d/1h-oWg4T2Nzfbw7UW0vmDd7kaux9pMlDL/view?usp=share_link</t>
  </si>
  <si>
    <t>https://ptwaskita-my.sharepoint.com/:f:/g/personal/fahmi_waskita_co_id/EjZUYPse8DBDkSvhlaGFPgYBRfn_gUQegNBZqnY_If1ViA?e=HHfOPg</t>
  </si>
  <si>
    <t>5cb39586-b568-4f40-ac13-4ea6ef2278e8</t>
  </si>
  <si>
    <t>https://ptwaskita-my.sharepoint.com/:f:/g/personal/fahmi_waskita_co_id/EkfwjnBkzwhPkpygBODkzQEBp1p_MgjiL0Bz1xLJCM_nDg?e=PgAl18</t>
  </si>
  <si>
    <t>f944bd89-3017-4e4c-8a62-ac91eb74d0a3</t>
  </si>
  <si>
    <t>29/12/22</t>
  </si>
  <si>
    <t>ab895366-c29b-4764-9c14-3315c0c380ff</t>
  </si>
  <si>
    <t>1a04581d-e946-456c-9860-f0540c74ffcc</t>
  </si>
  <si>
    <t>417642cb-79d6-409b-af36-c87cdc0bebd9</t>
  </si>
  <si>
    <t>30/12/22</t>
  </si>
  <si>
    <t>e664f1e2-64f2-4f20-8221-bc7fe371c1cc</t>
  </si>
  <si>
    <t>2dadc7f7-20ce-4d0f-823e-774cf663ed3c</t>
  </si>
  <si>
    <t>35d5df0d-462c-4c11-98b6-dcb9524bd1f5</t>
  </si>
  <si>
    <t>f2e47bdd-3081-43a1-8704-1d53116b7121</t>
  </si>
  <si>
    <t>Terdapat genangan air pada lokasi timbunan kawasn avasta</t>
  </si>
  <si>
    <t>269fe4b1-d82c-4891-b669-d034298ebaa6</t>
  </si>
  <si>
    <t>26/12/22</t>
  </si>
  <si>
    <t>9c77afc2-bfcd-4652-a1f8-847d0de62fe6</t>
  </si>
  <si>
    <t>Ditutupnya Quarry Tukuq, sebagai penyuplai utama material batu dan agregat, dikarenakan outstanding pembayaran raw material</t>
  </si>
  <si>
    <t>158de315-d2c5-4b57-9129-c7df1411dfb0</t>
  </si>
  <si>
    <t>15/12/22</t>
  </si>
  <si>
    <t>999082f6-371c-439d-9d07-c45e249efa59</t>
  </si>
  <si>
    <t>https://drive.google.com/file/d/1eAH7V-NBVlM0BNJXQU876ob_WV8ox-gf/view?usp=share_link
https://drive.google.com/file/d/1qeV7AebWgv4PqdJXp8lyl8tCA9xuFPhW/view?usp=share_link
https://drive.google.com/file/d/1WHoSDS-Jssgw5NamQyPTZanI6I8yqVlA/view?usp=share_l</t>
  </si>
  <si>
    <t>bbf84da4-c12e-4916-a78f-8f0681aeef38</t>
  </si>
  <si>
    <t>https://drive.google.com/file/d/1yUjUIe7bLjTZN6nThEpKttg7iFc2WUe-/view</t>
  </si>
  <si>
    <t>2d6d48bc-9ee9-42b4-b280-32984a57d902</t>
  </si>
  <si>
    <t>b5b36657-a236-4995-a30e-f7fec6fa65e5</t>
  </si>
  <si>
    <t>87a18192-682a-4d11-b2ff-2b83bbc6c742</t>
  </si>
  <si>
    <t>https://drive.google.com/drive/folders/1Sb3cVu7he14eHoLZ6YpZUlt88-lYROCp</t>
  </si>
  <si>
    <t>https://ptwaskita-my.sharepoint.com/:f:/g/personal/fahmi_waskita_co_id/EuvJAl6OzyhGmExRzRp9MRsBI0G6lKUXgxBYBrf7BQ9oxg?e=T3C2eA</t>
  </si>
  <si>
    <t>68f76a69-88ce-4342-a5b2-c800d206b675</t>
  </si>
  <si>
    <t>e31fbff2-5dd4-4814-b497-5795fc0da615</t>
  </si>
  <si>
    <t>https://drive.google.com/file/d/1N7rELBxxO0D5YBRnGaFC_PfRvhB3FXfd/view?usp=share_link</t>
  </si>
  <si>
    <t>5d0b384b-de97-45fe-b18b-fd030eedd773</t>
  </si>
  <si>
    <t>https://drive.google.com/file/d/1L0q0YAjcS-amnkw-BSeNi5qweDgHaLIZ/view?usp=share_link</t>
  </si>
  <si>
    <t>7fd314d1-6ca7-480c-95bf-a99e977ba6c7</t>
  </si>
  <si>
    <t>tgl 24: https://ptwaskita-my.sharepoint.com/:f:/g/personal/andri_j_waskita_co_id/Eg1O9RajQW1Nocb8MaRTFPIBeNlxasZquwWQ4fSEe5ytYw?e=cYOdbk
tgl 30: https://drive.google.com/file/d/1-H4-qOPIe-37m2DTsZ3exvlnmCgP_Y5P/view?usp=drivesdk</t>
  </si>
  <si>
    <t>https://ptwaskita-my.sharepoint.com/:f:/g/personal/andri_j_waskita_co_id/EnRn4cTzJBFDqry_izxZN04BZP2GV46AjzQGSRK-B0cKYA?e=ouBP5o</t>
  </si>
  <si>
    <t>https://ptwaskita-my.sharepoint.com/:f:/g/personal/fahmi_waskita_co_id/EmaBda8UWDdFh-j0tRd4vPABUM20ajsG_Guxclt_0pv1pg?e=pfa3wE</t>
  </si>
  <si>
    <t>37bb70f1-1c1d-435a-8403-0fc88d1901d8</t>
  </si>
  <si>
    <t>MOHAMAD FEBRY PRASETIA</t>
  </si>
  <si>
    <t>https://drive.google.com/file/d/11z_Y7M8_ASib66xMA485kGfz4q48sSmg/view?usp=share_link
https://drive.google.com/file/d/1wbtYFNky7W6EuqcLEv1RelNNkrVj3aw9/view?usp=share_link</t>
  </si>
  <si>
    <t>https://drive.google.com/drive/folders/1keCVuPHlUFBmB6yMbz_jQzVU4H8O5T8A?usp=share_link</t>
  </si>
  <si>
    <t>4d9f823f-90a4-4e78-a83d-9967ecf35c98</t>
  </si>
  <si>
    <t>ed011536-5609-465e-ace7-94fa2b2275d5</t>
  </si>
  <si>
    <t>15/04/23</t>
  </si>
  <si>
    <t>d0b5a3fb-b4e4-4295-8d2b-9a874b3740ba</t>
  </si>
  <si>
    <t>https://ptwaskita-my.sharepoint.com/:v:/g/personal/banyu_purwita_waskita_co_id/EUaR1mu8D9ZMjT4JnBZ66r8BbfRcN2gujrqKXjVfra8KPg?e=7Kfvyp</t>
  </si>
  <si>
    <t>https://ptwaskita-my.sharepoint.com/:f:/g/personal/banyu_purwita_waskita_co_id/EjJdp0RXzsRPozSHJCahHhIBQWYwZa3JA9bV2eEi_vQowg?e=DuiBLx</t>
  </si>
  <si>
    <t>https://ptwaskita-my.sharepoint.com/:f:/g/personal/banyu_purwita_waskita_co_id/EilJDGK_2a5KqkaPNgCzfFUBQbyeSQuQCN_zPzkaxS3eHw?e=1IeyUp</t>
  </si>
  <si>
    <t>762b6ede-cbf8-4289-8ecd-c4acb16d8b38</t>
  </si>
  <si>
    <t>a70854bb-a3dd-48a6-97a6-be18514dd219</t>
  </si>
  <si>
    <t>https://drive.google.com/file/d/10nxPf0Q4qjAVFVggRtx-ZkUIbQ7-ny-e/view?usp=drive_link</t>
  </si>
  <si>
    <t>https://drive.google.com/drive/folders/1FCGnuI04gk-fOYhYJCWpgXfjLHaNdjPV?usp=drive_link</t>
  </si>
  <si>
    <t>https://drive.google.com/drive/folders/1iUo0aaWFDIZC3YRIQ5tNnAYjgn_czxIL?usp=drive_link</t>
  </si>
  <si>
    <t>32bd3eb6-eeae-4955-adb6-143e4ef0582c</t>
  </si>
  <si>
    <t>https://drive.google.com/file/d/1fSPYDYF06J4zouvyNr5Ew6K9gI7P1lg-/view?usp=drive_link</t>
  </si>
  <si>
    <t>https://drive.google.com/file/d/1fZn6UAs5hweAAsa0s1q08VRZNvxPBn63/view?usp=drive_link</t>
  </si>
  <si>
    <t>81a41ef2-9297-4997-84a7-c3a001600bbd</t>
  </si>
  <si>
    <t>Rencana pekerjaan Rigid per hari sebesar 600 m3 belum tercapai dikarenakan ada kendala kelangkaan material besi dowel P38 di pasaran.</t>
  </si>
  <si>
    <t>8c95e0bc-0fe1-4dc0-922c-b9e06dee0527</t>
  </si>
  <si>
    <t>Jalan Tol Bayunglencir - Tempino Seksi 1 (JOI 40%)</t>
  </si>
  <si>
    <t>https://1drv.ms/v/s!Am0LOuNWadS8gXEBeraUW2PPl8Ym?e=HICChI</t>
  </si>
  <si>
    <t>6abec4cc-0580-426d-8d7a-94338666daae</t>
  </si>
  <si>
    <t>https://ptwaskita-my.sharepoint.com/:i:/r/personal/fahmi_waskita_co_id/Documents/BIM%20-%20INFRA%202/Project/WKINF2%20-%201316022%20(Jalan%20Tol%20Cimanggis%20-%20Cibitung%20Seksi%202)/1.%20WIP/RAW%20Orthophoto/Orthophoto/2023/8.%20AGUSTUS/STA%2027+070%2</t>
  </si>
  <si>
    <t>355876c4-2f16-4f19-9169-5a82a0a6a257</t>
  </si>
  <si>
    <t>Nenes Anggi Puspadi</t>
  </si>
  <si>
    <t>https://drive.google.com/drive/folders/1vr910FQtUYCSYAR9QlAuNetvZKL95Pna?usp=sharing</t>
  </si>
  <si>
    <t>https://drive.google.com/file/d/196jMUm0IjK22b76eHkG9JmgUqiDvxS1v/view?usp=sharing
https://drive.google.com/file/d/1lTPl8NKTh-Ndv8LD0ed0p2Iyz102_GEQ/view?usp=sharing
https://drive.google.com/file/d/1FfPbXduPWsP7XVLfRiygnlvnolrr3255/view?usp=sharing</t>
  </si>
  <si>
    <t>fa112739-e2a6-4d9f-87f5-35e5bd39099f</t>
  </si>
  <si>
    <t>Dani Ramdhani</t>
  </si>
  <si>
    <t>90fd9dc2-ecbb-465b-921f-bc1f4b13798b</t>
  </si>
  <si>
    <t>https://ptwaskita-my.sharepoint.com/personal/septian_adi_waskita_co_id/_layouts/15/stream.aspx?id=%2Fpersonal%2Fseptian%5Fadi%5Fwaskita%5Fco%5Fid%2FDocuments%2FDrone%2F2023%2F10%2E%20Rakor%20Oktober%202023%2Fvideo%20drone%20cut%20off%2028%20oktober%2023%</t>
  </si>
  <si>
    <t>https://ptwaskita-my.sharepoint.com/:f:/g/personal/dhani_ramdhani_waskita_co_id/Env43SIeL5RNi7wlpHeAWRcB0KxXBBI_qwAlVI5qIdTYIg?e=nlt0vr</t>
  </si>
  <si>
    <t>https://ptwaskita-my.sharepoint.com/personal/septian_adi_waskita_co_id/_layouts/15/onedrive.aspx?id=%2Fpersonal%2Fseptian%5Fadi%5Fwaskita%5Fco%5Fid%2FDocuments%2FDrone%2F2023%2F10%2E%20Rakor%20Oktober%202023%2FORTHOPHOTO%2D27%2DOKTO%2D23%2Epng&amp;parent=%2F</t>
  </si>
  <si>
    <t>PEKERJAAN TANAH
- KWP, KWPI, Mutiara Pusaka, WKI, Muda Mandiri, ARK/RKN, Bangun Karyatama (Pembayaran Continue)
PEKERJAAN BETON
- WBP Pangkalan dan Cilangkap : keterlambatan supply raw material
- Farika : Off, Terkait pembayaran (Outstanding 8.89 M)</t>
  </si>
  <si>
    <t>15fcc95d-5f2a-48fb-8df5-42139a940b2e</t>
  </si>
  <si>
    <t>https://ptwaskita-my.sharepoint.com/:f:/g/personal/fahmi_waskita_co_id/EgJay5B7DqZJgRhc_Nl8bBwBOHdBONEwFyjNIG2HNrAEwA?e=NViDV0</t>
  </si>
  <si>
    <t>https://ptwaskita-my.sharepoint.com/:i:/g/personal/fahmi_waskita_co_id/Ef0m2E0CXy9GpWDFTFjCSCgBMPmk3BimoZZkSH7RdSINUQ?e=KR2nH7</t>
  </si>
  <si>
    <t>Produksi Mortar foam Belum bisa optimal</t>
  </si>
  <si>
    <t>f811ecd2-f5fd-4d95-b72a-f478e87fc01d</t>
  </si>
  <si>
    <t>https://drive.google.com/drive/folders/1XFGR2HDFAu13E4PHYqV_2MVWqCEK8f0c</t>
  </si>
  <si>
    <t>- KWP   Supply (Pembayaran continue)
- KWPI  Supply (Pembayaran continue)
- Mutiara Pusaka
- WKI Supply (Pembayaran continue)
- Muda Mandiri  Supply (Pembayaran continue)
- ARK/RKN Off (Pembayaran continue
- Bangun Karyatama</t>
  </si>
  <si>
    <t>55e6713a-d5a4-4709-8d9b-b0480c4d6821</t>
  </si>
  <si>
    <t>-Produktifitas mortar foam terkendala dengan cuaca penghujan,tindak lanjut optimalisasi overtime dan penambahan TM
-Masih ada utilitas di Jl.Angkatan 66 Amphibi yang belum di relokasi,tindak lanjut sudah bersurat dan koordinasi dengan pihak PPK dan pemilik utilitas</t>
  </si>
  <si>
    <t>3f8fdc8b-8cfc-4bc0-8a88-b3b5d8750528</t>
  </si>
  <si>
    <t>Penambahan strutting layer 4 pada temporary cofferdam P2, untuk menjaga kestabilan cofferdam sisi bawah yang panjangnya ada yang kurang dari desain</t>
  </si>
  <si>
    <t>4bff9b7f-92b3-4bda-aa12-4e1fd99c9d7e</t>
  </si>
  <si>
    <t>https://drive.google.com/file/d/1TGkihd6qb7TugkR0uMNVE3CT1R9gVvK9/view?usp=sharing</t>
  </si>
  <si>
    <t>https://drive.google.com/drive/folders/1PudA5M7ZQlr4ak6l3QsJqsVEX9gXEkZf?usp=drive_link</t>
  </si>
  <si>
    <t>https://ptwaskita-my.sharepoint.com/personal/fahmi_waskita_co_id/_layouts/15/onedrive.aspx?ct=1701420673708&amp;or=OWA-NT&amp;cid=e47e8471-1dba-6268-21ee-39e85dcd3408&amp;fromShare=true&amp;ga=1&amp;WSL=1&amp;id=%2Fpersonal%2Ffahmi_waskita_co_id%2FDocuments%2FBIM%20-%20INFRA%20</t>
  </si>
  <si>
    <t>4205170b-3b61-40d6-aac2-e641f08cb60d</t>
  </si>
  <si>
    <t>757e8b87-2277-49c2-9ade-ab465f0ae273</t>
  </si>
  <si>
    <t>https://ptwaskita-my.sharepoint.com/:v:/g/personal/dhani_ramdhani_waskita_co_id/EUsAzjDCZ29OuTsI0jm-_HwBZBaMnxCnxpdXRCKn4F_8hA?nav=eyJyZWZlcnJhbEluZm8iOnsicmVmZXJyYWxBcHAiOiJPbmVEcml2ZUZvckJ1c2luZXNzIiwicmVmZXJyYWxBcHBQbGF0Zm9ybSI6IldlYiIsInJlZmVycmFsTW9</t>
  </si>
  <si>
    <t>https://ptwaskita-my.sharepoint.com/:f:/g/personal/dhani_ramdhani_waskita_co_id/Eto8N9DAHyhIj55sfTd_SWEBuOSKum8Gmn3D4DBtZ8aKqg?e=COujlG</t>
  </si>
  <si>
    <t>a07e8206-9934-4d9c-be30-1848db599a77</t>
  </si>
  <si>
    <t>https://os5.mycloud.com/action/share/521547e8-1c6f-45a2-bb92-a13113ee9c91</t>
  </si>
  <si>
    <t>https://os5.mycloud.com/action/share/9e8e3396-7581-49ea-bdb2-d23a3321da18</t>
  </si>
  <si>
    <t>https://os5.mycloud.com/action/share/6035dbce-3075-485a-8e81-ced4a5d30eef</t>
  </si>
  <si>
    <t>https://os5.mycloud.com/action/share/32b76e6b-5874-4362-a9f1-3b05ebc56ba8</t>
  </si>
  <si>
    <t>5899768a-6436-4b5d-9526-514495fe8cf2</t>
  </si>
  <si>
    <t>https://ptwaskita-my.sharepoint.com/:i:/g/personal/dhani_ramdhani_waskita_co_id/ETFvfjFkEeFNukVg4ivJcAMBps7EQqT_vekzBlOUmG9-_Q?e=EFdKlQ</t>
  </si>
  <si>
    <t>d47487f8-c15e-4557-a41c-c215f652c9ef</t>
  </si>
  <si>
    <t>14/11/23</t>
  </si>
  <si>
    <t>94dbcf65-3b87-463d-a4c9-9e7377a482d8</t>
  </si>
  <si>
    <t>1. Pengumuman hasil inventarisasi dan identifikasi peta bidang tanah per Maret 2022 total lahan yang sudah diumumkan sebesar 99,78% (87,72 Ha) dan yang sudah bebas sebesar 15,37% (13,51 Ha)
2. Berikut beberapa perubahan desain yang terjadi pada TOL IKN</t>
  </si>
  <si>
    <t>862b0ec5-e453-496e-b0a5-f1eae9ea26b1</t>
  </si>
  <si>
    <t>https://ptwaskita-my.sharepoint.com/:f:/g/personal/fahmi_waskita_co_id/EjZUYPse8DBDkSvhlaGFPgYBRfn_gUQegNBZqnY_If1ViA</t>
  </si>
  <si>
    <t>Tiang Listrik dan Tiang Ajatel di Pedestrian perllu direlokasi</t>
  </si>
  <si>
    <t>289ce2ef-fe19-4d7b-8107-e72fb9a8ff40</t>
  </si>
  <si>
    <t>https://ptwaskita-my.sharepoint.com/:f:/g/personal/banyu_purwita_waskita_co_id/EqTjUHNq3YxAussMGuMB4SsB7s2rrcflDpIuNCrZdQ2_FA?e=Culs1x</t>
  </si>
  <si>
    <t>Tidak ada data plan atau lokasi tepatnya dari pihak PT. Pertagas terkait jalur pipa gas milik mereka. Mengakibatkan pekerjaan dilapangan harus menyesuaikan</t>
  </si>
  <si>
    <t>6f209034-604d-4a1c-8836-5da6b8430734</t>
  </si>
  <si>
    <t>de8e73ae-efd1-4b28-8e3b-7b90489e505f</t>
  </si>
  <si>
    <t>https://ptwaskita-my.sharepoint.com/:f:/g/personal/banyu_purwita_waskita_co_id/EqTjUHNq3YxAussMGuMB4SsB7s2rrcflDpIuNCrZdQ2_FA?e=2NqoZv</t>
  </si>
  <si>
    <t>Penyelesaian sisa pekerjaan area Gerbang Tol Caringin Utama</t>
  </si>
  <si>
    <t>c76b4ceb-38d7-4cbe-8046-2ce4d2e2265b</t>
  </si>
  <si>
    <t>Kapasitas Alat RCD untuk area barat pada pengeboran pertama menunjukkan produktifitas pengeboran yang sangat kecil (kedalaman 1m dalam 1 jam)</t>
  </si>
  <si>
    <t>e247e14d-2bda-4bef-bfcf-631f1fe00507</t>
  </si>
  <si>
    <t>https://drive.google.com/file/d/1mAiPHQg4dMOgdEGCdoD5OwRzGoxjQtuK/view?usp=share_link</t>
  </si>
  <si>
    <t>https://drive.google.com/drive/folders/1bFkFxdKM39isXBkYjFA2HCe5aH6orgN-?usp=share_link</t>
  </si>
  <si>
    <t>https://drive.google.com/file/d/1kJgld_wLbQQdX9xY2KLaFLNVc_2laeTX/view?usp=share_link</t>
  </si>
  <si>
    <t>https://drive.google.com/file/d/1lYIPQ8FVlny0axbYSQTDQujmMrUpPuWw/view?usp=share_link</t>
  </si>
  <si>
    <t>7067fdd5-b72d-47b8-8b46-1bb4579e7551</t>
  </si>
  <si>
    <t>16/01/23</t>
  </si>
  <si>
    <t>4f290f3a-3d83-466a-bb44-ca785114bccd</t>
  </si>
  <si>
    <t>9cf8fd75-cc33-4ca0-814a-d0d77feb8e0b</t>
  </si>
  <si>
    <t>40e4673b-07af-4733-923b-6fa24535a39e</t>
  </si>
  <si>
    <t>b64d52ef-88de-4dae-8eac-bbf68705d568</t>
  </si>
  <si>
    <t>e4858f1a-751d-48e8-994e-3c27fac1d77c</t>
  </si>
  <si>
    <t>14/01/23</t>
  </si>
  <si>
    <t>c0cfdb88-bf62-473e-b48a-6cc3cc7438bd</t>
  </si>
  <si>
    <t>https://drive.google.com/file/d/1DCIfez5NR2zxk3AkFL69VeY7w4mXUhwE/view?usp=share_link</t>
  </si>
  <si>
    <t>https://drive.google.com/drive/folders/18SJYp1jkpzgUMuGss_iRxLfAo5rxZuVG</t>
  </si>
  <si>
    <t>https://drive.google.com/drive/folders/123mNT3fOiGgobNpPf58Lfks3apWICqhX</t>
  </si>
  <si>
    <t>https://drive.google.com/drive/folders/18DaF3Osn5Q7amk48WrSpmhz5PON5RYFw</t>
  </si>
  <si>
    <t>4afc4233-c565-4e36-a53d-16764406fb04</t>
  </si>
  <si>
    <t>1. Keterlambatan pengiriman BBM ke area proyek akibat kondisi akses
dan kerusakan pada alat pengangkut solar (Morooka)
2. Pengiriman sparepart perbaikan alat terlambat akibat terbatasnya
jasa pengiriman barang ke arah proyek</t>
  </si>
  <si>
    <t>b420be1e-5701-4ac2-bd62-50591d1f3fe2</t>
  </si>
  <si>
    <t>21/01/23</t>
  </si>
  <si>
    <t>3a29fde3-1111-4fd4-ade3-6a8f6b9fbfde</t>
  </si>
  <si>
    <t>https://drive.google.com/file/d/1jO6iAKfhKIOpfdpvhMi_-PYt-bNV6hak/view?usp=sharing</t>
  </si>
  <si>
    <t>https://drive.google.com/drive/folders/10epy2KfNXgALb_t_PINRd-KPkryuO-rq?usp=sharing</t>
  </si>
  <si>
    <t>https://ptwaskita-my.sharepoint.com/:f:/g/personal/ahmadi_ahmadi_waskita_co_id/EuSiFVRMu4VOnmSqZFm1eKcBrP1_BeshO6fyvUkEKqeOlw?e=2k7nKA</t>
  </si>
  <si>
    <t>- Pekerjaan pengecoran area oprit terkendala cuaca penghujan dan produksi BP Indobeton
,Melakukan support material split ke BP WBP untuk bisa meningkatkan produksi supply beton</t>
  </si>
  <si>
    <t>e1a46278-4c85-4c94-959c-65eaa83a1da2</t>
  </si>
  <si>
    <t>19/01/23</t>
  </si>
  <si>
    <t>15897f50-dee6-46b4-99f7-75ed55baf471</t>
  </si>
  <si>
    <t>https://ptwaskita-my.sharepoint.com/:f:/g/personal/banyu_purwita_waskita_co_id/EqTjUHNq3YxAussMGuMB4SsB7s2rrcflDpIuNCrZdQ2_FA?e=2cCt8f</t>
  </si>
  <si>
    <t>RELOKASI UTILITAS YANG MASIH TERKENDALA TEKNIS.
PLN : tiang dan pln yg masih berada dilokasi menggangu jalannya progress pekerjaan
PDAM : pipa PDAM yang belum terkoneksi di lahan Bea Cukai mengakibatkan pipa eksisting di lokasi frontage belum bisa dibon</t>
  </si>
  <si>
    <t>1bebf398-aa78-4749-99e8-dec36e45e4b3</t>
  </si>
  <si>
    <t>https://drive.google.com/file/d/19djnBrbAg6XjIybgVV--nn-MuR6GwSJk/view?usp=drivesdk</t>
  </si>
  <si>
    <t>https://drive.google.com/drive/folders/1RubeC1lrlVqUg5aMLi6GMBkg5K_TWyRh?usp=sharing</t>
  </si>
  <si>
    <t>https://ptwaskita-my.sharepoint.com/:f:/g/personal/fahmi_waskita_co_id/EoF79oCh4ixIvH0iJQFqShoBNUuuTWYi6l1t4oycMhTRYA?e=7LYtB5</t>
  </si>
  <si>
    <t>aba99f92-c8c6-437c-b1ac-c0b92b46fa01</t>
  </si>
  <si>
    <t>fbc93fb0-94f0-43f5-837a-806d625b009d</t>
  </si>
  <si>
    <t>24/01/23</t>
  </si>
  <si>
    <t>14268e08-d7c7-4a3c-a7f1-b5f59e8ea2d4</t>
  </si>
  <si>
    <t>https://drive.google.com/drive/folders/1QgKR73vphZehdOFSBhJbGSTIG5pwwbir</t>
  </si>
  <si>
    <t>https://ptwaskita-my.sharepoint.com/:f:/r/personal/fahmi_waskita_co_id/Documents/BIM%20-%20INFRA%202/Project/WKINF2%20-%201317039%20(Jalan%20Tol%20Cibitung%20-%20Cilincing%20Seksi%202)/1.%20WIP/4.%20Reality%20Modelling/04.%20FOTOGRAMETRI/Januari%202023/O</t>
  </si>
  <si>
    <t>Waktu pelaksanaan addendum XX selesai pada tanggal 31 Januari 2023.
progres konstruksi saat ini sudah mencapai 97,6%, sisa pekerjaan diestimasikan selesai 28 februari 2023, dan selanjutnya PHO, SLF, dan SLO diestimasikan sampai April 2023.
informasi per</t>
  </si>
  <si>
    <t>9fb73c8d-2356-483f-bf90-232e12e22f6d</t>
  </si>
  <si>
    <t>Imam Nur Aziz</t>
  </si>
  <si>
    <t>b5fd02ef-f5e4-4448-9b80-4f0083593ead</t>
  </si>
  <si>
    <t>https://drive.google.com/file/d/1lccpz8XteVF2c0h00W1K9rqsnT-gJJzk/view?usp=share_link</t>
  </si>
  <si>
    <t>PLN : Tiang, kabel sutm, kabel sktm dan trafo pln yg masih berada dilokasi menggangu jalannya progress pekerjaan
PDAM : pipa PDAM yang belum terkoneksi di lahan Ruko 4 Pintu mengakibatkan pipa eksisting di lokasi frontage belum bisa dibongkar dan berdamp</t>
  </si>
  <si>
    <t>a26364f2-17c2-425d-88c5-1bd2be67deb6</t>
  </si>
  <si>
    <t>b6343076-cd60-469f-a897-bd69d2b0f3fe</t>
  </si>
  <si>
    <t>https://ptwaskita-my.sharepoint.com/:f:/g/personal/fahmi_waskita_co_id/EjZUYPse8DBDkSvhlaGFPgYBRfn_gUQegNBZqnY_If1ViA?e=vBRWLv</t>
  </si>
  <si>
    <t>11d85990-170a-44dd-b02d-3fc85d152e87</t>
  </si>
  <si>
    <t>https://drive.google.com/file/d/1gXuiljekecTj1smCbvIBj45-Mf3xvZaK/view?usp=share_link</t>
  </si>
  <si>
    <t>9253d80e-3fd6-4eea-86a1-98b2772a9b5e</t>
  </si>
  <si>
    <t>JU Anak Sungai Cibodas berdekatan dengan sumber mata air warga, dikhawatirkan dengan pekerjaan bore pile sumber mata air warga
tercemar/kekeringan</t>
  </si>
  <si>
    <t>01c64637-e128-4e1a-93a1-c5db363476de</t>
  </si>
  <si>
    <t>07a23c7c-bae3-459e-9940-5cbf5560df87</t>
  </si>
  <si>
    <t>- Peralihan Kontrak WBP dari skema SBO menjadi kontrak Standart
- Keterbatasan Supply pasir galunggung di batching plant WBP Pangkalan
- Keterbatasan jumlah TM dan DT yang ada, sehingga mengganggu sirkulasi pengecoran.</t>
  </si>
  <si>
    <t>82e00f45-ad78-4d26-b8c4-01b520eb6179</t>
  </si>
  <si>
    <t>69002c79-61bc-47d1-a8d6-8522a26d9485</t>
  </si>
  <si>
    <t>https://drive.google.com/file/d/1RgmnqzFKDQBLLphC4XjbWIOx7FmN1KYq/view?usp=sharing</t>
  </si>
  <si>
    <t>https://ptwaskita-my.sharepoint.com/:f:/r/personal/fahmi_waskita_co_id/Documents/BIM%20-%20INFRA%202/Project/WKINF2%20-%20D32C19006%20(Jakarta%20-%20Cikampek%20II%20Selatan%20Paket%203)/3.%20PUBLISHED/9.%20REALITY%20MODELING/202301%20-%20Januari%202023?c</t>
  </si>
  <si>
    <t>bf522cf3-972d-4d72-aa4f-a88cf6f7a776</t>
  </si>
  <si>
    <t>Anzalar Rahman</t>
  </si>
  <si>
    <t>db77a34a-32ba-4267-b433-8e665bdbffbc</t>
  </si>
  <si>
    <t>aca973ce-1b34-4668-a5e8-775147fbb79c</t>
  </si>
  <si>
    <t>6f285b32-c388-4ea2-82df-3cd1a4f4464a</t>
  </si>
  <si>
    <t>https://ptwaskita-my.sharepoint.com/:i:/g/personal/fahmi_waskita_co_id/EZT2HF2cHNRItJDFzwpJ188BgZPTMaEC_rWE8Oe4ORFBIg?e=xBeqyK</t>
  </si>
  <si>
    <t>Upaya untuk percepatan pekerjaan SOP 15 dan JU Akses Cibadak</t>
  </si>
  <si>
    <t>65550a41-1968-48ae-bd0f-d50faccd880b</t>
  </si>
  <si>
    <t>15/01/23</t>
  </si>
  <si>
    <t>aa4677a0-3029-4d50-a8de-3c389d139847</t>
  </si>
  <si>
    <t>https://ptwaskita-my.sharepoint.com/:f:/r/personal/fahmi_waskita_co_id/Documents/BIM%20-%20INFRA%202/Project/WKINF2%20-%20Lingkar%20Sepaku%204/2.%20SHARED/9.%20Reality%20Modeling/1.%20Januari%202023/Drone?csf=1&amp;web=1&amp;e=oijGWA</t>
  </si>
  <si>
    <t>https://ptwaskita-my.sharepoint.com/:f:/r/personal/fahmi_waskita_co_id/Documents/BIM%20-%20INFRA%202/Project/WKINF2%20-%20Lingkar%20Sepaku%204/2.%20SHARED/9.%20Reality%20Modeling/1.%20Januari%202023/Foto%20Dokumentasi?csf=1&amp;web=1&amp;e=7oxQmN</t>
  </si>
  <si>
    <t>https://ptwaskita-my.sharepoint.com/:f:/r/personal/fahmi_waskita_co_id/Documents/BIM%20-%20INFRA%202/Project/WKINF2%20-%20Lingkar%20Sepaku%204/2.%20SHARED/9.%20Reality%20Modeling/1.%20Januari%202023/Orthofhoto?csf=1&amp;web=1&amp;e=HXwm7B</t>
  </si>
  <si>
    <t>https://ptwaskita-my.sharepoint.com/:f:/r/personal/fahmi_waskita_co_id/Documents/BIM%20-%20INFRA%202/Project/WKINF2%20-%20Lingkar%20Sepaku%204/2.%20SHARED/9.%20Reality%20Modeling/1.%20Januari%202023/Reality%20Mesh?csf=1&amp;web=1&amp;e=fhvh5Z</t>
  </si>
  <si>
    <t>PT Waskita Modern Realti sebagai pihak Owner masih belum melaksanakan pencairan termyn sesuai jatuh tempo dimana dari MC November 2021 sd MC Februari 2022 yang jatuh tempo pada bulan Juli 2022, hanya MC November 2021 yang dicairkan</t>
  </si>
  <si>
    <t>cb01e70b-48ac-491e-a0f4-71e530289b82</t>
  </si>
  <si>
    <t>22/01/23</t>
  </si>
  <si>
    <t>Pengadaan Beton Ready Mix belum dapat dilakukan dan produksi belum memenuhi untuk ruas Non-PMN</t>
  </si>
  <si>
    <t>2191c5b4-7666-4e99-b606-da993b7dc4c6</t>
  </si>
  <si>
    <t>da3e4dae-d484-472a-b6ba-406fb981b7ae</t>
  </si>
  <si>
    <t>Ketersediaan PCI Girder yg belum mencukupi untuk pekerjaan erection non-PMN karena terkendala material girder dan strand yg belum didatangkan secara kontinyu</t>
  </si>
  <si>
    <t>124a56e9-0bd4-4dca-b419-a54ce24c80b3</t>
  </si>
  <si>
    <t>Produktivitas vendor blasting tidak sesuai target</t>
  </si>
  <si>
    <t>ad756966-47eb-4231-8642-8e544df464d9</t>
  </si>
  <si>
    <t>Permasalahan Lahan:
- Lahan pada area PT BUKAKA sudah dapat dikerjakan
- Lahan pada area SS Setu selatan masih terdapat beberapa kendala lahan pada jalan akses warga</t>
  </si>
  <si>
    <t>88ddddd8-85ef-44cf-8daa-c07763bc7ca0</t>
  </si>
  <si>
    <t>Mengingat kondisi lapangan yang ekstrim, STA tersebut masih belum bisa diakses secara normal oleh pilot drone proyek dan superintendent lainnya</t>
  </si>
  <si>
    <t>9bcc946d-c338-4f4b-9115-407e51e8714d</t>
  </si>
  <si>
    <t>4f9e28cc-ee95-4819-a561-f3ddea8f90b7</t>
  </si>
  <si>
    <t>Menentukan sistem drainase secara keseluruhan di area trase TOL IKN dengan owner, konsultan, P2JN serta kontraktor paket-paket tol terdekat agar tidak terjadi clash antara aliran air baik secara inflow maupun outflow</t>
  </si>
  <si>
    <t>efd009c1-41aa-4561-bac4-fd910ef6b6f4</t>
  </si>
  <si>
    <t>23/01/23</t>
  </si>
  <si>
    <t>Penyesuaian STA awal (0+000) Lingkar sepaku segmen 4 dengan STA akhir (5+775) Lingkar sepaku segmen 3</t>
  </si>
  <si>
    <t>97677bbd-d88f-49df-ac8e-5477e8d49d1f</t>
  </si>
  <si>
    <t>26/01/23</t>
  </si>
  <si>
    <t>d1db7315-597e-420b-9e30-4413cfdcca3b</t>
  </si>
  <si>
    <t>https://ptwaskita-my.sharepoint.com/:f:/g/personal/banyu_purwita_waskita_co_id/EqTjUHNq3YxAussMGuMB4SsB7s2rrcflDpIuNCrZdQ2_FA?e=huhk2k</t>
  </si>
  <si>
    <t>LAHAN YANG BELUM BISA DI KERJAKAN
-BEA CUKAI,
-RUKO CITRA
-CUCIAN MOBIL
Lokasi lahan yang belum bebas mengganggu pelaksanaan pekerjaan dan target yang ada seperti pelebaran jalan.
Permasalahan lahan terkait kepastian batas-batas lahan yang dibebaskan d</t>
  </si>
  <si>
    <t>14d9a3e7-db87-4e29-bcfa-73d06dbd3c5e</t>
  </si>
  <si>
    <t>8b7ffcc8-2706-4d17-8944-f4b4b4b8db61</t>
  </si>
  <si>
    <t>Pengiriman ducting terkendala terkait penyesuaian addendum kontrak</t>
  </si>
  <si>
    <t>f1a30697-e105-4a75-8d56-47665c281b1d</t>
  </si>
  <si>
    <t>b9dcb2e8-9b8c-4840-95fb-34b9afe2a476</t>
  </si>
  <si>
    <t>1. Akses Jalan Menuju Lokasi Proyek.
2. Terbatasnya Sumber Quarry Material yang ada dan berdekatan dengan lokasi pekerjaan.
3. Keterbatasan Ketersediaan Vendor-Vendor yang Ada.
4. Lokasi rencana alih trase yang sulit untuk dijangkau dikarenakan berada pa</t>
  </si>
  <si>
    <t>e637c154-9103-43a9-8d60-f87b941b6621</t>
  </si>
  <si>
    <t>RCD telah ditambah pada akhir November 2022</t>
  </si>
  <si>
    <t>19cd4031-dca0-42a0-9951-91fb002e4adf</t>
  </si>
  <si>
    <t>Terdapat kerusakan alat dozer untuk pekerjaan timbunan kawasan avasta</t>
  </si>
  <si>
    <t>10650501-c02e-4ba3-b775-977427bf1e79</t>
  </si>
  <si>
    <t>- Kurangnya produktivitas harian Aspal
- Produktivitas Aspal harus mencapai 800 Ton/hari
- Realisasi pelaksanaan pada minggu ini (W-87) 270 Ton/hari</t>
  </si>
  <si>
    <t>87c29af2-4e1b-4495-b571-92257a18841b</t>
  </si>
  <si>
    <t>22bd80ee-92cf-4e4a-bb00-5097fad2d7d1</t>
  </si>
  <si>
    <t>Lokasi disposal yang tersedia masih belum bisa menampung volume sebanyak 4.000.000 m3 dari pekerjaan galian yang dibutuhkan</t>
  </si>
  <si>
    <t>ff19ce9e-c604-4775-928a-9f80e6b9e2b2</t>
  </si>
  <si>
    <t>Kontrak Addendum 11 Paspro 4 berakhir pad 25 Desember 2022, dan sampai dengan saat ini kontrak masih belum bisa diaddendum karena masih menunggu addendum PPJT dari BUJT.</t>
  </si>
  <si>
    <t>952a174b-c755-4fc1-8ca3-505bcd4f1ad2</t>
  </si>
  <si>
    <t>7a7edbe5-6c90-4405-8642-d5f857deb694</t>
  </si>
  <si>
    <t>https://ptwaskita-my.sharepoint.com/:v:/g/personal/wayabula1_infra2_waskita_co_id/EadnsK9khJVFrNYH_lwCDTABXgNiv48mG2ZMsMJFZ_uSQA?e=I893ZY</t>
  </si>
  <si>
    <t>https://ptwaskita-my.sharepoint.com/:u:/g/personal/wayabula1_infra2_waskita_co_id/EZfHLVAYB4hHns2EXRAKWJoBhHQCOjyg4RAUPnBD75P-fg?e=6G8zDr</t>
  </si>
  <si>
    <t>https://ptwaskita-my.sharepoint.com/:i:/g/personal/wayabula1_infra2_waskita_co_id/EfxImUjYvd5Ep9abYpo8I9cB6_j0mwW7-VC3Gxjn8NHWDA?e=7ZjZmt</t>
  </si>
  <si>
    <t>https://ptwaskita-my.sharepoint.com/:u:/g/personal/wayabula1_infra2_waskita_co_id/ERF3G57hzMZFgPuHYD6YmxABrPIiBCdzs-jMpxWAKQ5asA?e=f9TlMm</t>
  </si>
  <si>
    <t>b643b707-c911-44cf-9357-e183f8c533a3</t>
  </si>
  <si>
    <t>30/01/23</t>
  </si>
  <si>
    <t>Terdapat lahan warga dalam trase STA 1+650 – 2+000 dan 2+450-2+496 (tepi trase)</t>
  </si>
  <si>
    <t>3a8c554a-9fe6-41d5-8fa2-0d3488ae0210</t>
  </si>
  <si>
    <t>361b801d-c203-4772-a901-32edf43791f3</t>
  </si>
  <si>
    <t>https://drive.google.com/file/d/1herwxIXevffGrnXVYHauzbninV3X_qko/view?usp=share_link</t>
  </si>
  <si>
    <t>https://drive.google.com/drive/folders/1cv7HSMCGDtq5JpziTQHPYqo_GTAh0TyC?usp=share_link</t>
  </si>
  <si>
    <t>https://drive.google.com/file/d/1kzQkQAhqoG1IXsUBl1KR7A9wUMQ_ryT9/view?usp=share_link</t>
  </si>
  <si>
    <t>7b9776aa-d60d-4f27-855f-b9ecb5f5745e</t>
  </si>
  <si>
    <t>https://drive.google.com/file/d/1qEqmPstMyh1kYDItMFIUFgpz0dPuJ9Ed/view?usp=share_link</t>
  </si>
  <si>
    <t>JU Anak Sungai Cibodas berdekatan dengan sumber mata air warga, dikhawatirkan dengan pekerjaan bore pile sumber mata air warga tercemar kekeringan</t>
  </si>
  <si>
    <t>4cfcf2cd-2f89-4bbc-b66a-7b3fd855d7c7</t>
  </si>
  <si>
    <t>Adanya peraturan daerah lumajang terkait stockpile terpadu &amp; Supply Split mengalami kendala akibat belum selesianya perijinan Quarry Lumbang milik WBP</t>
  </si>
  <si>
    <t>28be24af-b102-4694-8687-bba4f4f6f4f3</t>
  </si>
  <si>
    <t>f83cadec-73cc-487a-b458-1fd9b5f1e871</t>
  </si>
  <si>
    <t>Addendum kerja tambah/kurang (ADD-4) dikarenakan adanya penambahan ruang lingkup dan penyesuaian volume pekerjaan berdasarkan perhitungan MC-0. proses pengajuan add sudah berlangsung 6 bulan, ditargetkan Add-4 dapat disetujui pada Maret 2023. Saat ini, p</t>
  </si>
  <si>
    <t>81c97297-2eb3-4958-bcef-c27e537c1e95</t>
  </si>
  <si>
    <t>https://ptwaskita-my.sharepoint.com/:f:/r/personal/fajar_sodiq_waskita_co_id/Documents/INFRASTRUCTURE%202%20DIVISION/P1417059%20-%20PASPRO%20SEKSI%204/2.SHARED/3.%20FOTOGRAMETRI/2023/01.%20Fotri%20Januari?csf=1&amp;web=1&amp;e=rbmXQP</t>
  </si>
  <si>
    <t>dd208e1e-b2c2-4d44-a0ec-5637b1123e3a</t>
  </si>
  <si>
    <t>https://ptwaskita-my.sharepoint.com/:f:/r/personal/tri_suseno_waskita_co_id/Documents/0.%20PROYEK%20BLUSUH%20OK/ADMINISTRASI%20TEKNIK/Dokumentasi%20Harian/23.%20Januari%202023?csf=1&amp;web=1&amp;e=ogNJ0O</t>
  </si>
  <si>
    <t>77381ba0-4f63-49e8-add3-b411a950a72a</t>
  </si>
  <si>
    <t>29/01/23</t>
  </si>
  <si>
    <t>84a76fbf-7a97-477c-8b80-d640b61846bd</t>
  </si>
  <si>
    <t>https://drive.google.com/file/d/1ZfzL4k9LIfvzkb7chmkqtACG17gbW3J1/view?usp=share_link
https://drive.google.com/file/d/12hU-8VgDrA4wQe8lbukGfojGVqfqosIZ/view?usp=share_link</t>
  </si>
  <si>
    <t>https://drive.google.com/file/d/1EWNpfn4gctTl6bvUdieWv11TPG5mMuoT/view?usp=share_link
https://drive.google.com/file/d/1bSxnfXbOYMV0kuyjRQHFWas7CY5sW8TT/view?usp=share_link</t>
  </si>
  <si>
    <t>1. Adanya outstanding hutang vendor terutama pada material utama seperti solar industri PT. Tiffany Damai Sejahtera Rp. 7.437.000.000, - , batu pecah PT. Asya Bhakti Mulawarman Rp. 2.146.797.000,- , solar industri PT. Afna Jaya Pratama Rp. 3.636.760.000,</t>
  </si>
  <si>
    <t>ea70f6f6-1818-420b-acc0-8b5870d63788</t>
  </si>
  <si>
    <t>Keterlambatan dalam pengiriman Batu Belah dan Agregat Fraksi dikarenakan keterbatasan dana kerja</t>
  </si>
  <si>
    <t>129dc2f0-b3f9-429a-9a6a-c3aa7092dd7f</t>
  </si>
  <si>
    <t>a6a240e3-0b5c-4ad4-a890-088f6c60f4d0</t>
  </si>
  <si>
    <t>13/12/22</t>
  </si>
  <si>
    <t>Main Road Zona 2 Lahan untuk pancang D80 Koneksi JU Blencong sudah siap, namun terkendala material SP 80</t>
  </si>
  <si>
    <t>b0f59e41-5ade-44da-b5b2-3f77dac4d6ca</t>
  </si>
  <si>
    <t>1. Patner KSO PT Baswara Sinarmulia sudah tidak dapat menyelesaikan sisa pekerjaan 2. KondisI hutang baswara (Hutang suplai material &amp; hutang termin) kepada waskita tercatat per November 2022 sebesar Rp. 20.341192.237,- 3. Saat ini produksi hanya dari 1</t>
  </si>
  <si>
    <t>4727dddb-21a1-4290-8dba-290f4f8e0c8c</t>
  </si>
  <si>
    <t>d3de2368-8fda-42cb-a8c2-759a38dd457a</t>
  </si>
  <si>
    <t>41a13df6-b1fa-468d-801b-d46e8f9d1d2c</t>
  </si>
  <si>
    <t>https://ptwaskita-my.sharepoint.com/:i:/g/personal/fahmi_waskita_co_id/EdzEOcHDIfNJhaGXfIsa5x0BYPZrfTFUIabXy9TgMapyOQ?e=4f1wSa</t>
  </si>
  <si>
    <t>01ff25a7-bbc5-438e-84b1-0897cbcf1654</t>
  </si>
  <si>
    <t>20/12/22</t>
  </si>
  <si>
    <t>db327346-f05d-45fc-9303-082dbce060e3</t>
  </si>
  <si>
    <t>8c3fd1da-b450-45b6-a0f2-d31c9bf412c3</t>
  </si>
  <si>
    <t>- Terdapat review desain yang membutuhkan waktu dalam proses analisa dan approval
- Terdapat penambahan lingkup diluar desain (akses Pantai Kedungtumpang)
- Terdapat waktu pembebasan lahan khususnya pada area jembatan STA 5+750 dan hutan lindung pada STA</t>
  </si>
  <si>
    <t>0960f19a-e58e-480d-a354-6a316701ea2d</t>
  </si>
  <si>
    <t>https://ptwaskita-my.sharepoint.com/:v:/g/personal/wayabula1_infra2_waskita_co_id/EdeOwkLJExxIi4N-2E6LaxcBITVdOOH5qw7o-udDjbLw5Q?e=ltTf0z</t>
  </si>
  <si>
    <t>https://ptwaskita-my.sharepoint.com/:u:/g/personal/wayabula1_infra2_waskita_co_id/ERTkVSXEk4dCiaHV6dTfW5gBTRpXlkeEOhPMUBIoZrm78g?e=f9kdSC</t>
  </si>
  <si>
    <t>Target pengecoran Bulan Januari 2023  per hari 900 m3, terealisasi  maks di M-1 400 m3, rata2 316 m3/hari dikarenakan cuaca hujan dalam seminggu penuh . ​</t>
  </si>
  <si>
    <t>60307337-fe13-48a5-b47d-79b78cf8b773</t>
  </si>
  <si>
    <t>- Supply pasir mengalami kendala akibat adanya Erupsi Gunung Semeru pada tanggal 4 Des 2022 &amp; Adanya peraturan daerah lumajang terkait stockpile terpadu.
- Supply Split mengalami kendala akibat belum selesianya perijinan Quarry Lumbang milik WBP</t>
  </si>
  <si>
    <t>e13e4329-95e1-4a5b-b732-e41f30e6c3fa</t>
  </si>
  <si>
    <t>Target Pek. Guardrail Bulan Januari 2023 6.100 m, s.d saat ini material sudah datang 20.500 m. Rencana Pendatangan Keseluruahan Guardrail  di M-4 Jan 23</t>
  </si>
  <si>
    <t>8041fdfc-6b71-458e-9206-0e20de8e7989</t>
  </si>
  <si>
    <t>PJU On Site s.d M-1 Januari 2023. Sudah On Site 66 Bh.
Saat ini Proses Pekerjaan Pondasi PJU</t>
  </si>
  <si>
    <t>052472ac-2cab-4032-85cc-c084ef4167b3</t>
  </si>
  <si>
    <t>Proses Asistensi Desain ke kemenhub</t>
  </si>
  <si>
    <t>42e1014b-98a4-4965-b376-98c262d6d298</t>
  </si>
  <si>
    <t>3513ad45-a383-4b5e-a2f7-46fa041c9897</t>
  </si>
  <si>
    <t>https://drive.google.com/file/d/1j7-tyMQmGP0enYtBdfh4JTIC3UQvKCDw/view?usp=share_link</t>
  </si>
  <si>
    <t>https://drive.google.com/drive/folders/1c8Q6eDiiI1O-z4cBhl-2LTzH0swhzD3-?usp=share_link</t>
  </si>
  <si>
    <t>- Notulen SSPJJ tentang Justifikasi Teknis, tgl 13 Januari 2023
- Surat BBPJN Prov. Jawa Timur-Bali kepada Dir. Bang. Jalan Ditjen Bina Marga, Tindak Lanjut Justifikasi Teknis, tgl 17 Februari 2023
- Draft Berita Acara Evaluasi Perubahan Add. Kontrak
- D</t>
  </si>
  <si>
    <t>d28a9cb4-b9f5-4e20-8215-d264fc072470</t>
  </si>
  <si>
    <t>a1fdfda8-acba-4c9d-a89b-34d4c1f184e6</t>
  </si>
  <si>
    <t>ecc44407-3980-4818-ab35-94d06f80d9e3</t>
  </si>
  <si>
    <t>eeb3cfd8-806c-4f41-8728-fbf4ec660b4f</t>
  </si>
  <si>
    <t>https://ptwaskita-my.sharepoint.com/:f:/g/personal/banyu_purwita_waskita_co_id/EqQC4Ryhb2FJnQH2gKc2jCoBfBk43syBOW0ekNcyFOqzrg?e=I1MH2j</t>
  </si>
  <si>
    <t>https://ptwaskita-my.sharepoint.com/:f:/g/personal/banyu_purwita_waskita_co_id/EuRBO1e-wXFJiQw0-05iZioBAz-oqCA3UcQW7oXdDTeuNg?e=fQfLPu</t>
  </si>
  <si>
    <t>https://ptwaskita-my.sharepoint.com/:f:/g/personal/banyu_purwita_waskita_co_id/EtdgvFKSZ-JPk3daQkjtvHwBiakQdxQ2RdI1GhHEyl2rKA?e=rVCQca</t>
  </si>
  <si>
    <t>Adanya pembahasan ulang terkait pergeseran trase pada Segmen 2 sta. 06+900 sd 07+500 dari yang sebelumnya sudah di setujui (gambar dan Perhitungan)
Perlu Adanya Addendum Pekerjaan Tambah Kurang (CCO)</t>
  </si>
  <si>
    <t>b4ad60b3-93c3-4352-b234-17bbcde4b33f</t>
  </si>
  <si>
    <t>56760717-1a99-4cac-99a6-441fcbed80fb</t>
  </si>
  <si>
    <t>bf409c1f-0b6f-41fe-9437-9d701af114de</t>
  </si>
  <si>
    <t>https://ptwaskita-my.sharepoint.com/:f:/g/personal/banyu_purwita_waskita_co_id/EqTjUHNq3YxAussMGuMB4SsB7s2rrcflDpIuNCrZdQ2_FA?e=eBJOJX</t>
  </si>
  <si>
    <t>ecde6f2c-101d-4e7f-94fe-6036b6d4a417</t>
  </si>
  <si>
    <t>47c4111b-d6ae-478f-a64b-41ee6f76863a</t>
  </si>
  <si>
    <t>0d2fc1ef-9f74-45cc-b634-86d9d4f55018</t>
  </si>
  <si>
    <t>Target pengecoran Bulan April 2023  per hari 320 m3, terealisasi, rata2 359 m3/hari</t>
  </si>
  <si>
    <t>51b6dc73-e63f-44f5-aef8-a67c131bd17e</t>
  </si>
  <si>
    <t>28/02/23</t>
  </si>
  <si>
    <t>2f82bc75-d186-41fa-8c38-8c458db8f185</t>
  </si>
  <si>
    <t>https://ptwaskita-my.sharepoint.com/:i:/r/personal/fahmi_waskita_co_id/Documents/BIM%20-%20INFRA%202/Project/WKINF2%20-%201316022%20(Jalan%20Tol%20Cimanggis%20-%20Cibitung%20Seksi%202)/1.%20WIP/RAW%20Orthophoto/Orthophoto/2023/4.%20APRIL/STA%2027+070%20-</t>
  </si>
  <si>
    <t>c18a5cb7-2199-4e12-a87a-ce8f748d4cb6</t>
  </si>
  <si>
    <t>80617351-8a2a-44b8-916d-ee74b94f069e</t>
  </si>
  <si>
    <t>https://ptwaskita-my.sharepoint.com/:f:/r/personal/fahmi_waskita_co_id/Documents/BIM%20-%20INFRA%202/Project/WKINF2%20-%20Lingkar%20Sepaku%204/2.%20SHARED/9.%20Reality%20Modeling/12.%2023%20April%202023/Video?csf=1&amp;web=1&amp;e=XEc28a</t>
  </si>
  <si>
    <t>https://ptwaskita-my.sharepoint.com/:f:/r/personal/fahmi_waskita_co_id/Documents/BIM%20-%20INFRA%202/Project/WKINF2%20-%20Lingkar%20Sepaku%204/2.%20SHARED/9.%20Reality%20Modeling/12.%2023%20April%202023/foto?csf=1&amp;web=1&amp;e=kFCWSb</t>
  </si>
  <si>
    <t>https://ptwaskita-my.sharepoint.com/:f:/r/personal/fahmi_waskita_co_id/Documents/BIM%20-%20INFRA%202/Project/WKINF2%20-%20Lingkar%20Sepaku%204/2.%20SHARED/9.%20Reality%20Modeling/12.%2023%20April%202023/Ortho?csf=1&amp;web=1&amp;e=RbKQ42</t>
  </si>
  <si>
    <t>https://ptwaskita-my.sharepoint.com/:f:/r/personal/fahmi_waskita_co_id/Documents/BIM%20-%20INFRA%202/Project/WKINF2%20-%20Lingkar%20Sepaku%204/2.%20SHARED/9.%20Reality%20Modeling/12.%2023%20April%202023/Slpk?csf=1&amp;web=1&amp;e=KbFukp</t>
  </si>
  <si>
    <t>3fe9484b-8df7-437d-a6be-f7204d287f64</t>
  </si>
  <si>
    <t>https://drive.google.com/file/d/1Q6ISfdUDPzMvTfL9qejBrSRsOND-qPQp/view?usp=share_link</t>
  </si>
  <si>
    <t>e6a72166-70dc-4fa1-b107-abe94212fb6f</t>
  </si>
  <si>
    <t>30/04/23</t>
  </si>
  <si>
    <t>Target Pek. Guardrail Bulan April 2023 8.341 m, s.d saat ini material sudah datang seluruhnya.</t>
  </si>
  <si>
    <t>bd0d59f2-325f-46a5-9c40-52e2630b26e4</t>
  </si>
  <si>
    <t>PJU s.d M-4 April 2023 Sudah On Site 241 Bh. Terpasang : 220 Bh</t>
  </si>
  <si>
    <t>b21936ea-130f-429f-9081-5348da199229</t>
  </si>
  <si>
    <t>Vendor Marka sudah ada, Percepatan Penyiapan Area Marka</t>
  </si>
  <si>
    <t>1b0d7e4c-385e-43e4-ab15-4a3b34230b8f</t>
  </si>
  <si>
    <t>Status saat ini : On Proses Pekerjaan Expantion Joint di lapangan</t>
  </si>
  <si>
    <t>25e33db2-cb71-4e39-95d8-491e99e0b590</t>
  </si>
  <si>
    <t>f37175d2-02e6-4a09-adaa-c365a07ed62e</t>
  </si>
  <si>
    <t>https://drive.google.com/file/d/1dH22cB5iERfewCVfKigb5tPcElzrRXF_/view?usp=drivesdk</t>
  </si>
  <si>
    <t>https://ptwaskita-my.sharepoint.com/personal/fahmi_waskita_co_id/_layouts/15/onedrive.aspx?FolderCTID=0x0120008AE2C3201DBDD44A93E08450C0DB2828&amp;id=%2Fpersonal%2Ffahmi%5Fwaskita%5Fco%5Fid%2FDocuments%2FBIM%20%2D%20INFRA%202%2FProject%2FWKINF2%20%2D%20D32C1</t>
  </si>
  <si>
    <t>9feaa123-758e-4b7a-b5b7-ba0496ddeb49</t>
  </si>
  <si>
    <t>0e78637a-dca2-4a82-9b1e-d0b5eaf0fa42</t>
  </si>
  <si>
    <t>8bb29304-5246-46d6-8670-ff2f1f60ec62</t>
  </si>
  <si>
    <t>db5991e6-afb1-4733-935b-c40009d6b1d4</t>
  </si>
  <si>
    <t>4c31f978-bcb3-43d4-a26f-2f5eca187100</t>
  </si>
  <si>
    <t>1. Pekerjaan LPB, LPA dan Aspal :
-Supply dan Stock Material untuk Pekerjaan LPB, LPA, dan Aspal
-Mutu Material/ Pekerjaan Aspal  harus terus diperhatikan.
2. Struktur Box Culvert dan DPT :
-Pengadaan Material dan personil (tenaga kerja) tambahan Untuk</t>
  </si>
  <si>
    <t>0fb5864f-9fd1-488b-b1f8-cea6c888684e</t>
  </si>
  <si>
    <t>30/07/23</t>
  </si>
  <si>
    <t>97fccf41-e5ae-4d3f-b72e-d759dfd01c57</t>
  </si>
  <si>
    <t>https://drive.google.com/file/d/1K1KvzolE8rPtXsOMkyS_rzq981AbvBbn/view?usp=sharing</t>
  </si>
  <si>
    <t>https://drive.google.com/drive/folders/1vu7YLe_LdnZ__AFIBtq2VisK0AaAfDsK?usp=sharing</t>
  </si>
  <si>
    <t>9dbff94c-659e-4764-9d41-7caeb6f65f5c</t>
  </si>
  <si>
    <t>Achmad Rival Setyawan, S.T</t>
  </si>
  <si>
    <t>98417628-db40-45f8-9b5e-91a27414c8d7</t>
  </si>
  <si>
    <t>116f4b8e-eda0-43e1-984b-062d27331b4e</t>
  </si>
  <si>
    <t>Supply material alam untuk beton dan semen agak terhambat</t>
  </si>
  <si>
    <t>01167616-c216-405a-9578-9600332262d2</t>
  </si>
  <si>
    <t>Adanya batu boulder di kedalaman lebih dari 6m di jalur pancang SSP</t>
  </si>
  <si>
    <t>056a9f60-d674-4ef3-a5dc-8f366e545944</t>
  </si>
  <si>
    <t>Perlu dilakukan analisis desain struktur atas &amp; pondasi Jembatan Dirgahayu karena terdapat tambahan ornamen untuk beautifikasi jembatan dan perlu pendetailan sambungan struktur dengan ornamen.</t>
  </si>
  <si>
    <t>ace7c28b-5b9c-4bba-9d51-688acefaa93a</t>
  </si>
  <si>
    <t>https://drive.google.com/file/d/1yW8P_KIf4G_-JvMRDkTPFGMeUkUIw9q5/view?usp=sharing</t>
  </si>
  <si>
    <t>fa185ff6-41c4-4ea7-b502-fc928e899882</t>
  </si>
  <si>
    <t>24/09/23</t>
  </si>
  <si>
    <t>ee16b5e5-980c-46b3-b2c1-bf339280dd98</t>
  </si>
  <si>
    <t>568ef83c-54d8-4fce-9a59-f2b07a322b95</t>
  </si>
  <si>
    <t>https://ptwaskita-my.sharepoint.com/:f:/r/personal/fahmi_waskita_co_id/Documents/BIM%20-%20INFRA%202/Project/WKINF2%20-%20Lingkar%20Sepaku%204/2.%20SHARED/06.%20Reality%20Modeling/37.%2029%20September%202023/Video?csf=1&amp;web=1&amp;e=uvXOfE</t>
  </si>
  <si>
    <t>https://ptwaskita-my.sharepoint.com/:f:/r/personal/fahmi_waskita_co_id/Documents/BIM%20-%20INFRA%202/Project/WKINF2%20-%20Lingkar%20Sepaku%204/2.%20SHARED/06.%20Reality%20Modeling/37.%2029%20September%202023/Foto?csf=1&amp;web=1&amp;e=jWgQYk</t>
  </si>
  <si>
    <t>https://ptwaskita-my.sharepoint.com/:f:/r/personal/fahmi_waskita_co_id/Documents/BIM%20-%20INFRA%202/Project/WKINF2%20-%20Lingkar%20Sepaku%204/2.%20SHARED/06.%20Reality%20Modeling/37.%2029%20September%202023/Ortho?csf=1&amp;web=1&amp;e=bQ3gsO</t>
  </si>
  <si>
    <t>https://ptwaskita-my.sharepoint.com/:f:/r/personal/fahmi_waskita_co_id/Documents/BIM%20-%20INFRA%202/Project/WKINF2%20-%20Lingkar%20Sepaku%204/2.%20SHARED/06.%20Reality%20Modeling/37.%2029%20September%202023/SLPK?csf=1&amp;web=1&amp;e=7RapGL</t>
  </si>
  <si>
    <t>PLN : Tiang, kabel sutm, kabel sktm yg masih berada dilokasi menggangu jalannya progress pekerjaan
PDAM : pipa PDAM sudah konek di S Bayas tapi jaringan lama belum dialihkan ke jaringan pipa relokasi yang baru
PGN : pipa PGN belum terkoneksi di lahan Ru</t>
  </si>
  <si>
    <t>2b01079e-9a2c-4c9e-a9cc-4b2aa803a70f</t>
  </si>
  <si>
    <t>https://drive.google.com/file/d/1mjCGJYhc6A_aiyc1HcFtppeQ43YoFZZV/view?usp=drive_link</t>
  </si>
  <si>
    <t>https://drive.google.com/drive/folders/1YZN0K3X7c01LpA4HOaATGqHhFeZkqGNz?usp=drive_link</t>
  </si>
  <si>
    <t>https://drive.google.com/file/d/1WcfkOwtc8FoLz-EsgX6jkIaJtu8wPfyR/view?usp=drive_link</t>
  </si>
  <si>
    <t>https://drive.google.com/file/d/1S5OgH9TOiFhuVb9F9intL0FSXEv2W7Fa/view?usp=drive_link</t>
  </si>
  <si>
    <t>f0601d62-5cd7-4e81-9444-8f78e0de7b09</t>
  </si>
  <si>
    <t>https://ptwaskita-my.sharepoint.com/:v:/g/personal/andri_j_waskita_co_id/EUu3GTggyB5HhHIK69KSpk8BFixm0QwrS8ZlBHJu7k2eKg?nav=eyJyZWZlcnJhbEluZm8iOnsicmVmZXJyYWxBcHAiOiJPbmVEcml2ZUZvckJ1c2luZXNzIiwicmVmZXJyYWxBcHBQbGF0Zm9ybSI6IldlYiIsInJlZmVycmFsTW9kZSI6In</t>
  </si>
  <si>
    <t>https://ptwaskita-my.sharepoint.com/:f:/g/personal/andri_j_waskita_co_id/Emq6fxeVTT1DuhrRkkpr_2QBTQPXrdkewwoU9cyG9jwLMQ?e=sBVxvx</t>
  </si>
  <si>
    <t>https://ptwaskita-my.sharepoint.com/:f:/g/personal/fahmi_waskita_co_id/EkB7pcx6cgpLpafCr7Zv8HwBvIJL9wgWYhcNcD9lcKGgBQ?e=j7o32u</t>
  </si>
  <si>
    <t>c063d83d-2f85-420d-a349-8e0df1226ab1</t>
  </si>
  <si>
    <t>72f1ac8d-21b0-4bc1-a58d-30ac1cbef311</t>
  </si>
  <si>
    <t>25/09/23</t>
  </si>
  <si>
    <t>6a8ecfe4-a93e-4b29-b984-6f2007d60b80</t>
  </si>
  <si>
    <t>Rakor</t>
  </si>
  <si>
    <t>Underpass Deltamas SS Sukabungah</t>
  </si>
  <si>
    <t>8bfff46b-3ecf-4023-8d89-0c0f33828b78</t>
  </si>
  <si>
    <t>Jalan Tol Probolinggo Bayuwangi Paket 3 (JOI member 25%)</t>
  </si>
  <si>
    <t>https://ptwaskita-my.sharepoint.com/:f:/r/personal/banyu_purwita_waskita_co_id/Documents/Infra%202/Proyek%20Probolinggo%20-%20Banyuwangi%20Paket%203/Dokumentasi/Video%20drone%20Mingguan?csf=1&amp;web=1&amp;e=QBcckI</t>
  </si>
  <si>
    <t>https://ptwaskita-my.sharepoint.com/:f:/g/personal/banyu_purwita_waskita_co_id/EpfqneVL4vdCqrPi6q8266wB5pHvD9i-04NI3gIx_Zz3SA?e=Sx2roU</t>
  </si>
  <si>
    <t>https://ptwaskita-my.sharepoint.com/:f:/r/personal/fahmi_waskita_co_id/Documents/BIM%20-%20INFRA%202/Project/WKINF2%20-%201323020%20Jalan%20Tol%20Probowangi/1.%20WIP/GIS/13.%20Update%20Orthophoto?csf=1&amp;web=1&amp;e=EDdGIY</t>
  </si>
  <si>
    <t>https://ptwaskita-my.sharepoint.com/:f:/r/personal/fahmi_waskita_co_id/Documents/BIM%20-%20INFRA%202/Project/WKINF2%20-%201323020%20Jalan%20Tol%20Probowangi/1.%20WIP/GIS/14.%20Update%20Reality%20Mesh?csf=1&amp;web=1&amp;e=A1W638</t>
  </si>
  <si>
    <t>1225c531-c21c-45ba-b209-d1f5d83397ed</t>
  </si>
  <si>
    <t>PLN : Tiang, kabel sutm, kabel sktm dan trafo pln yg masih berada dilokasi menggangu jalannya progress pekerjaan
PDAM : pipa PDAM di lahan Ruko 4 Pintu &amp; S Bayas sudah tersambung, namun belum bisa terkoneksi ke jalur pelanggan mengakibatkan pipa eksisti</t>
  </si>
  <si>
    <t>a219a525-84ee-4a03-b761-9e700c3a7f9f</t>
  </si>
  <si>
    <t>b638de15-3f8b-4f19-acf9-5832815c043d</t>
  </si>
  <si>
    <t>https://drive.google.com/file/d/1jd346-FDNnUASkti2sJaT1zamFXMY1T8/view?usp=share_link</t>
  </si>
  <si>
    <t>https://drive.google.com/drive/folders/1CmV6tZbT1jem6R2UP35fJbYxnUEbzx1z?usp=share_link</t>
  </si>
  <si>
    <t>https://drive.google.com/drive/folders/1AL14X1vuPomPHhgL7aHvlle1YKKVXS1M?usp=share_link</t>
  </si>
  <si>
    <t>https://drive.google.com/drive/folders/1TQx4b5oOvkQ6bLQ-4IzOyQX1n-6s3ZwR?usp=share_link</t>
  </si>
  <si>
    <t>127c0d89-522b-429f-8fcd-2eb9cab583f8</t>
  </si>
  <si>
    <t>1. Target pengecoran Bulan November  per hari 1700 m3, terealisasi  maks di M-4 1012 m3, rata2 500 m3/hari dikarenakan cuaca hujan dalam seminggu penuh . ​
2. Upaya yang sudah dilakukan Project untuk mensupport supply beton : Membantu pengadaan materi</t>
  </si>
  <si>
    <t>666a53b4-ffb9-4e02-991f-e6183090b355</t>
  </si>
  <si>
    <t>f8367f68-fee3-4ecf-90c0-273468481493</t>
  </si>
  <si>
    <t>85a6c42f-8d51-457e-912c-935bc358dab2</t>
  </si>
  <si>
    <t>1. Sulitnya pemenuhan BBM di zona kerja binuang, dikarenakan akses menuju lokasi
kerja sulit dijangkau menggunakan Kendaraan Darat
2. BBM yang cenderung langka dan Lokasi kerja yang sulit dijangkau</t>
  </si>
  <si>
    <t>f5528163-375e-4c8e-8a04-df9d74a9d80e</t>
  </si>
  <si>
    <t>21/02/23</t>
  </si>
  <si>
    <t>1. Sering terjadinya kerusakan pada Alat Berat sehigga memerlukan waktu untuk
memperbaiki dan mengirim sparepart alat tersebut ke Lokasi kerja dikarenakan
kendala pada akses
2. Pencapaian progress pekerjaan yang tidak memenuhi target.</t>
  </si>
  <si>
    <t>98e82709-c85d-4d99-a293-a6e55e133ba5</t>
  </si>
  <si>
    <t>fddd21b9-cd8c-450c-8228-b7edda9a92ce</t>
  </si>
  <si>
    <t>https://drive.google.com/file/d/10Ee3Ezzw6-UWJHZQmON_h8VwlwH9f0G5/view?usp=sharing</t>
  </si>
  <si>
    <t>https://drive.google.com/drive/folders/1dcyRnZY5CvmglyJo-SljRYONDi9ybTlg?usp=sharing</t>
  </si>
  <si>
    <t>https://ptwaskita-my.sharepoint.com/:f:/g/personal/ahmadi_ahmadi_waskita_co_id/EsCPW1jVN1hOuQ2S5es-yD4BPs_qmyrRg9nWotn_PP_96A?e=xxnKmm</t>
  </si>
  <si>
    <t>https://ptwaskita-my.sharepoint.com/:u:/g/personal/ahmadi_ahmadi_waskita_co_id/EZ9JfL20jSVFn24xJ80r604Bkp2QOZ5jcAw-Xfz4x7CZgA?e=yoNiqz</t>
  </si>
  <si>
    <t>6d1fcaec-89ba-4e68-ab20-845cbc666228</t>
  </si>
  <si>
    <t>16/02/23</t>
  </si>
  <si>
    <t>ad01b099-c3c6-4625-baf7-5d9628a39e6f</t>
  </si>
  <si>
    <t>https://ptwaskita-my.sharepoint.com/:f:/g/personal/banyu_purwita_waskita_co_id/EqTjUHNq3YxAussMGuMB4SsB7s2rrcflDpIuNCrZdQ2_FA?e=7pACfY</t>
  </si>
  <si>
    <t>1.PLN : Tiang, kabel sutm, kabel sktm dan trafo pln yg masih berada dilokasi menggangu jalannya progress pekerjaan
2.PDAM : pipa PDAM yang belum terkoneksi di lahan Ruko 4 Pintu mengakibatkan pipa eksisting di lokasi frontage belum bisa dibongkar dan ber</t>
  </si>
  <si>
    <t>15ed2aae-f7c8-4d34-8055-71db1aaaf456</t>
  </si>
  <si>
    <t>RELOKASI UTILITAS YANG MASIH TERKENDALA TEKNIS.</t>
  </si>
  <si>
    <t>a769a94d-4f78-44a0-b2c3-b7712b9ced09</t>
  </si>
  <si>
    <t>https://ptwaskita-my.sharepoint.com/:f:/r/personal/fahmi_waskita_co_id/Documents/BIM%20-%20INFRA%202/Project/WKINF2%20-%20Lingkar%20Sepaku%204/2.%20SHARED/9.%20Reality%20Modeling/4.%2019%20Februari%202023/Video?csf=1&amp;web=1&amp;e=TTORjq</t>
  </si>
  <si>
    <t>https://ptwaskita-my.sharepoint.com/:f:/r/personal/fahmi_waskita_co_id/Documents/BIM%20-%20INFRA%202/Project/WKINF2%20-%20Lingkar%20Sepaku%204/2.%20SHARED/9.%20Reality%20Modeling/4.%2019%20Februari%202023/Foto?csf=1&amp;web=1&amp;e=7HxZoi</t>
  </si>
  <si>
    <t>https://ptwaskita-my.sharepoint.com/:f:/r/personal/fahmi_waskita_co_id/Documents/BIM%20-%20INFRA%202/Project/WKINF2%20-%20Lingkar%20Sepaku%204/2.%20SHARED/9.%20Reality%20Modeling/4.%2019%20Februari%202023/ORTO?csf=1&amp;web=1&amp;e=yTGM0Q</t>
  </si>
  <si>
    <t>https://ptwaskita-my.sharepoint.com/:f:/r/personal/fahmi_waskita_co_id/Documents/BIM%20-%20INFRA%202/Project/WKINF2%20-%20Lingkar%20Sepaku%204/2.%20SHARED/9.%20Reality%20Modeling/4.%2019%20Februari%202023/SLPK?csf=1&amp;web=1&amp;e=FvcsPd</t>
  </si>
  <si>
    <t>cd30216d-c818-44ca-a801-efabf55cf309</t>
  </si>
  <si>
    <t>https://drive.google.com/file/d/1sdiEPahpk81L-0OhWCLIrZ3ENL6POVqF/view?usp=share_link</t>
  </si>
  <si>
    <t>https://drive.google.com/drive/folders/1AUN3SMfshTLAL9UaNacm4ltFaxzV37pD?usp=share_link</t>
  </si>
  <si>
    <t>https://ptwaskita-my.sharepoint.com/:f:/g/personal/fahmi_waskita_co_id/El50yJ0vV1BPmkwsTMouzX8BL2j2dOXc7hVCTqNv-Fr-cw?e=Dolwbu
https://ptwaskita-my.sharepoint.com/:f:/g/personal/fahmi_waskita_co_id/EuhMqrpyF3pIu1OHUniheUoBJAFEs-pLMoPic8bZSbGFlg?e=w3W2cQ</t>
  </si>
  <si>
    <t>https://ptwaskita-my.sharepoint.com/:f:/g/personal/fahmi_waskita_co_id/EuhMqrpyF3pIu1OHUniheUoBJAFEs-pLMoPic8bZSbGFlg?e=w3W2cQ</t>
  </si>
  <si>
    <t>1. Lokasi disposal sudah direncanakan sebanyak 2.016.750 m3 dari total rencana disposal sebanyak 4.515.360 m3
2. Pengumuman hasil inventarisasi dan identifikasi peta bidang tanah tahap pertama per Desember 2022 seluas 23,39 Ha sehingga total lahan yang</t>
  </si>
  <si>
    <t>e98df058-6659-4ccd-85ba-594cf22e2530</t>
  </si>
  <si>
    <t>23/02/23</t>
  </si>
  <si>
    <t>32a81e6e-7e89-4d5c-88f1-3a110e792f18</t>
  </si>
  <si>
    <t>1cccb598-dc4f-42f7-b3f4-799bf8a118d4</t>
  </si>
  <si>
    <t>474e8921-a8b5-4cb8-b05a-6a9fcbc6345a</t>
  </si>
  <si>
    <t>cd349c12-e5f3-4002-9125-961083b06f76</t>
  </si>
  <si>
    <t>24/02/23</t>
  </si>
  <si>
    <t>5e18a507-8443-4c35-8a49-20e55100b216</t>
  </si>
  <si>
    <t>bdf63862-c597-4797-9a70-d54743bfca66</t>
  </si>
  <si>
    <t>https://ptwaskita-my.sharepoint.com/:f:/g/personal/banyu_purwita_waskita_co_id/EqTjUHNq3YxAussMGuMB4SsB7s2rrcflDpIuNCrZdQ2_FA?e=EhWPzq</t>
  </si>
  <si>
    <t>Lokasi lahan yang belum bebas mengganggu pelaksanaan pekerjaan dan target yang ada seperti pelebaran jalan.
Permasalahan lahan terkait kepastian batas-batas lahan yang dibebaskan dari tim pembebasan lahan.</t>
  </si>
  <si>
    <t>f6af2c71-8f77-46c1-b603-faae673154ca</t>
  </si>
  <si>
    <t>781fdf5b-4f2c-4bad-b63d-73de69a1f036</t>
  </si>
  <si>
    <t>Akibat tingginya curah hujan mengakibatkan tebing/lereng rawan longsor</t>
  </si>
  <si>
    <t>a882c348-8979-4998-aa7b-37c4fc7154ee</t>
  </si>
  <si>
    <t>f35522d7-b23d-4d3b-95a3-8d00219d7daf</t>
  </si>
  <si>
    <t>https://drive.google.com/file/d/19PExz69eS09StEi1Ke6aSCcXQdGuFy4e/view?usp=share_link</t>
  </si>
  <si>
    <t>https://ptwaskita-my.sharepoint.com/:i:/g/personal/fahmi_waskita_co_id/EcNoApG0xDhDv_t851LpYNQBa8OyXcUj-yxxuoZ9F1A__Q?e=wIefBY</t>
  </si>
  <si>
    <t>https://ptwaskita-my.sharepoint.com/:f:/g/personal/fahmi_waskita_co_id/EjZUYPse8DBDkSvhlaGFPgYBRfn_gUQegNBZqnY_If1ViA?e=To64DN</t>
  </si>
  <si>
    <t>ad515fa9-6475-4567-b6cc-af9d19d9f19c</t>
  </si>
  <si>
    <t>25/02/23</t>
  </si>
  <si>
    <t>6c67c513-4819-44c3-b009-563780bf4d22</t>
  </si>
  <si>
    <t>- Terdapat review desain yang membutuhkan waktu dalam proses analisa dan approval
- Terdapat penambahan lingkup diluar desain (akses Pantai Kedungtumpang)
- Keterlambatan pembebasan lahan pada akses jembatan STA 5+750
- Terdapat perubahan volume item pek</t>
  </si>
  <si>
    <t>52760b04-9b57-4782-bba4-f01b4389d4b2</t>
  </si>
  <si>
    <t>d560d646-17e2-4389-8a38-90ad45a7e1d1</t>
  </si>
  <si>
    <t>Target pengecoran Bulan Februari 2023  per hari 800 m3, terealisasi  maks di M-3 860 m3, rata2 600 m3/hari</t>
  </si>
  <si>
    <t>584e187f-c9d0-47e8-9d66-4e38c254d439</t>
  </si>
  <si>
    <t>20/02/23</t>
  </si>
  <si>
    <t>Adanya peraturan daerah lumajang terkait stockpile terpadu.
Supply Split mengalami kendala akibat belum selesianya perijinan Quarry Lumbang milik WBP</t>
  </si>
  <si>
    <t>16fc794f-d3e2-4713-a601-254d3d1deb77</t>
  </si>
  <si>
    <t>14/02/23</t>
  </si>
  <si>
    <t>Target Pek. Guardrail Bulan FebruarI 2023 3.400 m, s.d saat ini material sudah datang 33.680 m. Rencana Pendatangan Keseluruahan Guardrail  di M-4 Feb 23.​</t>
  </si>
  <si>
    <t>053c0e40-9271-4bb7-953c-d4597662ca40</t>
  </si>
  <si>
    <t>PJU s.d M-3 Februari 2023 Sudah On Site 235 Bh.
Tererection : Single : 35 bh, Double : 44 bh
Total Finish Pondasi PJU : 102 Titik</t>
  </si>
  <si>
    <t>db6ca953-f792-4a22-9cbd-3a4b29bf9ae4</t>
  </si>
  <si>
    <t>Proses Pendatangan Material Rambu
Target On Site Rambu M-3 Feb 2023</t>
  </si>
  <si>
    <t>4ff88f2a-170f-46ba-ba22-7313b3c20a76</t>
  </si>
  <si>
    <t>masih berproses dilapangan</t>
  </si>
  <si>
    <t>94e85ae7-803d-4e3e-859b-a12606349d93</t>
  </si>
  <si>
    <t>f6812b4e-a4f5-4c3b-94ed-6105b9d1a70f</t>
  </si>
  <si>
    <t>https://ptwaskita-my.sharepoint.com/:f:/r/personal/fajar_sodiq_waskita_co_id/Documents/INFRASTRUCTURE%202%20DIVISION/P1417059%20-%20PASPRO%20SEKSI%204/2.SHARED/2.04.%20FOTOGRAMETRI/2023/02.%20Fotri%20Februari?csf=1&amp;web=1&amp;e=34Wt6m</t>
  </si>
  <si>
    <t>24a931e5-d522-431a-9dc3-ee9e776a2a90</t>
  </si>
  <si>
    <t>cb868ae6-09e2-4d9e-bcb7-a80d1476e495</t>
  </si>
  <si>
    <t>1. Akibat pengambilalihan pekerjaan partner KSO (PT Baswara Sinarmulia) munculnya denda akibat tidak tercapainya penyelesaian pekerjaan sesuai kontrak yaitu 31 Desember 2022 dan potensi pemutusan kontrak
2. Kenaikan Beban Konstruksi akibat Pengambilaliha</t>
  </si>
  <si>
    <t>d11bed56-5b1c-41f5-ab28-c6675aa70b08</t>
  </si>
  <si>
    <t>d2af1f83-e7a1-4da1-bc6e-00fc775be9ef</t>
  </si>
  <si>
    <t>Termin bulanan yang sudah diajukan belum terbayar oleh piak owner</t>
  </si>
  <si>
    <t>e89b4da7-6193-441d-98d6-88414648ca0f</t>
  </si>
  <si>
    <t>f40f66ff-8b61-4e90-9c26-cb17296efcc1</t>
  </si>
  <si>
    <t>7714fb9f-e38c-428f-8c31-07adedd2f972</t>
  </si>
  <si>
    <t>https://drive.google.com/file/d/1dUkdqRgDcmzeIJ4cvmvN8ommTG9tve9x/view?usp=share_link</t>
  </si>
  <si>
    <t>https://drive.google.com/drive/folders/1X7BLWgWCXqt_BZAxHjZNGs250I3HJhno?usp=share_link</t>
  </si>
  <si>
    <t>https://drive.google.com/file/d/1zd0IIts9fio-XcUZS33zB6AzUCYpRSIM/view?usp=share_link</t>
  </si>
  <si>
    <t>https://drive.google.com/file/d/1aUtnLkkNstXHZCI33m-HkTO-SJ9OZPPB/view?usp=share_link</t>
  </si>
  <si>
    <t>Pengadaan Steel Sheet Pile mencabut dari proyek Cibcil masih dalam proses, dan pengadaan baru terkendala harga melebihi APP</t>
  </si>
  <si>
    <t>5ae85a7a-5a0f-4539-aa1d-e395229ef90c</t>
  </si>
  <si>
    <t>820f6a96-9f55-4675-88e5-6073fb137441</t>
  </si>
  <si>
    <t>1. Lahan masih ada yang belum bebas pada area
• Bidang 50 STA 27+900
• STA 30+600 sd STA 31+050
• STA 33+500 sd STA 34+000
• Semper Timur Interchange Cilincing
2. Lahan Bermasalah
• Pekerjaan Main Road Zona 1 STA 27 sedang proses pekerjaan akse</t>
  </si>
  <si>
    <t>ef4ef38d-5ea7-4b37-81ec-6bbac1799bb9</t>
  </si>
  <si>
    <t>d360e4c9-26e0-474c-8c81-8306d5c1a999</t>
  </si>
  <si>
    <t>https://drive.google.com/file/d/1tmirWLGqEIOf8TUBqjtmZE9imXwnu8Bx/view?usp=drivesdk</t>
  </si>
  <si>
    <t>https://drive.google.com/file/d/1rTz3o9xqXjeqNSXMlvkAeNmqI_5eBxlc/view?usp=drivesdk</t>
  </si>
  <si>
    <t>https://ptwaskita-my.sharepoint.com/:f:/r/personal/fahmi_waskita_co_id/Documents/BIM%20-%20INFRA%202/Project/WKINF2%20-%20D32C19006%20(Jakarta%20-%20Cikampek%20II%20Selatan%20Paket%203)/3.%20PUBLISHED/9.%20REALITY%20MODELING/202302%20-%20Februari%202023?</t>
  </si>
  <si>
    <t>Penanganan RTA tanah clayshale pada lokasi galian adalah dengan membuat kemiringan 1:4. Tetapi dengan keterbatasan lahan sehingga galian banyak mengalami kelongsoran</t>
  </si>
  <si>
    <t>75956c21-d0ea-4a92-beee-1875d0367dc3</t>
  </si>
  <si>
    <t>Jembatan Utama Anak Sungai Cibodas berdekatan dengan sumber mata air warga , dikhawatirkan dengan pekerjaan bore pile sumber mata air warga tercemar kekeringan</t>
  </si>
  <si>
    <t>1edd6128-5b48-4cc6-b2c4-2122bbd9bccc</t>
  </si>
  <si>
    <t>3821221c-d8b6-4633-ba68-28a52ae73c53</t>
  </si>
  <si>
    <t>Penyelesaian Pekerjaan di Area Fastol Caringin Utama</t>
  </si>
  <si>
    <t>e8794c39-cc6e-4587-a151-d04b7cbd5b25</t>
  </si>
  <si>
    <t>e6861c68-824a-4a34-96da-fe1ecdfdf95e</t>
  </si>
  <si>
    <t>b1ae9b92-5801-446d-9ba1-a8bd646fbbaf</t>
  </si>
  <si>
    <t>544cb0aa-f520-4e35-92b0-5d9823068e2d</t>
  </si>
  <si>
    <t>https://drive.google.com/file/d/1o-2zKl-P4BasKmJFGTuyXLVUrgwYOCPS/view?usp=share_link</t>
  </si>
  <si>
    <t>https://ptwaskita-my.sharepoint.com/:f:/r/personal/fahmi_waskita_co_id/Documents/BIM%20-%20INFRA%202/Project/WKINF2%20-%201322007%20(LOT%20-%20P.%20Sine%20-%20Bts%20Kab.%20Blitar%202%20(Road%20and%20Bridge))/1.%20WIP/2.%20Photogrammetry/1.%20RAW%20foto/1</t>
  </si>
  <si>
    <t>408478ea-4877-4e8b-ac8d-c11105976347</t>
  </si>
  <si>
    <t>https://drive.google.com/file/d/1egBI4DI3VR5C8tNmvhVD1fFPM1dc8-IV/view?usp=share_link</t>
  </si>
  <si>
    <t>https://drive.google.com/drive/folders/1wX0Xjf8QtVMktw1kLvijHjI-kRedowhd?usp=share_link</t>
  </si>
  <si>
    <t>18c54b70-1eaa-412b-82ea-9534d3d1877b</t>
  </si>
  <si>
    <t>Mohamad Febry Prasetia</t>
  </si>
  <si>
    <t>https://drive.google.com/file/d/1wnxcvJ5FEhx78TTiBEKNaMn7NUuPv6Cp/view?usp=share_link</t>
  </si>
  <si>
    <t>https://drive.google.com/drive/folders/1KKYQm5Kun-Rr87rWyJLl2KX2iqnYCFy_?usp=share_link</t>
  </si>
  <si>
    <t>0db6aacf-6187-4063-9605-39c6df48ab0d</t>
  </si>
  <si>
    <t>https://ptwaskita-my.sharepoint.com/:v:/g/personal/wayabula1_infra2_waskita_co_id/Ecsg8Ru8RX1KuJdK5IxBqNIBktblgL3ai9Dn95TYXj98Qw?e=dW1srG</t>
  </si>
  <si>
    <t>https://ptwaskita-my.sharepoint.com/:u:/g/personal/wayabula1_infra2_waskita_co_id/EXSQo4qGZO1ElVb3xrbTDwEBukh3ftZnP3qk-yIpdxM4QQ?e=iesMWL</t>
  </si>
  <si>
    <t>https://ptwaskita-my.sharepoint.com/:i:/g/personal/wayabula1_infra2_waskita_co_id/EeyGwxhYNKpHuLm1KOYg4NQB6SsoV8QhvxyskdcyW7VN5A?e=ensFOe</t>
  </si>
  <si>
    <t>https://ptwaskita-my.sharepoint.com/:u:/g/personal/wayabula1_infra2_waskita_co_id/EeP9AslF46FEv7TGPWzQ94oBQpYqxYhApo4SYhUVQLBliA?e=iS7M97</t>
  </si>
  <si>
    <t>335864d6-5727-4db2-bd28-2b38ff0c1e6e</t>
  </si>
  <si>
    <t>https://ptwaskita-my.sharepoint.com/:v:/g/personal/tri_suseno_waskita_co_id/EfxZCK_hPRJNpSltu_axixkBXvxkrinlEnaZKG4zn5CqcQ?e=ROJnSs</t>
  </si>
  <si>
    <t>https://ptwaskita-my.sharepoint.com/:f:/g/personal/tri_suseno_waskita_co_id/Eh0RHhjnjLFOuCFEt67gx88B3wdfMyv1-H6888UZb2PtDg?e=BX9kcX</t>
  </si>
  <si>
    <t>81ac09a6-fea8-4a43-8672-1f9a6c1c6cc2</t>
  </si>
  <si>
    <t>Desaian yang sudah di setujui sebelumnya di review ulang dari pihak Owner</t>
  </si>
  <si>
    <t>ded9f9b5-8b31-4249-94ef-a02a65d84490</t>
  </si>
  <si>
    <t>1. Produksi Material LPA/LPB harus di kebut (Produksi Material 3/5 masih sedikit untuk campuran LPB)
2. Kesiapan Produksi Material LPA dan Hotmix</t>
  </si>
  <si>
    <t>7d012934-9396-4731-b764-eb91310e7963</t>
  </si>
  <si>
    <t>4bf7ef78-e8e5-47b0-a8af-77387ad9b6a0</t>
  </si>
  <si>
    <t>https://drive.google.com/file/d/1DFDbDwhBpnBrhC_HFVhf6IIUM4iJXnpz/view?usp=share_link
https://drive.google.com/file/d/1IgeReeectyt05Vz8qXBvQR4q-PR1PWOe/view?usp=share_link</t>
  </si>
  <si>
    <t>https://drive.google.com/file/d/1cW7WZNDbJ0SSvBO_tCAN5wYO7RaAjjLf/view?usp=share_link
https://drive.google.com/file/d/1nrB3S0TgF1E8ro6zoFJzUvw5T-2wlm0F/view?usp=share_link
https://drive.google.com/file/d/1ZwAp1kJUnjdoOtPG5Bkxr0wvnBmhTk5N/view?usp=share</t>
  </si>
  <si>
    <t>Total termin cair sebesar Rp. 125.486 M (52,26%) (tolong diupdate ke mas handono, dimasukkan Uang Muka), Dana Kerja yang telah diterima sebesar Rp. 73 M (58% thd termin cair). Pengajuan pembayaran sentralisasi batch – 4 (mei) sebesar Rp. 21.6 M. Total</t>
  </si>
  <si>
    <t>eeb69434-26df-4416-9477-0abd73bd1228</t>
  </si>
  <si>
    <t>0d4f87ad-a2e9-40f7-88eb-9e77eb39b320</t>
  </si>
  <si>
    <t>https://ptwaskita-my.sharepoint.com/:f:/r/personal/fajar_sodiq_waskita_co_id/Documents/INFRASTRUCTURE%202%20DIVISION/P1417059%20-%20PASPRO%20SEKSI%204/2.SHARED/2.04.%20FOTOGRAMETRI/2023?csf=1&amp;web=1&amp;e=oKrjc0</t>
  </si>
  <si>
    <t>0803f1b1-a78b-4f53-8a70-bb8d5b0a6bdb</t>
  </si>
  <si>
    <t>Adanya aset IHM pada trase STA. 2+200 berupa rumah</t>
  </si>
  <si>
    <t>7d76c0b4-bc05-4149-a7cc-ae49bbc2b382</t>
  </si>
  <si>
    <t>Addendum pertambahan nilai Kontrak dan perpanjangan waktu pelaksanaan
 Status saat ini : Sudah keluar surat persetujuan dari Dirjen BM No : PB0201-Db/848 tanggal 05 Juli 2023 (Persetujuan Penambahan Nilai Kontrak 9,97% dari kontrak Add-04 &amp; Perubahan wak</t>
  </si>
  <si>
    <t>de377993-918d-4e6d-85fc-507b2c5b3efd</t>
  </si>
  <si>
    <t>Target PU Porsi WSKT Sesui S-Curve
• Bulan Sept 2023 : 14,0 M (Recovery Plan)
• Bulan Okto 2023 : 48,2 M
• Bulan Nov 2023 : 48,6 M
• Bulan Des 2023 : 56,4 M</t>
  </si>
  <si>
    <t>04d784f0-149d-4e92-a412-91416c63e348</t>
  </si>
  <si>
    <t>Jalan Distrik (Feeder) IKN (JOI 50%)</t>
  </si>
  <si>
    <t>5473a645-4269-4d0f-b23e-70a6fc79bb52</t>
  </si>
  <si>
    <t>cb2e50d3-ce2c-406b-aef3-7ffe76f0c078</t>
  </si>
  <si>
    <t>73e92370-bf44-41c9-8e68-61911f1badfc</t>
  </si>
  <si>
    <t>9833f3d1-3be9-4105-b998-9e9733347049</t>
  </si>
  <si>
    <t>Realisasi Pekerjaan tanah maks per hari 12.500 m3 dari rencana 17.000 m3, Jumlah Fleet saat ini sudah sesuai dengan rencana yaitu 17 Fleet, tetapi produktifitas belum maksimal.</t>
  </si>
  <si>
    <t>ab0ec21b-5975-448f-a0de-43fee4bcf8a0</t>
  </si>
  <si>
    <t>Fian Aziz</t>
  </si>
  <si>
    <t>Patimban Port Development Paket 5 (JOI member 16%)</t>
  </si>
  <si>
    <t>1. Pemenuhan stok solar di area kerja binuang belum sebanding dengan produktifitas alat.
2. Putusnya jembatan penyebrangan sungai semamu, menyebabkan terhambatnya pengiriman material semen dan wiremesh ke lokasi proyek.</t>
  </si>
  <si>
    <t>c46b64cc-4ce7-4057-bbb9-0f57c1b4a47a</t>
  </si>
  <si>
    <t>130180ef-9960-476a-a290-35559dffbebe</t>
  </si>
  <si>
    <t>Jalan Baru Kretek Girijati (JOI Leader 52.5%)</t>
  </si>
  <si>
    <t>757f03e4-b081-47d9-af2a-6cd8db4fa33a</t>
  </si>
  <si>
    <t>0f8fd9bc-9778-4af7-9a4a-927fdc7401bf</t>
  </si>
  <si>
    <t>https://drive.google.com/file/d/1tl3S511P5Bl8Saxnb9-KIeSjv5zZdnOR/view?usp=sharing</t>
  </si>
  <si>
    <t>https://drive.google.com/drive/folders/1oE7FwQb7vJ-PYR6iEG1MPFd1fv77M8BD?usp=drive_link</t>
  </si>
  <si>
    <t>https://ptwaskita-my.sharepoint.com/:f:/r/personal/fahmi_waskita_co_id/Documents/BIM%20-%20INFRA%202/Project/WKINF2%20-%201316019%20(Jalan%20Tol%20Bocimi%20Seksi%202)/1.%20WIP/FOTOGRAMETRI/20230831-Agt%2023%20-%20MC100?csf=1&amp;web=1&amp;e=pldRiY</t>
  </si>
  <si>
    <t>2354ad18-e393-4504-8d0c-dccbb880d512</t>
  </si>
  <si>
    <t>29/09/23</t>
  </si>
  <si>
    <t>cb8b5ee1-e993-4aa1-92e9-ce3c8b673246</t>
  </si>
  <si>
    <t>15/09/23</t>
  </si>
  <si>
    <t>Kendala Pendatangan material batu pecah</t>
  </si>
  <si>
    <t>e0848676-66ed-4105-8554-ad985088c49a</t>
  </si>
  <si>
    <t>https://drive.google.com/file/d/1DDAesUk2G7VDk0NMxVsSKWjWj5snK6y4/view</t>
  </si>
  <si>
    <t>bc14b76f-3373-4e0c-8f5a-5e091e8320f5</t>
  </si>
  <si>
    <t>30/08/23</t>
  </si>
  <si>
    <t>7c1cc0e0-fbc5-4662-b4eb-740075199154</t>
  </si>
  <si>
    <t>86f14a72-8dee-4d35-a870-05c1884c74ae</t>
  </si>
  <si>
    <t>https://drive.google.com/drive/folders/1T4ti_x1cSXvDW5z3YQAbsSwP7hOZOy54</t>
  </si>
  <si>
    <t>Terjadi deviasi progress pekerjaan Waskita &gt;5% (kontrak kritis)</t>
  </si>
  <si>
    <t>8b859d97-2f47-4185-9cbd-33567c9e3df7</t>
  </si>
  <si>
    <t>6dca3d63-8a0b-4421-9d74-c74f2e55b032</t>
  </si>
  <si>
    <t>https://ptwaskita-my.sharepoint.com/personal/kretek_girijati_waskita_co_id/_layouts/15/onedrive.aspx?ga=1&amp;id=%2Fpersonal%2Fkretek%5Fgirijati%5Fwaskita%5Fco%5Fid%2FDocuments%2F1%2E%20TEKNIK%2F9%2E%20DOKUMENTASI%2F1%2E%20DRONE%2FSEPTEMBER%202023%2F29%2D09%</t>
  </si>
  <si>
    <t>73cacc09-54fd-4215-acbc-fe6b3424af8a</t>
  </si>
  <si>
    <t>https://www.youtube.com/watch?v=afUB_Kri1SA</t>
  </si>
  <si>
    <t>https://drive.google.com/drive/folders/1NkLq75d9Gdm0m5br4WEQuPMCvWcOaHh3?usp=sharing</t>
  </si>
  <si>
    <t>https://ptwaskita-my.sharepoint.com/:f:/g/personal/fahmi_waskita_co_id/EqSZItR777tMgaBCR0jwokoBM-uvIUi-AS2Umclu3wekKA?email=riski.aziz%40waskita.co.id&amp;e=HnYxB7</t>
  </si>
  <si>
    <t>https://ptwaskita-my.sharepoint.com/:f:/r/personal/fahmi_waskita_co_id/Documents/BIM%20-%20INFRA%202/Project/WKINF2%20-%201323020%20Jalan%20Tol%20Probowangi/1.%20WIP/GIS/14.%20Update%20Reality%20Mesh?csf=1&amp;web=1&amp;e=tbq3qR</t>
  </si>
  <si>
    <t>30bd38e7-f90a-4b1b-bef4-cc800d6192f6</t>
  </si>
  <si>
    <t>Beton WSBP, BP belum berdiri, harga yang
ditawarkan masih sangat tinggi, kurang
berminat dan masih meragukan Waktu
Pembayaran.</t>
  </si>
  <si>
    <t>558c3fda-40ed-4bf6-9c02-c419ba30dd2e</t>
  </si>
  <si>
    <t>4b17e57d-bf83-4b29-aae8-c6b39936f76a</t>
  </si>
  <si>
    <t>https://drive.google.com/file/d/1B456pfGDoC_y8Xh5O4uMrI20TFCUKlZ3/view?usp=sharing</t>
  </si>
  <si>
    <t>https://drive.google.com/drive/folders/1q7_QRmqHgsniLlffHQdKGsAIO4XkFu_J?usp=sharing</t>
  </si>
  <si>
    <t>https://ptwaskita-my.sharepoint.com/:f:/g/personal/ahmadi_ahmadi_waskita_co_id/Etc08RYYsxRFj3obDinurgsBN-3NmjO9qotmTVHMWbZMNA?e=0RIF6N</t>
  </si>
  <si>
    <t>e6334f1f-2c34-4a7d-aae1-ac0ae1db06be</t>
  </si>
  <si>
    <t>fb0f0e24-461a-4a89-bee0-f24e27b006b8</t>
  </si>
  <si>
    <t>https://drive.google.com/file/d/1QoJAMRPf70QdTolJT7vRInnFmf1XY9wr/view?usp=sharing</t>
  </si>
  <si>
    <t>https://drive.google.com/drive/folders/1z4JMpq8WFi3nJLdyeUVQ3VvctZR92XFh</t>
  </si>
  <si>
    <t>Desain MUT belum lengkap untuk yang menuju persil (Tapping), MUT bertemu dengan MUT (PIT) , dan MUT menuju oersil yang bersebrangan dengan MUT utama (Crossing)</t>
  </si>
  <si>
    <t>bc096d87-fc72-40b3-b55c-b539620161b6</t>
  </si>
  <si>
    <t>30/09/23</t>
  </si>
  <si>
    <t>d5e3b1c0-afe3-4113-b214-d0d97f5512cd</t>
  </si>
  <si>
    <t>Waskita belum bisa memberi kepastian pembayaran vendor sehingga menyebabkan tidak adanya kegiatan pekerjaan di lapangan</t>
  </si>
  <si>
    <t>46128603-badf-4b9d-8ffb-485c9f467240</t>
  </si>
  <si>
    <t>- PT Roeslina : alat sering rusak, supply solar dan beton secara kontinu
- Boreland : RW Cibeber akan off jika tidak ada pembayaran
                      RW 33+800 alat sudah standby tapi menunggu pembayaran
- Sarinah : RW Sukabungah, saat ini BP Adhi</t>
  </si>
  <si>
    <t>25a00e81-a17b-4a80-bdb4-d5906dff8a7d</t>
  </si>
  <si>
    <t>24f71fb1-fed5-484f-bd2c-b30ed1a48add</t>
  </si>
  <si>
    <t>https://ptwaskita-my.sharepoint.com/:v:/g/personal/dhani_ramdhani_waskita_co_id/EWtwWIf17g5Ag33rMkAekh4BK75nqu6aGlKjW7Si8d9x4g?nav=eyJyZWZlcnJhbEluZm8iOnsicmVmZXJyYWxBcHAiOiJPbmVEcml2ZUZvckJ1c2luZXNzIiwicmVmZXJyYWxBcHBQbGF0Zm9ybSI6IldlYiIsInJlZmVycmFsTW9</t>
  </si>
  <si>
    <t>52eb433a-df0f-4314-9b31-e0a2263f5d60</t>
  </si>
  <si>
    <t>https://drive.google.com/file/d/1j3ganfLT3N1InNpatAgJcohdX-0e1bF3/view?usp=share_link</t>
  </si>
  <si>
    <t>https://drive.google.com/drive/folders/12dsp_NhMZKhhHH1Ndwypp5AlCd2Ia5Kp?usp=sharing</t>
  </si>
  <si>
    <t>https://drive.google.com/drive/folders/1IePY3hfn6QTIJWOxX_Mebofvp4Ds6ror</t>
  </si>
  <si>
    <t>https://drive.google.com/drive/folders/1i_gh-3Ozq_Pj3gZ0tZzvZfYBRYuOBoc1</t>
  </si>
  <si>
    <t>467bf9ad-f95f-4b36-b0f3-2a947d08aa3b</t>
  </si>
  <si>
    <t>1d6b4718-4746-4581-ba44-f5aacd557943</t>
  </si>
  <si>
    <t>Membutuhkan pelatihan lebih lanjut  bagi Personil BIM proyek untuk BIM dan LPS</t>
  </si>
  <si>
    <t>08ecaccf-bf01-4920-baa2-149e174a610f</t>
  </si>
  <si>
    <t>16/03/23</t>
  </si>
  <si>
    <t>3d20209f-d61f-4c2e-80e9-1a9c32d3c0db</t>
  </si>
  <si>
    <t>https://ptwaskita-my.sharepoint.com/:f:/g/personal/banyu_purwita_waskita_co_id/EqTjUHNq3YxAussMGuMB4SsB7s2rrcflDpIuNCrZdQ2_FA?e=IfQ5s2</t>
  </si>
  <si>
    <t>RELOKASI UTILITAS YANG MASIH TERKENDALA TEKNIS.
PLN : Tiang, kabel sutm, kabel sktm dan trafo pln yg masih berada dilokasi menggangu jalannya progress pekerjaan
PDAM : pipa PDAM yang belum terkoneksi di lahan Ruko 4 Pintu mengakibatkan pipa eksisting d</t>
  </si>
  <si>
    <t>5d58a57d-9832-4020-a6c6-53974ee19179</t>
  </si>
  <si>
    <t>Iklam Choeru Fadli</t>
  </si>
  <si>
    <t>bb1bc3c3-1903-4ffd-88ab-db5a418fef1f</t>
  </si>
  <si>
    <t>20/03/23</t>
  </si>
  <si>
    <t>912a7935-5358-43c2-95f7-33f9eb889e3d</t>
  </si>
  <si>
    <t>Pelaksanaan sisa pekerjaan erection Slab Precast lokasi Slab on Pile Sta 15</t>
  </si>
  <si>
    <t>c11401a8-35a3-4c60-a044-40f2dc50ae4c</t>
  </si>
  <si>
    <t>1. Sulitnya pemenuhan BBM di zona kerja binuang, dikarenakan akses menuju lokasi
kerja sulit dijangkau menggunakan Kendaraan Darat
2. BBM yang cenderung langka dan Lokasi kerja yang sulit dijangkau
3. Terjadinya kerusakan pada Alat Berat pada 4 Exca dan</t>
  </si>
  <si>
    <t>8543f7e5-ed58-4943-aa6e-590a4af7edc5</t>
  </si>
  <si>
    <t>24/03/23</t>
  </si>
  <si>
    <t>295d1204-fa59-42b3-948e-3bac80589cb1</t>
  </si>
  <si>
    <t>https://drive.google.com/file/d/1LaUs_GSIfsfy7aIfpw9pqATCzA0sXGFB/view?usp=sharing</t>
  </si>
  <si>
    <t>https://ptwaskita-my.sharepoint.com/:f:/g/personal/basuki_rahmat_waskita_co_id/EkVFkjadO65OvzEXCIozDL0Bz1WeGyx13-HSBNrJCDEKmw?e=pydBuf</t>
  </si>
  <si>
    <t>https://ptwaskita-my.sharepoint.com/:f:/g/personal/ahmadi_ahmadi_waskita_co_id/EkkCEo_xTyJDhD_rTm55IuYB5tvAblLnhSs7fiGTfAE_OQ?e=PAf6GO</t>
  </si>
  <si>
    <t>082192f1-19ee-4821-bc59-bcb35a7f7f4a</t>
  </si>
  <si>
    <t>23/03/23</t>
  </si>
  <si>
    <t>6ed9c8e7-200f-4b05-bd32-d16374c8a593</t>
  </si>
  <si>
    <t>https://ptwaskita-my.sharepoint.com/:v:/g/personal/banyu_purwita_waskita_co_id/EVNGVzUAMVFEoGXfXV5SLXQB94L0x_NNdi0TCfoBKohjfw?e=gcC2wJ</t>
  </si>
  <si>
    <t>https://ptwaskita-my.sharepoint.com/:f:/g/personal/banyu_purwita_waskita_co_id/EjJdp0RXzsRPozSHJCahHhIBQWYwZa3JA9bV2eEi_vQowg?e=fmjWCS</t>
  </si>
  <si>
    <t>Penanganan RTA tanah clayshale pada lokasi galian adalah dengan membuat kemiringan 1:4. Tetapi dengan keterbatasan lahan sehingga galian banyak mengalami kelongsoran.</t>
  </si>
  <si>
    <t>1f7c3851-2e9e-472e-bb20-ac4b6b279716</t>
  </si>
  <si>
    <t>Aspek Legal
1. Pembebasan Lahan
a. Lahan 1.5 Km ROW 75 m dari sta 00+000 – 01+500 (12.99 Ha) sudah bebas namun belum diserah terimakan dari Pemprov ke BBPJN Kaltim.
b. Pengumuman hasil inventarisasi &amp; identifikasi peta bidang tanah tahap 1 tgl 16 Des</t>
  </si>
  <si>
    <t>39a78dc6-c89d-4e67-a66d-2ba6657ac97d</t>
  </si>
  <si>
    <t>https://drive.google.com/file/d/1aq1Ys1UQu0TUwaiuoiHVBDVaixqGN0Z0/view?usp=sharing</t>
  </si>
  <si>
    <t>https://drive.google.com/file/d/1He6CiPigwSv3TOU6gg2cqWjvtv72EVV9/view?usp=share_link
https://drive.google.com/file/d/1O_eev7c1wAEuZz2Pc2tBl0R-hq0uAUDv/view?usp=share_link
https://drive.google.com/file/d/1hSTkHWzB2NJIgNqxODa-BEoEPbLVy3H8/view?usp=share</t>
  </si>
  <si>
    <t>Alat – Alat Berat masih kurang dan yang tersedia di Site terkadang masih sering rusak.
Saat Ini Alat yang berada di Lapangan :
Excavator        : 8 Unit
Bulldozer         : 2 Unit
Grader             : 2 Unit
Loader             : 1 Unit
Vibro Roller</t>
  </si>
  <si>
    <t>0a88c46d-245e-4069-9d51-aa73da7efe76</t>
  </si>
  <si>
    <t>26/03/23</t>
  </si>
  <si>
    <t>Tidak ada data plan atau lokasi tepatnya dari pihak PT. Pertagas terkait jalur pipa gas milik mereka.
Mengakibatkan pekerjaan dilapangan harus menyesuaikan</t>
  </si>
  <si>
    <t>409ca153-6f4c-4651-80b7-ddd6365b34c6</t>
  </si>
  <si>
    <t>87e4044a-16b9-48d8-9120-872ad0850aa3</t>
  </si>
  <si>
    <t>https://drive.google.com/file/d/14y0Kp4JD8E9c5wSdFMBxl0WAxcpYNnmV/view?usp=drivesdk</t>
  </si>
  <si>
    <t>https://drive.google.com/drive/folders/1M8yvgZ-Zt-sNC-kuttbEbJnZcaiMTyjF?usp=sharing</t>
  </si>
  <si>
    <t>https://ptwaskita-my.sharepoint.com/:f:/g/personal/fahmi_waskita_co_id/EsmuMG0-kH5Olbz_SdS_hnwBXSqCMO0kYIu0uwpQavkO_Q?e=vc1nPL</t>
  </si>
  <si>
    <t>d07a2bee-2b5e-4569-b0cf-86605a44ca75</t>
  </si>
  <si>
    <t>f2105c2f-9551-4e4a-8e61-4dff8b79d074</t>
  </si>
  <si>
    <t>bc8f02f6-229b-4adf-b8e7-4b4c95a1e656</t>
  </si>
  <si>
    <t>91222cf8-1e91-4802-a606-11c6d3c03ce7</t>
  </si>
  <si>
    <t>Terdapat bebarapa titik lokasi proyek yang menggenang akibat dari hujan</t>
  </si>
  <si>
    <t>6a7cced2-e4ad-43f3-bcf6-a89d6dbed8a3</t>
  </si>
  <si>
    <t>Quota dari SCM terbatas (outstanding pembayaran) , Adapun Supply itu pembayaran harus cash</t>
  </si>
  <si>
    <t>8d6db01a-f617-4624-a0f6-13f3519afb2a</t>
  </si>
  <si>
    <t>8588aae8-6cdf-48a1-a6a4-0d3097ae27f7</t>
  </si>
  <si>
    <t>https://drive.google.com/file/d/10vV4v76WRqERn5etAnnAAhxkRTujEQSc/view?usp=share_link</t>
  </si>
  <si>
    <t>1. Gate Sadang Kutanegara
• Relokasi JOP Eksisting Exit Tol Sadang à Review BUP
• Adanya review desain alinyemen horizontal Ramp 2 IC Sadang off ramp ke Jalan Tol Purbaleunyi
• Desain proteksi lereng galian pada lokasi clayshale
2. Gate Kutanege</t>
  </si>
  <si>
    <t>f9404cd6-0020-42a8-b022-c2d94e5f4427</t>
  </si>
  <si>
    <t>59f7238e-3dea-4e01-9461-0f0e4b751f31</t>
  </si>
  <si>
    <t>https://ptwaskita-my.sharepoint.com/:v:/r/personal/fahmi_waskita_co_id/Documents/BIM%20-%20INFRA%202/Project/WKINF2%20-%20Lingkar%20Sepaku%204/2.%20SHARED/9.%20Reality%20Modeling/8.%2019%20Maret%202023/Video/VIDEO%2021%20MARET%202023.mp4?csf=1&amp;web=1&amp;e=42</t>
  </si>
  <si>
    <t>https://ptwaskita-my.sharepoint.com/:f:/r/personal/fahmi_waskita_co_id/Documents/BIM%20-%20INFRA%202/Project/WKINF2%20-%20Lingkar%20Sepaku%204/2.%20SHARED/9.%20Reality%20Modeling/8.%2019%20Maret%202023/Foto?csf=1&amp;web=1&amp;e=49oBMd</t>
  </si>
  <si>
    <t>https://ptwaskita-my.sharepoint.com/:i:/r/personal/fahmi_waskita_co_id/Documents/BIM%20-%20INFRA%202/Project/WKINF2%20-%20Lingkar%20Sepaku%204/2.%20SHARED/9.%20Reality%20Modeling/8.%2019%20Maret%202023/Ortho/ORTO%20Maret%202023%20minggu%201.tif?csf=1&amp;web</t>
  </si>
  <si>
    <t>https://ptwaskita-my.sharepoint.com/:u:/r/personal/fahmi_waskita_co_id/Documents/BIM%20-%20INFRA%202/Project/WKINF2%20-%20Lingkar%20Sepaku%204/2.%20SHARED/9.%20Reality%20Modeling/8.%2019%20Maret%202023/SPLK/SLPK%20Maret%202023%20minggu%201.slpk?csf=1&amp;web</t>
  </si>
  <si>
    <t>91e6c422-b1fb-4fc2-b2d2-61fb25c4efea</t>
  </si>
  <si>
    <t>27/03/23</t>
  </si>
  <si>
    <t>8eaf3569-7817-4d87-8779-f9842224ed05</t>
  </si>
  <si>
    <t>Sesuai dengan kontrak, terdapat pekerjaan Struktur Jembatan yang berada di lokasi Paket LOT 6A (STA 5+700), namun masih terdapat kendala akses menuju lokasi dan status lahan HGU PT. Bengawan Gede</t>
  </si>
  <si>
    <t>860f0f06-466a-4797-bb1d-90da56aca996</t>
  </si>
  <si>
    <t>b2efe224-6aa5-495a-8add-0cc461713f34</t>
  </si>
  <si>
    <t>a. Mengajukan draft MC-100 menyesuaikan kebutuhan Teknis dan mengakomodir review desain baru (Subdrain, Sinkhole, Akses Crossing) dan item baru (Geolistrik).
b. Mengusulkan pengaktifan Pasal Adjustment for Changes in Cost Pasal 13.7 “Not Applicable”</t>
  </si>
  <si>
    <t>9fa3c696-09f6-4414-bd0e-e440e86a92a3</t>
  </si>
  <si>
    <t>68948965-a47c-4d4d-a185-42ba3fc2bd82</t>
  </si>
  <si>
    <t>Kontrak Addendum 13 yg berisi tentang addendum Volume dan perpanjangan waktu penyelesaian sampai dengan 31 Maret 2023, pihak owner menunggu persetujuan amandemen PPJT oleh BPJT</t>
  </si>
  <si>
    <t>d6bbba8a-26e2-4dfa-8d18-f8940d59b091</t>
  </si>
  <si>
    <t>1. Patner KSO PT Baswara Sinarmulia sudah tidak dapat menyelesaikan sisa pekerjaan sehingga Waskita mengambil alih sisa pekerjaan 2. KondisI hutang baswara (Hutang suplai material &amp; hutang termin) kepada waskita tercatat per Februari 2023 sebesar Rp. 29.</t>
  </si>
  <si>
    <t>9d2cee64-3f32-407c-8884-3d1115e06422</t>
  </si>
  <si>
    <t>d6646280-64c1-4076-bbb3-0edbe562ae7a</t>
  </si>
  <si>
    <t>c48c41be-554b-4b9f-99f0-707678d0f0ce</t>
  </si>
  <si>
    <t>Target Pek. Guardrail Bulan November 7.900 m, s.d saat ini material sudah datang 3.500 m. Rencana Pendatangan Guardrail  M-1 Des  10.600 m’.</t>
  </si>
  <si>
    <t>2b2206ff-c63c-4c5b-87d9-e37e7d62d0b8</t>
  </si>
  <si>
    <t>https://drive.google.com/file/d/1dxn9NFfk6obG9yCW-rpj1TdMow-YiSnj/view?usp=share_link</t>
  </si>
  <si>
    <t>https://drive.google.com/drive/folders/12dsp_NhMZKhhHH1Ndwypp5AlCd2Ia5Kp</t>
  </si>
  <si>
    <t>1. Vendor-vendor yang ada masih belum maksimal akibat terlambatnya pembayaran
2. Kurangnya vendor borrow material
3. Kenaikan Harga dasar solar dan besi beton dengan dampak :
    - Permintaan kenaikan harga dari vendor readymix, aspal dan besi
    - A</t>
  </si>
  <si>
    <t>1959b163-5b05-4378-a3f3-4b34375be544</t>
  </si>
  <si>
    <t>https://drive.google.com/file/d/1hxllbf59aQBWHJs3jeTOLYiuIM5n8r_t/view?usp=share_link</t>
  </si>
  <si>
    <t>05053219-4fa9-43be-9120-0d89325a09ba</t>
  </si>
  <si>
    <t>28/03/23</t>
  </si>
  <si>
    <t>1. Pekerjaan Rambu : Material Proses On Site Dilapangan, Rambu Terpasang s.d M-4 Mar : 15 Bh.
2. Pekerjaan Marka : Vendor Marka sudah ada, Proses persiapan area Marka.
3. Pekerjaan Aspal : Vendor Aspal Sudah ada, Status saat ini On Proses Pekerjaan Aspal</t>
  </si>
  <si>
    <t>b29d632b-4368-4256-8ec6-434a82101c2d</t>
  </si>
  <si>
    <t>A. Terdapat perubahan DIPA TA 2023 dari Rp 105.133.683.000 menjadi Rp 92.142.456.000
B. Sisa kekurangan DIPA TA 2023 senilai Rp 102.478.010.092,-</t>
  </si>
  <si>
    <t>e37b546c-7732-4eb9-8575-404b69e87253</t>
  </si>
  <si>
    <t>https://drive.google.com/file/d/1hLLWlt_yBGm4rBULalfYx_dRNB16yZnf/view?usp=share_link</t>
  </si>
  <si>
    <t>https://drive.google.com/drive/folders/1Sds55qi4UOin7I37cybSP-8QI5cqt0nf?usp=share_link</t>
  </si>
  <si>
    <t>https://drive.google.com/file/d/1lUfoO0XFaQjHuFSwVkaTBKj1p9YB6oPb/view?usp=share_link</t>
  </si>
  <si>
    <t>https://drive.google.com/file/d/1c_LCmMngU7EZdMwT2sC_P3DYWTrBL5Wk/view?usp=share_link</t>
  </si>
  <si>
    <t>Pekerjaan timbunan pada proyek Rekonstruksi Jembatan Palu 4 terkendala dengan sedikitnya sumber atau quarry yang memiliki properties yang sesuai dengan spesifikasi proyek.</t>
  </si>
  <si>
    <t>5fc8a843-a4f1-4b70-a06b-667e11cf7b79</t>
  </si>
  <si>
    <t>Quota dari SCM terbatas adapun supply pembayaran harus cash</t>
  </si>
  <si>
    <t>801f1a48-51f0-4833-b016-6112adbdd03c</t>
  </si>
  <si>
    <t>Adanya outstanding hutang vendor yang masih diperlukan dalam upaya penyelesaian pekerjaan dengan target 31 Maret 2023 terutama pada material utama seperti : - Split &amp; LPA Rapihalusmanthul Karya Mandiri, PT Rp. 3.252.026.400,- - Batu pecah CV. Prima Jaya</t>
  </si>
  <si>
    <t>cd2bbdd3-b25d-4a13-8f59-d90f9813f25e</t>
  </si>
  <si>
    <t>61d4da47-4d6a-42a8-ab5e-4a3aef64a6ec</t>
  </si>
  <si>
    <t>25/03/23</t>
  </si>
  <si>
    <t>JU Anak Sungai Cibodas berdekatan dengan sumber mata air warga. Dikhawatirkan dengan pekerjaan bore pile sumber mata air warga tercemar/kekeringan</t>
  </si>
  <si>
    <t>f87726de-a111-43d9-9cf9-45fc09f46e2c</t>
  </si>
  <si>
    <t>5eae7d80-f9af-44f3-9b24-7dc3e2e05889</t>
  </si>
  <si>
    <t>46eda51e-38a6-4745-82b9-e1646aa8296c</t>
  </si>
  <si>
    <t>Target Fungsional Lebarn 2023, terkendala lahan belum bebas di SS Sadang dan Sukabungah, Lahan bebas s.d saat ini 82,79 %</t>
  </si>
  <si>
    <t>0715ff5b-6466-4f37-a471-75459d47a102</t>
  </si>
  <si>
    <t>601f1c16-644d-4e45-a457-b248f53351c0</t>
  </si>
  <si>
    <t>https://drive.google.com/file/d/1otE1FkkJSmOjaSFW3_1Cyac6mdHbW4VG/view?usp=share_link</t>
  </si>
  <si>
    <t>https://ptwaskita-my.sharepoint.com/:i:/r/personal/fahmi_waskita_co_id/Documents/BIM%20-%20INFRA%202/Project/WKINF2%20-%20D32C19006%20(Jakarta%20-%20Cikampek%20II%20Selatan%20Paket%203)/3.%20PUBLISHED/9.%20REALITY%20MODELING/202303%20-%20Maret%202023/Ort</t>
  </si>
  <si>
    <t>https://ptwaskita-my.sharepoint.com/:f:/r/personal/fahmi_waskita_co_id/Documents/BIM%20-%20INFRA%202/Project/WKINF2%20-%20D32C19006%20(Jakarta%20-%20Cikampek%20II%20Selatan%20Paket%203)/3.%20PUBLISHED/9.%20REALITY%20MODELING/202303%20-%20Maret%202023/3D%</t>
  </si>
  <si>
    <t>a82f7afd-8784-4a84-aee4-226a480879d8</t>
  </si>
  <si>
    <t>https://ptwaskita-my.sharepoint.com/:v:/g/personal/banyu_purwita_waskita_co_id/ESYilyEfSsFPrP0S2MqS5PMBp9h_EkiocnkgcGENLRMkTQ?e=NR2ZUl</t>
  </si>
  <si>
    <t>https://ptwaskita-my.sharepoint.com/:f:/g/personal/banyu_purwita_waskita_co_id/Eqq2BvdGeC1PhKuPPYypCTwBkASbcKmg7f1PM-MW3iOmPw?e=fT3NEy</t>
  </si>
  <si>
    <t>335c5fc4-ca06-4b0e-8c11-5a4606f63787</t>
  </si>
  <si>
    <t>1975984b-a609-4883-a972-c44c4407fba6</t>
  </si>
  <si>
    <t>fbd155ab-873c-4260-8a0f-47336070e73c</t>
  </si>
  <si>
    <t>https://ptwaskita-my.sharepoint.com/personal/prod_infra2_waskita_co_id/_layouts/15/onedrive.aspx?ga=1&amp;id=%2Fpersonal%2Fprod%5Finfra2%5Fwaskita%5Fco%5Fid%2FDocuments%2F12%2E%20File%20Rembug%2F55%2E%20LEP%202023%2F03%2E%20MARET%202023%2F11%2E%20SP%20BLUSUH</t>
  </si>
  <si>
    <t>0d4fbb48-b617-4405-90a4-1755f7a0c4fd</t>
  </si>
  <si>
    <t>https://drive.google.com/file/d/1nRKUpC_8_L80u3CEMSJ8IBkgsxjwew9y/view?usp=share_link</t>
  </si>
  <si>
    <t>https://drive.google.com/drive/folders/1qzDXYhLaYj8-S9bj9DIjvzQ5XSmlGzrl?usp=share_link</t>
  </si>
  <si>
    <t>a8740926-7ea6-4d02-b2cf-98c80e12ea54</t>
  </si>
  <si>
    <t>14/03/23</t>
  </si>
  <si>
    <t>3422f374-5503-4049-abc7-3689b7ce95f3</t>
  </si>
  <si>
    <t>https://drive.google.com/file/d/1rX7ntTLZiF2eOW6giOzq7W0fX1r65N55/view</t>
  </si>
  <si>
    <t>https://drive.google.com/drive/folders/1N7zaTcREdStKI50xwce0dKOBjk0yh47p</t>
  </si>
  <si>
    <t>Penyelesaian As Built Drawing dan MC100 masih berjalan</t>
  </si>
  <si>
    <t>3e645bf1-4c39-4c1a-bde7-eb38041beec5</t>
  </si>
  <si>
    <t>https://drive.google.com/drive/folders/1fLM5fFqYL68-sJrFNsdZ8RsHeRG1aEdw?usp=share_link</t>
  </si>
  <si>
    <t>https://drive.google.com/file/d/167iqJ-hu6Q2BpgEaVGJyc9GqxzlbNu8_/view?usp=share_link</t>
  </si>
  <si>
    <t>https://drive.google.com/file/d/1c7mQr1POzUavdoTvakFuH2TnbfvCYjzn/view?usp=share_link</t>
  </si>
  <si>
    <t>e793e5b9-ecb6-475a-a0b2-4dece987b861</t>
  </si>
  <si>
    <t>53047759-5609-46f0-b055-d2baad6b5379</t>
  </si>
  <si>
    <t>30/03/23</t>
  </si>
  <si>
    <t>1c998ba0-8d2d-4897-8f76-2b5cc8bf16e5</t>
  </si>
  <si>
    <t>https://ptwaskita-my.sharepoint.com/:v:/g/personal/banyu_purwita_waskita_co_id/ESYilyEfSsFPrP0S2MqS5PMBp9h_EkiocnkgcGENLRMkTQ?e=X4CbzW</t>
  </si>
  <si>
    <t>https://ptwaskita-my.sharepoint.com/:f:/g/personal/banyu_purwita_waskita_co_id/EjJdp0RXzsRPozSHJCahHhIBQWYwZa3JA9bV2eEi_vQowg?e=vVsraY</t>
  </si>
  <si>
    <t>https://ptwaskita-my.sharepoint.com/:f:/g/personal/banyu_purwita_waskita_co_id/Eqq2BvdGeC1PhKuPPYypCTwBkASbcKmg7f1PM-MW3iOmPw?e=g0v4nq</t>
  </si>
  <si>
    <t>e7678ffa-e973-4b4c-ae25-4d5a4b437e74</t>
  </si>
  <si>
    <t>ac19d70b-f6ec-43a1-b222-af8810b327b6</t>
  </si>
  <si>
    <t>29/03/23</t>
  </si>
  <si>
    <t>Pengajuan Justtifikasi Teknik untuk pengajuan dan lampiran Addendum 3, serta pengajuan eskalasi Harga.</t>
  </si>
  <si>
    <t>2186ed92-1778-47bf-9760-7defb10a47f3</t>
  </si>
  <si>
    <t>https://drive.google.com/file/d/1xWB3EKPFDRqETVduiQh5gRSyr5vGoEYg/view?usp=share_link</t>
  </si>
  <si>
    <t>Pekerjaan Main Road Zona 1 STA 27 sedang proses pekerjaan akses</t>
  </si>
  <si>
    <t>7e441486-dcda-440c-92b2-5edd6de02dea</t>
  </si>
  <si>
    <t>aba26b43-dfa7-458f-a016-2917b008c9e0</t>
  </si>
  <si>
    <t>1eb6f063-3ab4-4892-8269-cc0ba7b58e9c</t>
  </si>
  <si>
    <t>https://ptwaskita-my.sharepoint.com/:v:/g/personal/banyu_purwita_waskita_co_id/EU4mjFcH83tBpAVP_dS_iYYB_keiphyc6XIbrVZRFQO5kA?e=FUKSCw</t>
  </si>
  <si>
    <t>https://ptwaskita-my.sharepoint.com/:f:/g/personal/banyu_purwita_waskita_co_id/EjJdp0RXzsRPozSHJCahHhIBQWYwZa3JA9bV2eEi_vQowg?e=JNwMdy</t>
  </si>
  <si>
    <t>https://ptwaskita-my.sharepoint.com/:f:/g/personal/banyu_purwita_waskita_co_id/EkHHgkWbPkZBqB7VNjfwVTQB61X6syqjq21Ir2DT44_k2Q?e=YAOG0c</t>
  </si>
  <si>
    <t>Vendor semen tiga roda dan semen indonesia tdk mau suplai ke WBP  lagi. Tidak bisa SBO karena vendor minta hutang2 WBP sblmnya dibayar dulu semua. Stop suplai semen ke WBP sejak tgl 25 Mei 2023
Berdampak progress pada pekerjaan mortar busa dan beton SCC</t>
  </si>
  <si>
    <t>0a22d6e6-a48d-4d88-9245-a760b7585cd3</t>
  </si>
  <si>
    <t>92eb88ed-3f39-4286-ac2a-6bd73e24f2f3</t>
  </si>
  <si>
    <t>Berdasarkan hasil perhitungan volume sesuai MC-0 dan untuk mengakomodir kebutuhan review desain, akses wisata, dan penanganan longsor, terdapat penambahan lingkup pekerjaan yang dituangkan didalam Add-3</t>
  </si>
  <si>
    <t>5ebf7313-4efe-494c-9435-6e9c5b7a91ed</t>
  </si>
  <si>
    <t>A. Sisa Pekerjaan Minor :
     - Rabat Beton Fc ‘15
     - Marka Jalan
     - Bahu Jalan
     - Kerb dan Patok Km
B. Perapihan dan Pembersihan Lokasi Pekerjaan</t>
  </si>
  <si>
    <t>4deee152-8eec-4958-a494-d9551051b74d</t>
  </si>
  <si>
    <t>https://drive.google.com/file/d/1nSQuQ0-jSCXd8T9NiCd6zPAkn2k83-YI/view?usp=drive_link</t>
  </si>
  <si>
    <t>1. Terdapat Aset IHM dalam trase Sta 2+200
berupa Rumah dan 2+025 berupa Gudang
2. Terdapat lahan warga dalam trase STA  
1+650 – 2+000 dan 2+450-2+496 (tepi
trase)</t>
  </si>
  <si>
    <t>dc561729-48de-40cc-b1ef-0a3a18b46065</t>
  </si>
  <si>
    <t>https://drive.google.com/file/d/1Sh_z5dOLao-lr48r_YMDUruF6TPdhK_3/view?usp=drive_link</t>
  </si>
  <si>
    <t>Terdapat Aset IHM dalam trase Sta 2+200
berupa Rumah dan 2+025 berupa Gudang</t>
  </si>
  <si>
    <t>6bf0402e-68c8-4665-88fb-e6040e783d7d</t>
  </si>
  <si>
    <t>f6976860-ed9d-4da8-9941-1f426494beeb</t>
  </si>
  <si>
    <t>Realisasi produksi harian pekerjaan beton ready mix = 30 m3 dari target 80 m3.
Saat ini BP yang sudah berdiri belum ada yang supply (HK Sis, Varia, Witon, Cakra), BP WBP harga penawaran masih tinggi, Saat ini beton disupply dari Merak atas PO PT. PP.
Mer</t>
  </si>
  <si>
    <t>b20aad1d-dd79-412d-bf5f-289b54a3c657</t>
  </si>
  <si>
    <t>Lahan Bebas s.d saat ini sepanjang 4,675 KM, lahan bebas selanjutnya 1,125 KM STA 43+000 – 44+500, saat ini masih dalam tahap pembebasan secara bertahap &amp; lahan yang sudah dapat diakses ± 500 m</t>
  </si>
  <si>
    <t>c4d8c122-86b0-4884-9a27-66d6d373b7e8</t>
  </si>
  <si>
    <t>4785b9a5-92f1-44ab-b672-ea051746eda1</t>
  </si>
  <si>
    <t>Perlu dilaukan segera checklist bersama final quanity dengan pihak Owner dan Waskita – KMP, KSO</t>
  </si>
  <si>
    <t>f999daef-7132-4c19-af55-9df95d6a3d11</t>
  </si>
  <si>
    <t>13d20939-90ca-4c8a-b567-010529c36d60</t>
  </si>
  <si>
    <t>https://drive.google.com/file/d/1HugYlarj3Aib83N8g2QZ5HdX5PaDGUS-/view?usp=sharing</t>
  </si>
  <si>
    <t>https://drive.google.com/file/d/1da6lDiXouKqlprOCFC6RXCrErXm7aH3l/view?usp=sharing
https://drive.google.com/file/d/1nyGKLDdO-6487QFHuVvWPT4hv0kblLPZ/view?usp=sharing
https://drive.google.com/file/d/1Lk7kTzsCIgRM-YqQAlDnBbQcL9dafpUw/view?usp=sharing</t>
  </si>
  <si>
    <t>6c760a60-1c0b-471c-9c17-6ab9ded58fce</t>
  </si>
  <si>
    <t>Pekerjaan
Beton
-
WBP Pangkalan à keterlambatan supply raw material.
Continue prod pada M 2
-
WBP Cilangkap à keterlambatan supply raw material.
Continue prod pada M 2 dan tgl 24 26 Agust 2023
perbaikan
-
BP Farika à Off dari 4 Agust 2023 terkait p</t>
  </si>
  <si>
    <t>8b5766b2-3e45-4c21-a2f0-2e58b45292cd</t>
  </si>
  <si>
    <t>4890bc3a-4fdf-4d3e-b075-b458fba3f372</t>
  </si>
  <si>
    <t>https://drive.google.com/file/d/15yXSmF0g6AWiDnko45gwz2RNJGp_CFTx/view?usp=share_link</t>
  </si>
  <si>
    <t>https://drive.google.com/drive/folders/1IdXufZIQU3I53htfVe1cfW02zSkKHSEY</t>
  </si>
  <si>
    <t>https://drive.google.com/drive/folders/1M6KtyS3XyyDuv6A4C0xWMH2EsC2XvIQV</t>
  </si>
  <si>
    <t>078ff62a-35f4-4a4d-9955-4d75931795b6</t>
  </si>
  <si>
    <t>1f60d78f-607a-4971-878e-c0c6b6aa3196</t>
  </si>
  <si>
    <t>f6ab0255-392c-446e-859b-4f633513cd48</t>
  </si>
  <si>
    <t>033f5494-9acc-4017-9f20-ff82973ba97e</t>
  </si>
  <si>
    <t>8984d0e0-452b-4b0a-afb1-2d722007d9ab</t>
  </si>
  <si>
    <t>https://ptwaskita-my.sharepoint.com/:v:/g/personal/banyu_purwita_waskita_co_id/ESIWz5pPswlKl7C9eYTULB4BL8h9ZV-HOaXHk-B7vSfvRQ?e=8IDCbb</t>
  </si>
  <si>
    <t>https://ptwaskita-my.sharepoint.com/:f:/g/personal/banyu_purwita_waskita_co_id/EjJdp0RXzsRPozSHJCahHhIBQWYwZa3JA9bV2eEi_vQowg?e=kte7hG</t>
  </si>
  <si>
    <t>https://ptwaskita-my.sharepoint.com/:f:/g/personal/banyu_purwita_waskita_co_id/EilJDGK_2a5KqkaPNgCzfFUBQbyeSQuQCN_zPzkaxS3eHw?e=a20hgZ</t>
  </si>
  <si>
    <t>52bda87f-5d14-457f-a359-d27bb9ea7f02</t>
  </si>
  <si>
    <t>1. Pembebasan Lahan
• Lahan 1.5 Km ROW 75 m dari sta 00+000 – 01+500 (12,99 Ha) sudah bebas namun belum
diserah terimakan dari Pemprov ke BBPJN Kaltim.
• Pengumuman hasil inventarisasi &amp; identifikasi peta bidang tanah tahap 1 tgl 16 Des 2022
selu</t>
  </si>
  <si>
    <t>57f7b436-007c-4deb-98c1-d7db734ee50f</t>
  </si>
  <si>
    <t>1a6f5ea4-e30a-4e5d-8bd3-4469b5bec60b</t>
  </si>
  <si>
    <t>28/04/23</t>
  </si>
  <si>
    <t>384bfe44-8e1a-4cf2-ac70-bfe0aac0b916</t>
  </si>
  <si>
    <t>https://drive.google.com/file/d/1gSXwQJFd1XzNP-NeveknDC4x0wV9wqG0/view?usp=drivesdk</t>
  </si>
  <si>
    <t>https://drive.google.com/drive/folders/1YlXBz4Gkn9BDdJGHfEOrMFx8bLGGqOre?usp=share_link</t>
  </si>
  <si>
    <t>https://ptwaskita-my.sharepoint.com/:f:/g/personal/fahmi_waskita_co_id/ErYVZzQVikVNjnKEpPGDJiYBX_nV5BGwTehf8kvZwrdQZg?e=fErbMD</t>
  </si>
  <si>
    <t>d21a17e7-2364-4346-9f0e-ba1cbba80461</t>
  </si>
  <si>
    <t>https://drive.google.com/file/d/1Tgu-n0v4NR1DYFRC3FyVDjSgHqL0Bw4r/view?usp=share_link</t>
  </si>
  <si>
    <t>https://drive.google.com/file/d/1VFw-OpFxshjR7w6JydVYch9RCdMkYS8f/view?usp=share_link</t>
  </si>
  <si>
    <t>d8c7e459-73fd-4964-9bfa-4b6b32d602fa</t>
  </si>
  <si>
    <t>14/04/23</t>
  </si>
  <si>
    <t>428fc77c-bf47-492c-9c58-814074ea9c35</t>
  </si>
  <si>
    <t>1. Sulitnya pemenuhan BBM di zona kerja binuang, dikarenakan akses menuju lokasi kerja sulit dijangkau menggunakan Kendaraan Darat;
2. BBM yang cenderung  langka dan lokasi kerja yang sulit dijangkau;
3. Terjadinya kerusakan pada Alat Berat pada 5 Exca d</t>
  </si>
  <si>
    <t>6cd9b164-793f-4213-8629-9fe5ebf1154b</t>
  </si>
  <si>
    <t>Perlunya Addendum Kontrak (CCO) karena adanya perubahan volume akibat perubahan trase dan penambahan volume beton.
Volume Galian segmen 2 Sangat Besar sehingga target per hari harus 6000 M3 (Kondisi Alat saat ini blm optimal karena alat sering rusak)</t>
  </si>
  <si>
    <t>7527e226-0d73-4912-8b46-60f694aae925</t>
  </si>
  <si>
    <t>29/04/23</t>
  </si>
  <si>
    <t>d119d1ed-3513-49f8-bfdb-34461fc10e9e</t>
  </si>
  <si>
    <t>https://drive.google.com/file/d/1FUNvMxO1YgqJzJ4WdXS38CMB0POs4Eej/view?usp=sharing</t>
  </si>
  <si>
    <t>https://ptwaskita-my.sharepoint.com/:f:/g/personal/basuki_rahmat_waskita_co_id/Eny86C7I-BxIqPWL9oeh9fIBhigxy0e_kcI4BmVjpuVpQQ?e=uxtHDA</t>
  </si>
  <si>
    <t>https://ptwaskita-my.sharepoint.com/:f:/g/personal/ahmadi_ahmadi_waskita_co_id/EtcKPDNkjCFGvlXA-we2_v0B3tJ_JIAjMAZWtn42txTAJw?e=AMrPpp</t>
  </si>
  <si>
    <t>26979da0-fdab-4ab4-a3d9-ac08c45a37ab</t>
  </si>
  <si>
    <t>Produksi material untuk pekerjaan Hotmix perlu di pastikan tercukupi.</t>
  </si>
  <si>
    <t>7feb3704-bc65-4945-a458-d55d94f0b2ce</t>
  </si>
  <si>
    <t>Target Fungsional Lebarn 2023 terkendala lahan belum bebas di SS Sadang dan Sukabungah, Lahan bebas s d saat ini 82,79%</t>
  </si>
  <si>
    <t>b412448d-3b6b-472d-b6ff-6ccd84a71b0a</t>
  </si>
  <si>
    <t>https://drive.google.com/drive/folders/1G35i4ddTJwXH_v0KBTOenUKrGC45UIKr?usp=share_link</t>
  </si>
  <si>
    <t>https://drive.google.com/file/d/1j6CvgpuomBTRF4UzuzQzeWzI--J48yFv/view?usp=share_link
https://drive.google.com/file/d/1urubQUxbYPeJ_14tuNItWPntdYTe-3Sc/view?usp=share_link
https://drive.google.com/file/d/1-thaAbgar0Tj8oSmtnZZXSmu4w3l9ZIw/view?usp=share</t>
  </si>
  <si>
    <t>1. Akses Jalan Menuju Lokasi Proyek
2. Terbatasnya Sumber Quarry Material yang ada dan berdekatan dengan lokasi pekerjaan.
3. Asphalt Mixing Plan (AMP)
4. Keterbatasan Ketersediaan Vendor-Vendor yang Ada.
5. Lokasi rencana alih trase yang sulit untuk dij</t>
  </si>
  <si>
    <t>2ca14997-5c7a-4142-8979-e7d8fc1e4bbc</t>
  </si>
  <si>
    <t>3af592e1-a591-45e0-b359-cc870a9d0308</t>
  </si>
  <si>
    <t>1debef3b-42f8-45b0-8045-050ec506ed5d</t>
  </si>
  <si>
    <t>11d87889-92c3-4f0f-b805-d8a71b11ae89</t>
  </si>
  <si>
    <t>30/11/23</t>
  </si>
  <si>
    <t>Kurangnya supplay beton untuk Pelaksanaan saluran samping U-Ditch dan V-Ditch</t>
  </si>
  <si>
    <t>5c9efa9c-325e-4cc2-931a-aecc34032758</t>
  </si>
  <si>
    <t>d6780205-02c8-4fde-9bdc-f916f2839fd7</t>
  </si>
  <si>
    <t>lahan Akses yang belum bebas sehingga menggangu Progress pekerjaan lapangan</t>
  </si>
  <si>
    <t>c95def49-26c8-4720-ad6f-a21b2e3b18f4</t>
  </si>
  <si>
    <t>https://drive.google.com/file/d/1XZKqb8jcpYMVNZtl6Mn1QR8ENhwqIzRj/view?usp=share_link</t>
  </si>
  <si>
    <t>https://drive.google.com/drive/folders/1FGKgsxxLbkTtKjVMIEcugDWbJwauspMq</t>
  </si>
  <si>
    <t>Jalan Tol ditargetkan beroperasi pada akhir bulan Juni 2023</t>
  </si>
  <si>
    <t>7fecd899-f217-445c-9b9a-080b2989596c</t>
  </si>
  <si>
    <t>18/05/23</t>
  </si>
  <si>
    <t>9ee24802-30ff-47e2-b559-fb8e0639e460</t>
  </si>
  <si>
    <t>f71cda08-bf2a-46c1-9fb1-bf2d30d86aee</t>
  </si>
  <si>
    <t>19/05/23</t>
  </si>
  <si>
    <t>11e1b76d-e5f5-4483-a32c-bc79213bf193</t>
  </si>
  <si>
    <t>https://ptwaskita-my.sharepoint.com/:v:/g/personal/banyu_purwita_waskita_co_id/Ed-lffaXbBJGrWZqWLthJPoBAf_R_rkebOS-NPDvdU-ljg?e=mW4Duk</t>
  </si>
  <si>
    <t>https://ptwaskita-my.sharepoint.com/:f:/g/personal/banyu_purwita_waskita_co_id/EtUeMuY2EIhMpjsVN6latxgBqF53B0uBNks4hmcIUchUCw?e=FkZYN6</t>
  </si>
  <si>
    <t>https://ptwaskita-my.sharepoint.com/:f:/g/personal/banyu_purwita_waskita_co_id/El5wergDaGZAreXO3Z6HeOAB4vSkSonXWd-SteRerz9fSQ?e=TTSelh</t>
  </si>
  <si>
    <t>PLN : kabel sktm yg masih berada dilokasi menggangu jalannya progress pekerjaan
PDAM : pipa PDAM di lahan Ruko 4 Pintu &amp; S Bayas sudah tersambung, namun belum bisa terkoneksi ke jalur pelanggan mengakibatkan pipa eksisting (Sisi Kanan) di lokasi frontage</t>
  </si>
  <si>
    <t>a3d313f2-26f4-4e80-ba00-ffdbb80e5df5</t>
  </si>
  <si>
    <t>1. Sparepart Alat yang rusak sudah tersedia, namun pembelian harus dilakukan secara Cash On Carry
2. Realisasi kebutuhan BBM tidak sesuai dengan rencana produksi akibat keterbatasan supplai vendor
3. Akses Jalur Darat dari Sungai Melasuk Besar sampai ke</t>
  </si>
  <si>
    <t>afe13f51-905c-46ac-a8ae-c4e1496ca3cf</t>
  </si>
  <si>
    <t>4a9864e9-e682-4cf3-8bde-0e41eb6e1747</t>
  </si>
  <si>
    <t>https://ptwaskita-my.sharepoint.com/:f:/r/personal/fahmi_waskita_co_id/Documents/BIM%20-%20INFRA%202/Project/WKINF2%20-%20Lingkar%20Sepaku%204/2.%20SHARED/9.%20Reality%20Modeling/16.%2021%20Mei%202023/Video?csf=1&amp;web=1&amp;e=ijQiYS</t>
  </si>
  <si>
    <t>https://ptwaskita-my.sharepoint.com/:f:/r/personal/fahmi_waskita_co_id/Documents/BIM%20-%20INFRA%202/Project/WKINF2%20-%20Lingkar%20Sepaku%204/2.%20SHARED/9.%20Reality%20Modeling/16.%2021%20Mei%202023/Foto?csf=1&amp;web=1&amp;e=vsmhAK</t>
  </si>
  <si>
    <t>https://ptwaskita-my.sharepoint.com/:f:/r/personal/fahmi_waskita_co_id/Documents/BIM%20-%20INFRA%202/Project/WKINF2%20-%20Lingkar%20Sepaku%204/2.%20SHARED/9.%20Reality%20Modeling/15.%2007%20Mei%202023/Orthofhoto?csf=1&amp;web=1&amp;e=EEf2eR</t>
  </si>
  <si>
    <t>https://ptwaskita-my.sharepoint.com/:f:/r/personal/fahmi_waskita_co_id/Documents/BIM%20-%20INFRA%202/Project/WKINF2%20-%20Lingkar%20Sepaku%204/2.%20SHARED/9.%20Reality%20Modeling/15.%2007%20Mei%202023/SLPK?csf=1&amp;web=1&amp;e=BaINHM</t>
  </si>
  <si>
    <t>Terjadi akibat volume realisasi pada item kontrak sudah melebihi dari volume kontrak pekerjaan (contoh: item rock excavation, clearing and grubbing dll) , dan terdapat beberapa new item yang sudah dikerjakan (contoh: box culvert, DS-8, dan Concrete Fc’</t>
  </si>
  <si>
    <t>03d116c3-f838-4394-9800-8bb981074e28</t>
  </si>
  <si>
    <t>Terdapat lahan warga dalam trase STA    1+650 – 2+000 dan 2+450-2+496 (tepi trase)</t>
  </si>
  <si>
    <t>2a9a0f6b-9019-4b45-b924-6ac25b375bb5</t>
  </si>
  <si>
    <t>045286a0-0b0e-43ba-86f3-c5099ade0a4d</t>
  </si>
  <si>
    <t>96ca2008-453a-4de9-827b-18da66ad03dc</t>
  </si>
  <si>
    <t>Terdapat beberapa akses warga yang crossing dengan JLS Lot-6B (proyek), oleh karena itu Pemerintah Kabupaten bersama dengan PPK menjembatani untuk pelaksanaan terkait crossing akses jalan warga</t>
  </si>
  <si>
    <t>45b7797a-4c88-40af-b81a-5ce30c444fcc</t>
  </si>
  <si>
    <t>https://drive.google.com/file/d/1WXHFC1PH5bh8N0MP11D9NvY92Rw1UQ8M/view?usp=share_link</t>
  </si>
  <si>
    <t>944da9f9-8dbb-4140-af38-0ddc3c76107a</t>
  </si>
  <si>
    <t>9368f24d-7fc6-4480-ac7a-3964ab335b5e</t>
  </si>
  <si>
    <t>24/05/23</t>
  </si>
  <si>
    <t>8c586a7b-3c84-46d8-ad62-afb6ee183349</t>
  </si>
  <si>
    <t>https://drive.google.com/file/d/1ubGktAnTP3gnHva7H27JNfdgak9-Cut9/view?usp=drivesdk</t>
  </si>
  <si>
    <t>https://drive.google.com/drive/folders/1NulzbgPCT1cxdu1qlTWOuWRdHgWCKYZI?usp=share_link</t>
  </si>
  <si>
    <t>https://ptwaskita-my.sharepoint.com/:f:/g/personal/fahmi_waskita_co_id/Er3sJRNsCq9IrbdAaOkTI5IBQhrBV3Zm2oJrTUtstmEpDg?e=fEPnHv</t>
  </si>
  <si>
    <t>3b30de76-7b12-4e0f-9ab4-1b23e0aabae4</t>
  </si>
  <si>
    <t>7ffdde4b-c272-4a30-87eb-49a14a8759b5</t>
  </si>
  <si>
    <t>1. Sparepart Alat yang rusak sudah tersedia, namun pembelian harus dilakukan secara Cash On Carry
2. Realisasi kebutuhan BBM tidak sesuai dengan rencana produksi akibat keterbatasan supplai vendor;
3. Berdasarkan evaluasi, rencana tidak tercapai dikarena</t>
  </si>
  <si>
    <t>57fbe38f-7d1a-45e9-a109-0bfde945f1b5</t>
  </si>
  <si>
    <t>https://drive.google.com/file/d/1ZaNUuDhrsm_-zblPEKE7gxWmxzjiMUPs/view?usp=share_link</t>
  </si>
  <si>
    <t>https://drive.google.com/drive/folders/19U5kyYDKZPcyDkwNVWyRv0XFcuD6Ql4Q?usp=share_link</t>
  </si>
  <si>
    <t>https://drive.google.com/file/d/12oEYJftowuE9XCLh1O2GeTteRTK_fuj9/view?usp=share_link</t>
  </si>
  <si>
    <t>https://drive.google.com/file/d/1pBm1zb8T7xwVXqSY0Mw2cRjzfvCSQUVE/view?usp=share_link</t>
  </si>
  <si>
    <t>Pekerjaan Sheet Pile di P2 terkendala akibat adanya material eksisting Jembatan dan batu boulder yang berada di jalur pancang SSP pada kedalaman 4 m yang harus dilakukan pembersihan terlebih dahulu sebelum bisa melanjutkan pekerjaan SSP</t>
  </si>
  <si>
    <t>35991bfd-eeff-4c74-970c-f9b863d82fff</t>
  </si>
  <si>
    <t>23/05/23</t>
  </si>
  <si>
    <t>e65c2ad0-9fa3-4220-8b32-cf53efc6f670</t>
  </si>
  <si>
    <t>25/05/23</t>
  </si>
  <si>
    <t>65fbdaa1-2e5a-4e80-a57e-890c2732da89</t>
  </si>
  <si>
    <t>https://drive.google.com/file/d/1lYELaDF54ThfYLsWrUMKyr3OpGq73VUx/view?usp=sharing</t>
  </si>
  <si>
    <t>https://ptwaskita-my.sharepoint.com/:f:/g/personal/basuki_rahmat_waskita_co_id/EiYdEeX9efFPppMGlGWV7UMBpU_qbigJcXSh0rDyn7QPxA?e=LGONfr</t>
  </si>
  <si>
    <t>https://ptwaskita-my.sharepoint.com/:f:/g/personal/ahmadi_ahmadi_waskita_co_id/ErG-YIOo0I5FlVEdL8O3EL8BG8gDOpqYO6RZK-7-OJGg9w?e=UgsE1E</t>
  </si>
  <si>
    <t>6f2e583d-f527-4b8b-aa60-7454f3942cbb</t>
  </si>
  <si>
    <t>3e534310-1be9-4108-995e-c24760f51ca1</t>
  </si>
  <si>
    <t>https://ptwaskita-my.sharepoint.com/:i:/g/personal/fahmi_waskita_co_id/EQLc522f2pVOjECjAkGyLLgBzw_y5hEWMgBPoWAtCEpjEw?e=DqBwJX</t>
  </si>
  <si>
    <t>9ad6e46d-0e83-4420-9404-436c6e4e1a29</t>
  </si>
  <si>
    <t>https://drive.google.com/file/d/1jvnW3gSVtCxLbn9IbsFYM7QoQlfz2fmO/view?usp=share_link</t>
  </si>
  <si>
    <t>https://drive.google.com/drive/folders/12y7xeFD5QnlqMOco1HQWXsCwxa-pYwtJ?usp=share_link</t>
  </si>
  <si>
    <t>f8c4bb24-3901-45b6-aa9c-5c12a4159df9</t>
  </si>
  <si>
    <t>Terdapat tanah warga pada segmen lingkar sepaku 4 Sta. 1+600 – Sta.
2+000 yang belum bebas</t>
  </si>
  <si>
    <t>3560a6e7-d275-4045-8d8e-bc052c2768cf</t>
  </si>
  <si>
    <t>NENES ANGGI PUSPADI</t>
  </si>
  <si>
    <t>1. Pekerjaan aspal proses penyiapan lahan pada lokasi segmen tambahan, aspal tahap 1 menyisakan lokasi box culvert saja.
2. Perlunya pengawasan mutu dan kecukupan alat sesuai kebutuhan</t>
  </si>
  <si>
    <t>cbf4439b-3ee1-4fc5-a8ea-4023afc4525a</t>
  </si>
  <si>
    <t>28/05/23</t>
  </si>
  <si>
    <t>1. Alat Sering Rusak
2. Pemenuhan Alat-Alat untuk Segmen 2 khususnya pekerjaan Urpil sd Aspal Sta. 00+000 sd 05+400 segmen 2</t>
  </si>
  <si>
    <t>90af5c7e-725e-497d-9e25-fa07b21e3b4f</t>
  </si>
  <si>
    <t>1. Perlunya Addendum Kontrak (CCO) karena adanya perubahan volume akibat perubahan trase dan penambahan volume beton.
2. Pengadaan Material Untuk Pekerjaan Struktur Box Culvert</t>
  </si>
  <si>
    <t>2fb583be-90f0-42b6-8358-7266053f9d61</t>
  </si>
  <si>
    <t>2fe7640c-5f7d-4ab0-9359-90248a60faab</t>
  </si>
  <si>
    <t>https://drive.google.com/file/d/18iEPKTAlW_hC8qlzcUZxba-bDzxrcxL2/view?usp=share_link</t>
  </si>
  <si>
    <t>https://drive.google.com/file/d/1FeSz1r4QjhUDPFIoHrMvnnaYbckW0G0v/view?usp=share_link
https://drive.google.com/file/d/1oi6IPsj9gE_EZBYGJ6GoeqgT2QWd7PmR/view?usp=share_link
https://drive.google.com/file/d/176LTUgGaDXOA7KlReGfgsYbJPxcmGKJI/view?usp=share</t>
  </si>
  <si>
    <t>e643d5cb-b015-4216-850f-37e416cddc47</t>
  </si>
  <si>
    <t>8a4987d3-0207-4a94-a939-e28612fae75b</t>
  </si>
  <si>
    <t>https://ptwaskita-my.sharepoint.com/:f:/g/personal/banyu_purwita_waskita_co_id/EgGJqZ-78YlHoOtpkgEqWOoBFE4bIqlRikX79GRf97z8dQ?e=XGVp4X</t>
  </si>
  <si>
    <t>https://ptwaskita-my.sharepoint.com/:f:/g/personal/banyu_purwita_waskita_co_id/EjJdp0RXzsRPozSHJCahHhIBQWYwZa3JA9bV2eEi_vQowg?e=WKL8VH</t>
  </si>
  <si>
    <t>https://ptwaskita-my.sharepoint.com/:f:/g/personal/banyu_purwita_waskita_co_id/EnCOLWmjotJDi8x7r6t0facBcFrfGCdEDwg3RDrEBCubCQ?e=Ur8b1t</t>
  </si>
  <si>
    <t>8813ac48-63f6-45f7-b376-f7aaa69208eb</t>
  </si>
  <si>
    <t>https://ptwaskita-my.sharepoint.com/:v:/g/personal/banyu_purwita_waskita_co_id/EY2d7xWaa8xAjLNourgZLOUBb9l3Xt3KxhU_zXoFZhyMfw?e=U8jzQg</t>
  </si>
  <si>
    <t>https://ptwaskita-my.sharepoint.com/:f:/g/personal/banyu_purwita_waskita_co_id/EjJdp0RXzsRPozSHJCahHhIBQWYwZa3JA9bV2eEi_vQowg?e=l18mdm</t>
  </si>
  <si>
    <t>https://ptwaskita-my.sharepoint.com/:f:/g/personal/banyu_purwita_waskita_co_id/EnCOLWmjotJDi8x7r6t0facBcFrfGCdEDwg3RDrEBCubCQ?e=cbgKyo</t>
  </si>
  <si>
    <t>Klaim kepemilkan lahan kepada waskita di area barat proyek, namun area tersebut tidak termasuk dalam ROW proyek Jembatan Palu 4</t>
  </si>
  <si>
    <t>f9aa01a0-02f5-4ec0-8e29-74b7453bbc40</t>
  </si>
  <si>
    <t>c0578d1f-32d3-459e-9b2f-c157a06aad43</t>
  </si>
  <si>
    <t>89fc2425-8036-4211-ace0-b3c89c4fb68d</t>
  </si>
  <si>
    <t>Hujan lebat dan angin kencang berpotensi menyebebakan tebing longsor dan pohon tumbang</t>
  </si>
  <si>
    <t>1e1f8a44-f38d-4a94-8ba6-48afd7b0bb4a</t>
  </si>
  <si>
    <t>df95493a-c3f9-4383-8f22-78e55f9a9a0f</t>
  </si>
  <si>
    <t>279fc576-de2b-4c3b-98cd-8e0e27c7ec0a</t>
  </si>
  <si>
    <t>https://drive.google.com/file/d/18reVzah_SzzCZlhvjX91Ls4BLipM1HTZ/view?usp=share_link</t>
  </si>
  <si>
    <t>a405a60e-d91b-4061-bd7f-0a7d475c4792</t>
  </si>
  <si>
    <t>16/05/23</t>
  </si>
  <si>
    <t>1. Metode campuran agregat kelas A pada stone crusher area Jawa Timur tidak menggunakan mesin Mechanical Feeder.
2. Persyaratan abrasi beberapa lokasi stone crusher memenuhi persyaratan minimum 37-38% &lt; 40%, namun nilai tersebut riskan karena mendekati n</t>
  </si>
  <si>
    <t>6224965d-6dce-45a1-81f1-acc967530d07</t>
  </si>
  <si>
    <t>e816782e-5632-4887-9415-b7f0328c689f</t>
  </si>
  <si>
    <t>24/04/23</t>
  </si>
  <si>
    <t>1. Kuranganya Supply besi, sehingga dilapangan progress terlambat dan
banyak konversi ukuran.
2. Pekerjaan gerbang tol terlambat dari terget dikarenakan subkon terkait
terkendala biaya.</t>
  </si>
  <si>
    <t>b783e91b-4270-4102-81d5-9d85c6d94196</t>
  </si>
  <si>
    <t>https://1drv.ms/f/s!Av3zzsz7Xi3Zg5Ynr7rJHSF_A7KgdQ?e=a1MpV4</t>
  </si>
  <si>
    <t>https://1drv.ms/f/s!Av3zzsz7Xi3Zg4FsKf3KWy_QO4yoGA?e=jMXIfV</t>
  </si>
  <si>
    <t>https://ptwaskita-my.sharepoint.com/:f:/r/personal/fajar_sodiq_waskita_co_id/Documents/INFRASTRUCTURE%202%20DIVISION/P1417059%20-%20PASPRO%20SEKSI%204/2.SHARED/2.04.%20FOTOGRAMETRI/2023/05.%20Fotri%20Mei?csf=1&amp;web=1&amp;e=GyWFuL</t>
  </si>
  <si>
    <t>694b12c5-fd06-441c-8de3-ba6124a96188</t>
  </si>
  <si>
    <t>https://drive.google.com/file/d/1jDfrVt1OpSdclrGdrhePaRz40gmEt4o9/view?usp=sharing</t>
  </si>
  <si>
    <t>https://drive.google.com/drive/folders/1fkzOTEbZhY8eXzXSoKIlWIrBFwIFjWXu?usp=sharing</t>
  </si>
  <si>
    <t>5cb7b551-65c6-49be-b15d-3b44e5748e1a</t>
  </si>
  <si>
    <t>https://ptwaskita-my.sharepoint.com/:i:/g/personal/fahmi_waskita_co_id/Ef72Dfe7RWJEtI0MdDasHowBjy2K8Mxy1NF0CMM7DQ-qxw?e=gZKrdt</t>
  </si>
  <si>
    <t>Penambahan jumlah mandor di lapangan untuk percepatan progres dan mengejar target kontrak</t>
  </si>
  <si>
    <t>d1437258-9d18-4101-962e-676629a37ae6</t>
  </si>
  <si>
    <t>4c9627ff-c2c1-4193-be97-c1b7a6688949</t>
  </si>
  <si>
    <t>abb4b3c3-49a6-4000-a0bd-43ce286473e3</t>
  </si>
  <si>
    <t>https://drive.google.com/file/d/1MzxtkfUuK_LtAD5ZgGRza9FF6XFrrzfV/view?usp=drive_link</t>
  </si>
  <si>
    <t>https://drive.google.com/drive/folders/1EORN2mOb6wM36HERBLxyLPoyv-xDTiw-?usp=drive_link</t>
  </si>
  <si>
    <t>https://drive.google.com/drive/folders/1XapMYi_RrOxNIYGvOTevrU6PPahLTbrG?usp=drive_link</t>
  </si>
  <si>
    <t>https://drive.google.com/drive/folders/1eI3ToM8QwZlT_zL4RRD8GABHOTmW-sbk?usp=drive_link</t>
  </si>
  <si>
    <t>kendala finansial pada subkon dan mandor menyebabkan terhambatnya penyelesaian pekerjaan di Proyek Bocimi Seksi 2</t>
  </si>
  <si>
    <t>c5e060a7-31bc-45fd-aea7-56a12eef628e</t>
  </si>
  <si>
    <t>20/06/23</t>
  </si>
  <si>
    <t>Tindak Lanjut ULF Proyek Bocimi Seksi 2</t>
  </si>
  <si>
    <t>f1924b5a-9862-4f36-909c-37008e750524</t>
  </si>
  <si>
    <t>56530c8e-2dcb-4e24-b625-0e6d3138ea23</t>
  </si>
  <si>
    <t>124cb1a6-789d-46fd-bde4-97924584c79d</t>
  </si>
  <si>
    <t>c07d30a6-07f9-464e-85cd-75516e64a423</t>
  </si>
  <si>
    <t>https://ptwaskita-my.sharepoint.com/:f:/r/personal/fahmi_waskita_co_id/Documents/BIM%20-%20INFRA%202/Project/WKINF2%20-%20Lingkar%20Sepaku%204/2.%20SHARED/9.%20Reality%20Modeling/20.%2018%20Juni%202023/Video?csf=1&amp;web=1&amp;e=CrDvSx</t>
  </si>
  <si>
    <t>https://ptwaskita-my.sharepoint.com/:f:/r/personal/fahmi_waskita_co_id/Documents/BIM%20-%20INFRA%202/Project/WKINF2%20-%20Lingkar%20Sepaku%204/2.%20SHARED/9.%20Reality%20Modeling/20.%2018%20Juni%202023/Foto?csf=1&amp;web=1&amp;e=Mfq47w</t>
  </si>
  <si>
    <t>https://ptwaskita-my.sharepoint.com/:i:/r/personal/fahmi_waskita_co_id/Documents/BIM%20-%20INFRA%202/Project/WKINF2%20-%20Lingkar%20Sepaku%204/2.%20SHARED/9.%20Reality%20Modeling/17.%2026%20Mei%202023/Orto/ORTO%2026%20Mei%202023%20minggu%202.tif?csf=1&amp;we</t>
  </si>
  <si>
    <t>https://ptwaskita-my.sharepoint.com/:u:/r/personal/fahmi_waskita_co_id/Documents/BIM%20-%20INFRA%202/Project/WKINF2%20-%20Lingkar%20Sepaku%204/2.%20SHARED/9.%20Reality%20Modeling/17.%2026%20Mei%202023/SLPK/LSS4.slpk?csf=1&amp;web=1&amp;e=2YC5HB</t>
  </si>
  <si>
    <t>8b9b30fe-d7bd-4556-9a6f-6717d1f2ad78</t>
  </si>
  <si>
    <t>22/06/23</t>
  </si>
  <si>
    <t>3c9a4f4c-01aa-400f-856f-ce8e4381be66</t>
  </si>
  <si>
    <t>https://ptwaskita-my.sharepoint.com/:v:/g/personal/andri_j_waskita_co_id/ERKFsUY9R4VNkaZn_pgYRasBudLQQ8oEfn5XxP6-8VAJ2Q?e=zbh4cI</t>
  </si>
  <si>
    <t>https://drive.google.com/drive/folders/1B217XwIEkN3x2GEw5XcSMd9HE3-I1gpi?usp=sharing</t>
  </si>
  <si>
    <t>https://ptwaskita-my.sharepoint.com/:f:/g/personal/fahmi_waskita_co_id/EpyL5jZxWOlJg_D4smebVmQBvo5HLHC69h0XP59lCjYbfg?e=hIKu5U</t>
  </si>
  <si>
    <t>b0d644c2-8540-489b-a309-4ff6ecbf83a5</t>
  </si>
  <si>
    <t>13e82f7d-4e01-46a4-aaa5-c478b1d9a0ce</t>
  </si>
  <si>
    <t>f9abd663-cfb5-4f90-9c86-41c0912235b4</t>
  </si>
  <si>
    <t>https://drive.google.com/file/d/1bDM9ME6kDcZ6HOdnyLlNEYOHxFGaaWii/view?usp=sharing</t>
  </si>
  <si>
    <t>d92d7341-ac92-4632-b8c3-5c76a7f75721</t>
  </si>
  <si>
    <t>24/06/23</t>
  </si>
  <si>
    <t>13a3907a-6e53-4f43-bb3c-93725d9d7b39</t>
  </si>
  <si>
    <t>https://ptwaskita-my.sharepoint.com/:v:/g/personal/banyu_purwita_waskita_co_id/EQlkWqzVon1Jp_x_d5Jgj8sB6JiJrX6uvCq0BOte0RsStQ?e=3ZcEvy</t>
  </si>
  <si>
    <t>https://ptwaskita-my.sharepoint.com/:f:/g/personal/banyu_purwita_waskita_co_id/EjJdp0RXzsRPozSHJCahHhIBQWYwZa3JA9bV2eEi_vQowg?e=Ldgd91</t>
  </si>
  <si>
    <t>https://ptwaskita-my.sharepoint.com/:f:/g/personal/banyu_purwita_waskita_co_id/EqR88qb8b3JBnPVxOvjyP5wBZ1ir_ivFFktpRF-ZfogGpg?e=v80gLv</t>
  </si>
  <si>
    <t>Lahan Akses belum ada yang bebas sehingga mengganggu jalannya proyek. mempersulit pengambilan data.</t>
  </si>
  <si>
    <t>f57f1f54-eb04-4962-8aa6-f1083238bc9d</t>
  </si>
  <si>
    <t>4cfeea2c-b531-4517-8029-160165865658</t>
  </si>
  <si>
    <t>64de7866-ee41-4625-91ef-5742fcd58a98</t>
  </si>
  <si>
    <t>JU Anak Sungai Cibodas berdekatan dengan sumber mata air
warga sehingga dikhawatirkan dengan pekerjaan bore pile sumber mata air warga
tercemar kekeringan</t>
  </si>
  <si>
    <t>5c4364ec-1cbe-4a0e-8257-502edf984b33</t>
  </si>
  <si>
    <t>https://drive.google.com/file/d/16R8v5SxHuRLEzDdu7Xilw-aAs-VUEwMU/view?usp=drive_link</t>
  </si>
  <si>
    <t>https://drive.google.com/drive/folders/18mn64zi0mXmfeyQC7BEOuLWAuxwRyXMS?usp=drive_link</t>
  </si>
  <si>
    <t>Pengadaan sisa kebutuhan SSP untuk cofferdam P1 sebanyak 165 sheet belum bisa didatangkan terkendala pembayaran</t>
  </si>
  <si>
    <t>6310d5d3-9ea9-442c-a616-406c104efd91</t>
  </si>
  <si>
    <t>27/06/23</t>
  </si>
  <si>
    <t>- Keterbatasan jumlah DT dan TM yang ada
- Keterbatasan supply RAW material WBP  (vendor tidak ada yg mau supply ke WBP)</t>
  </si>
  <si>
    <t>aef89e26-1596-429e-813e-3c8f656e00c1</t>
  </si>
  <si>
    <t>https://drive.google.com/file/d/1W21KhgbOBF8DAOYyvSNcxCtB_LX3wAq4/view?usp=sharing</t>
  </si>
  <si>
    <t>https://ptwaskita-my.sharepoint.com/:f:/r/personal/fahmi_waskita_co_id/Documents/BIM%20-%20INFRA%202/Project/WKINF2%20-%20D32C19006%20(Jakarta%20-%20Cikampek%20II%20Selatan%20Paket%203)/1.%20WORK%20IN%20PROGRESS/Fotogrametri/Sukabungah/Produk/JUNI?csf=1&amp;</t>
  </si>
  <si>
    <t>caaf3874-eb65-4b8d-97bf-19417b1376a1</t>
  </si>
  <si>
    <t>https://ptwaskita-my.sharepoint.com/:f:/r/personal/fahmi_waskita_co_id/Documents/BIM%20-%20INFRA%202/Project/WKINF2%20-%20D32C19006%20(Jakarta%20-%20Cikampek%20II%20Selatan%20Paket%203)/3.%20PUBLISHED/9.%20REALITY%20MODELING/202306-Juni%202023?csf=1&amp;web=</t>
  </si>
  <si>
    <t>56e6f081-ff0d-41d3-9886-4e8648208fcb</t>
  </si>
  <si>
    <t>1. Supply dan Stock Material untuk Pekerjaan LPB, LPA, dan Aspal
2. Terjadi deviasi terhadap rencana akibat adanya pergeseran alat pada pekerjaan galian yang digunakan untuk penyiapan badan jalan</t>
  </si>
  <si>
    <t>b7867e13-7649-40e8-bffe-8b68ef245e6c</t>
  </si>
  <si>
    <t>25/06/23</t>
  </si>
  <si>
    <t>1. Alat Sering Rusak
2. Pengadaan Material dan personil (tenaga kerja) tambahan Untuk Pekerjaan Struktur Box Culvert</t>
  </si>
  <si>
    <t>de92540e-23fc-4235-98fb-35f74949d873</t>
  </si>
  <si>
    <t>Terjadi deviasi terhadap rencana akibat adanya pergeseran alat pada pekerjaan galian yang digunakan untuk penyiapan badan jalan</t>
  </si>
  <si>
    <t>68fc3d60-f0d8-47d6-8155-6157230538db</t>
  </si>
  <si>
    <t>d0e57d00-7b3e-4baf-8804-408d4b95adcc</t>
  </si>
  <si>
    <t>https://drive.google.com/file/d/1MkWjuLfbt40KhS8AGGy8m3SW6iy_0gFd/view?usp=sharing
https://drive.google.com/file/d/1Pa7Nto10ggAr_WgJ8iJVFmArf8kHulPq/view?usp=sharing
https://drive.google.com/file/d/1z5QVbSliRQu0rUB1WzPW54Md1ZFdE2gj/view?usp=sharing</t>
  </si>
  <si>
    <t>1de90d90-6a48-4b98-91c4-0ddf711d44c4</t>
  </si>
  <si>
    <t>21bce1fd-37b8-4109-ac89-9a83261859d6</t>
  </si>
  <si>
    <t>https://ptwaskita-my.sharepoint.com/:v:/r/personal/fahmi_waskita_co_id/Documents/BIM%20-%20INFRA%202/Project/WKINF2%20-%20Lingkar%20Sepaku%204/2.%20SHARED/9.%20Reality%20Modeling/2.%2004%20Februari%202023/Video%20Drone/Video%20Drone%20Proyek%20LSS%204%20</t>
  </si>
  <si>
    <t>https://ptwaskita-my.sharepoint.com/:f:/r/personal/fahmi_waskita_co_id/Documents/BIM%20-%20INFRA%202/Project/WKINF2%20-%20Lingkar%20Sepaku%204/2.%20SHARED/9.%20Reality%20Modeling/2.%2004%20Februari%202023/Foto?csf=1&amp;web=1&amp;e=LbRe89</t>
  </si>
  <si>
    <t>https://ptwaskita-my.sharepoint.com/:i:/r/personal/fahmi_waskita_co_id/Documents/BIM%20-%20INFRA%202/Project/WKINF2%20-%20Lingkar%20Sepaku%204/2.%20SHARED/9.%20Reality%20Modeling/2.%2004%20Februari%202023/Orthofhoto/Ortho.tif?csf=1&amp;web=1&amp;e=Ky38wm</t>
  </si>
  <si>
    <t>https://ptwaskita-my.sharepoint.com/:u:/r/personal/fahmi_waskita_co_id/Documents/BIM%20-%20INFRA%202/Project/WKINF2%20-%20Lingkar%20Sepaku%204/2.%20SHARED/9.%20Reality%20Modeling/2.%2004%20Februari%202023/SLPK/SLPK.slpk?csf=1&amp;web=1&amp;e=FGnt7q</t>
  </si>
  <si>
    <t>ab90d58e-4fad-41b0-8747-a429105834e5</t>
  </si>
  <si>
    <t>9a51334f-63c8-475d-9d28-299627a12987</t>
  </si>
  <si>
    <t>cc764e0b-1491-47f7-8848-5606849c9f19</t>
  </si>
  <si>
    <t>https://ptwaskita-my.sharepoint.com/:v:/g/personal/banyu_purwita_waskita_co_id/ESYilyEfSsFPrP0S2MqS5PMBp9h_EkiocnkgcGENLRMkTQ?e=jvqeCl</t>
  </si>
  <si>
    <t>https://ptwaskita-my.sharepoint.com/:f:/g/personal/banyu_purwita_waskita_co_id/EjJdp0RXzsRPozSHJCahHhIBQWYwZa3JA9bV2eEi_vQowg?e=9uPH8d</t>
  </si>
  <si>
    <t>https://ptwaskita-my.sharepoint.com/:f:/g/personal/banyu_purwita_waskita_co_id/Eqq2BvdGeC1PhKuPPYypCTwBkASbcKmg7f1PM-MW3iOmPw?e=or9GJs</t>
  </si>
  <si>
    <t>PLN : Tiang, kabel sutm, kabel sktm yg masih berada dilokasi menggangu jalannya progress pekerjaan
PDAM : pipa PDAM sudah konek di S Bayas tapi jaringan lama belum dialihkan ke jaringan pipa relokasi yang baru
PGN : pipa PGN belum terkoneksi di lahan Ruk</t>
  </si>
  <si>
    <t>194358b2-48de-4020-9539-6502951682ae</t>
  </si>
  <si>
    <t>Fajar Kurniawan</t>
  </si>
  <si>
    <t>https://ptwaskita-my.sharepoint.com/:f:/r/personal/fajar_sodiq_waskita_co_id/Documents/INFRASTRUCTURE%202%20DIVISION/P1417059%20-%20PASPRO%20SEKSI%204/2.SHARED/2.04.%20FOTOGRAMETRI?csf=1&amp;web=1&amp;e=YXQdkm</t>
  </si>
  <si>
    <t>4081a9e6-65a1-40ba-be24-7c6b21d04413</t>
  </si>
  <si>
    <t>dd281ef1-ef85-48ce-9446-d00c1c5aef23</t>
  </si>
  <si>
    <t>https://drive.google.com/file/d/152QQ4cmY075U7AYf_QA9co9fHu74WH5q/view?usp=sharing</t>
  </si>
  <si>
    <t>https://drive.google.com/drive/folders/1Xkde7uIEF_MQfxGji3yiR2nQAxlAoK3L?usp=sharing</t>
  </si>
  <si>
    <t>https://drive.google.com/drive/folders/1Ao7aeeB7RMPszQGDgAyfO4twydRlzP0x?usp=sharing</t>
  </si>
  <si>
    <t>https://drive.google.com/drive/folders/1TlnS3FNLiFO3NpH3vLTAB--A4DCNAXsq?usp=sharing</t>
  </si>
  <si>
    <t>7d71721e-20b9-4592-8f85-9d3a63034ecc</t>
  </si>
  <si>
    <t>1. Pendatangan Material Semen &amp; Aramco ke Lokasi Kerja
2. Kerusakan alat, berupa 5 unit excavator</t>
  </si>
  <si>
    <t>de1dd322-b804-4cae-bc37-006eb4d8926b</t>
  </si>
  <si>
    <t>ceaea7d1-2df0-4669-ab13-8b6998cf25ac</t>
  </si>
  <si>
    <t>https://ptwaskita-my.sharepoint.com/:v:/r/personal/fahmi_waskita_co_id/Documents/BIM%20-%20INFRA%202/Project/WKINF2%20-%20Lingkar%20Sepaku%204/2.%20SHARED/06.%20Reality%20Modeling/26.%2022%20Juli%202023/Video/VIDEO%2022%20JULI%202023.mp4?csf=1&amp;web=1&amp;e=Kq</t>
  </si>
  <si>
    <t>https://ptwaskita-my.sharepoint.com/:f:/r/personal/fahmi_waskita_co_id/Documents/BIM%20-%20INFRA%202/Project/WKINF2%20-%20Lingkar%20Sepaku%204/2.%20SHARED/06.%20Reality%20Modeling/26.%2022%20Juli%202023/Foto?csf=1&amp;web=1&amp;e=FzDwLG</t>
  </si>
  <si>
    <t>https://ptwaskita-my.sharepoint.com/:i:/r/personal/fahmi_waskita_co_id/Documents/BIM%20-%20INFRA%202/Project/WKINF2%20-%20Lingkar%20Sepaku%204/2.%20SHARED/06.%20Reality%20Modeling/26.%2022%20Juli%202023/Orho/Ortho%2022-07-2023.tif?csf=1&amp;web=1&amp;e=alf5aH</t>
  </si>
  <si>
    <t>https://ptwaskita-my.sharepoint.com/:u:/r/personal/fahmi_waskita_co_id/Documents/BIM%20-%20INFRA%202/Project/WKINF2%20-%20Lingkar%20Sepaku%204/2.%20SHARED/06.%20Reality%20Modeling/26.%2022%20Juli%202023/SLPK/LS422_BM_WK-GTR_VIS_3D%20Progres_S2,3_AAN_SLPK</t>
  </si>
  <si>
    <t>674fac5c-34be-4f18-96c7-16809620bb29</t>
  </si>
  <si>
    <t>Terdapat tower BTS di sta. 2+000 di sebalah
kanan trase lingkar sepaku 4.</t>
  </si>
  <si>
    <t>9386a852-b88b-4015-b208-3cb28f36daff</t>
  </si>
  <si>
    <t>e615a7fc-f2ca-4465-8315-4ea138086988</t>
  </si>
  <si>
    <t>26efc87b-4a41-4a60-8b2f-58c4f50c60d8</t>
  </si>
  <si>
    <t>f58971d5-0243-40e8-b37b-a85b5a943e09</t>
  </si>
  <si>
    <t>DPPT (Dokumen Perencanaan Pengadaan Tanah) sudah diserahkan dari pihak BBPJN Kalimantan Timur ke Pemprov Kalimantan Timur.
Dana pembebasan lahan untuk lahan yang sudah diumumkan pada paket 5A sebesar 31 M (Surat Direktur Utama Lembaga Manajemen Aset Ne</t>
  </si>
  <si>
    <t>622f1d88-c8d7-4bd9-a287-1b1f3979913d</t>
  </si>
  <si>
    <t>cd0806c2-967e-4141-b86b-80bfe5e61bd0</t>
  </si>
  <si>
    <t>https://drive.google.com/file/d/1Mk8k7B0LNwX6lg9gVFwYzgP1cIbklPpI/view?usp=sharing</t>
  </si>
  <si>
    <t>Terdapat utilitas kabel SKTM 20 kV crossing pada Pier P6 (Ramp 1) dan P5 (Ramp 2) sehingga pekerjaan borepile belum bisa dimulai</t>
  </si>
  <si>
    <t>84c8e5ad-9662-4bda-a8ae-71e022b33243</t>
  </si>
  <si>
    <t>26/07/23</t>
  </si>
  <si>
    <t>ef8c02d4-f92c-4609-a714-acc41e41b8e7</t>
  </si>
  <si>
    <t>https://drive.google.com/file/d/1bS6E_dzalxC9lH2vV5mkuG0iekzyzScF/view?usp=sharing</t>
  </si>
  <si>
    <t>https://drive.google.com/drive/folders/1aRZ6PxRiaE8hG9YXtESHYau8yixiddWD?usp=sharing</t>
  </si>
  <si>
    <t>https://ptwaskita-my.sharepoint.com/:f:/g/personal/ahmadi_ahmadi_waskita_co_id/EidJD7ulu0pNptUe81EsefcB1Kq2eR-3JB68brJE2-UIKQ?e=maasD9</t>
  </si>
  <si>
    <t>c7862ea2-0c8f-4c5e-8eeb-558469ee1682</t>
  </si>
  <si>
    <t>Terhentinya produksi vendor MTA akibat pembayaran di proyek lain.
Terhentinya produksi vendor KWP dan ProgressMax akibat pembayaran.
Terhentinya produksi SBP karena Quarry di tutup
Cuaca Bulan M-1, M-2 Maret Curah Hujan Tinggi</t>
  </si>
  <si>
    <t>fd64b182-78b3-4d2d-9f5c-45ce22d84b88</t>
  </si>
  <si>
    <t>https://ptwaskita-my.sharepoint.com/:i:/r/personal/fahmi_waskita_co_id/Documents/BIM%20-%20INFRA%202/Project/WKINF2%20-%201316022%20(Jalan%20Tol%20Cimanggis%20-%20Cibitung%20Seksi%202)/1.%20WIP/RAW%20Orthophoto/Orthophoto/2023/7.%20JULI/STA%2027+070%20-%</t>
  </si>
  <si>
    <t>- Akses jembatan belum bebas sepanjang 1,1 Km (Perkebunan Kelapa Bengawan Gede / Lot 6A)
- Tidak dapat melakukan mobilisasi alat berat dan material konstruksi jembatan</t>
  </si>
  <si>
    <t>1de8de97-37c1-4954-bba8-9827c9feb16b</t>
  </si>
  <si>
    <t>https://drive.google.com/drive/folders/1Lpm3C5920E4SnMigbOsln1rN81o5CGEc</t>
  </si>
  <si>
    <t>https://ptwaskita-my.sharepoint.com/:f:/r/personal/fahmi_waskita_co_id/Documents/BIM%20-%20INFRA%202/Project/WKINF2%20-%20D32C19006%20(Jakarta%20-%20Cikampek%20II%20Selatan%20Paket%203)/3.%20PUBLISHED/9.%20REALITY%20MODELING/202307%20-%20Juli%202023/SS%2</t>
  </si>
  <si>
    <t>SPMK belum terbit dari pihak owner</t>
  </si>
  <si>
    <t>be334a20-37eb-4937-b99d-cd87e48297a6</t>
  </si>
  <si>
    <t>fb701f95-7a3d-48ee-9f18-eceee9a15b95</t>
  </si>
  <si>
    <t>24/07/23</t>
  </si>
  <si>
    <t>Addendum pertambahan nilai Kontrak dan perpanjangan waktu pelaksanaan
Status saat ini : Sudah melakukan paparan sampai dan persetujuan tingkat Balai dan juga sudah paparan sampai tingkat PU pusat tanggal 24 Mei 2023</t>
  </si>
  <si>
    <t>35a1b58a-75cc-4a5b-893f-c8a194ef2832</t>
  </si>
  <si>
    <t>https://drive.google.com/file/d/1a-Wy3rDc7nNrP5eRRbIgWjU7x5ksYN-u/view?usp=drive_link</t>
  </si>
  <si>
    <t>https://drive.google.com/drive/folders/17W9p_P3ZmlqyU1LudKn-wkIrKT8PjO6g?usp=drive_link</t>
  </si>
  <si>
    <t>https://drive.google.com/file/d/1lBDXxHJ5-6YXlOJQt-5DMWvO18AA5yXh/view?usp=drive_link</t>
  </si>
  <si>
    <t>https://drive.google.com/file/d/1Cy-Juyx8yac_Mbw3pbsFo4rzrx43XRnb/view?usp=drive_link</t>
  </si>
  <si>
    <t>34e6390e-1e82-4128-8d46-d322d132f7bf</t>
  </si>
  <si>
    <t>https://1drv.ms/v/s!Am0LOuNWadS8gW39JvxzjgVSQsWV?e=sPjhT3</t>
  </si>
  <si>
    <t>https://1drv.ms/i/s!Am0LOuNWadS8gW5tx9oAyOOPTQT5?e=ZFpiIL</t>
  </si>
  <si>
    <t>https://1drv.ms/u/s!Am0LOuNWadS8gW_oHYpPMo3IXdwM?e=xgU8ZR</t>
  </si>
  <si>
    <t>8931d05b-13b3-4026-bef1-b519578eaae0</t>
  </si>
  <si>
    <t>2479f6de-af17-4a70-95a1-5d6f7a4d39a7</t>
  </si>
  <si>
    <t>Supply dan Stock Material untuk Pekerjaan LPB, LPA, dan Aspal
Mutu MateriaL/ Pekerjaan Aspal  harus terus diperhatikan.</t>
  </si>
  <si>
    <t>1fad99e5-3685-40b5-81e6-6120886f14cc</t>
  </si>
  <si>
    <t>Alat Sering Rusak
Terjadi deviasi terhadap rencana akibat adanya pergeseran alat pada pekerjaan galian yang digunakan untuk penyiapan badan jalan</t>
  </si>
  <si>
    <t>acc86a49-7540-4197-9d77-f085f9af7526</t>
  </si>
  <si>
    <t>Pengadaan Material dan personil (tenaga kerja) tambahan Untuk Pekerjaan Struktur Box Culvert</t>
  </si>
  <si>
    <t>8e015e6d-8230-4493-bddb-b546ceafdd41</t>
  </si>
  <si>
    <t>882fdffd-84a1-4b7e-a2f9-f58bab64acee</t>
  </si>
  <si>
    <t>https://drive.google.com/file/d/1exdrK13Utugkx1UD3qOcZdsCO0YAO8Ve/view?usp=sharing
https://drive.google.com/file/d/1yj6iUEK-5S8XZQW9a1qCJF9GXJDQeIy8/view?usp=sharing
https://drive.google.com/file/d/1DBipdf3Ni70xATkQsoOogMXtAFGS1jN7/view?usp=sharing</t>
  </si>
  <si>
    <t>f7e66c7f-17c3-43a4-88a2-8fbd169c761a</t>
  </si>
  <si>
    <t>29/07/23</t>
  </si>
  <si>
    <t>1c908916-22b8-43a8-a285-cd9b5b219adb</t>
  </si>
  <si>
    <t>https://ptwaskita-my.sharepoint.com/:v:/g/personal/banyu_purwita_waskita_co_id/EQx00aVKmnpFrXhf_GREpDQBawMqPbv6aktkT6FdlcKu5g?e=XkUEZL</t>
  </si>
  <si>
    <t>https://ptwaskita-my.sharepoint.com/:f:/g/personal/banyu_purwita_waskita_co_id/EjJdp0RXzsRPozSHJCahHhIBQWYwZa3JA9bV2eEi_vQowg?e=azX0GJ</t>
  </si>
  <si>
    <t>https://ptwaskita-my.sharepoint.com/:f:/g/personal/banyu_purwita_waskita_co_id/Et9yNZ3JBLpEu6g1Di14SbsB69n_BumaSYF3Ixq0Z1RmaA?e=FhlTSO</t>
  </si>
  <si>
    <t>553817bb-c48f-43b1-b45a-2367975fcf07</t>
  </si>
  <si>
    <t>2053bbeb-912e-4832-8510-045c9298802f</t>
  </si>
  <si>
    <t>f3f81da9-26a6-4151-aaba-7b4248668643</t>
  </si>
  <si>
    <t>https://ptwaskita-my.sharepoint.com/:v:/g/personal/andri_j_waskita_co_id/Ea--zwLPr-xPjaCtQGZ3edcB82wcP1FgF2vE1Af_vZHfjQ?e=IPbeLY</t>
  </si>
  <si>
    <t>https://ptwaskita-my.sharepoint.com/:f:/g/personal/fahmi_waskita_co_id/EqAmOJE7ObBInrKbb0GZHb8BhLcwNOu4SvP-wMfWNya_3g?e=xvsLGa</t>
  </si>
  <si>
    <t>- Pekerjaan aspal terhenti à Vendor menunggu pembayaran
- Pengadaan vendor lain by SCM (Proses mulai Nov’22) à Penetapan pemenang M-1 Maret’23  :
1. Roadmixindo Tidak mau tanda tangan kontrak karena outstanding pembayaran di proyek lain
2. Kadi</t>
  </si>
  <si>
    <t>2fec21a9-8e0a-4a43-8325-a46c7489375f</t>
  </si>
  <si>
    <t>Status : Finish Tender.
Estimasi Material On Site di M-1 Desember 2022.</t>
  </si>
  <si>
    <t>bd0e2ca3-c18b-4e84-80af-52e645a12a49</t>
  </si>
  <si>
    <t>Kondisi cuaca hujan mempengaruhi  produktivitas pekerjaan galian, timbunan dan aggregate A di area frontage.</t>
  </si>
  <si>
    <t>9e323251-809e-4e71-a0f9-d8466437f3d4</t>
  </si>
  <si>
    <t>d24acb65-f2e6-487c-9b54-115114517e84</t>
  </si>
  <si>
    <t>38a03e9a-a6f3-405e-91f5-787b57286252</t>
  </si>
  <si>
    <t>549f8cef-ce41-4522-a737-5182814308e2</t>
  </si>
  <si>
    <t>Target terkirim material timbunan dari PT. WKI belu sesuai volume kontrak</t>
  </si>
  <si>
    <t>cc0388e2-67f9-4845-b0dc-1f995d91325f</t>
  </si>
  <si>
    <t>1f0ea2d7-4466-48a2-952f-fa0fb4bff2c5</t>
  </si>
  <si>
    <t>https://drive.google.com/file/d/1A79Ph_dxDIdaM-iDXz_xLJN7BdVj8hTf/view?usp=sharing</t>
  </si>
  <si>
    <t>https://drive.google.com/drive/folders/1i1BbY-q5KUw4RS2M4Ti9wJnxnZeI1JPE?usp=sharing</t>
  </si>
  <si>
    <t>https://drive.google.com/drive/folders/15ILR9iUjW6DHLjyOVMWiLpqgeEN9qMRC?usp=sharing</t>
  </si>
  <si>
    <t>https://drive.google.com/drive/folders/15EbQ_I9yIq8rIhbRJeSgwaXdbBgheXZm?usp=sharing</t>
  </si>
  <si>
    <t>Penyelesaian Pekerjaan lokasi gerbang tol Caringin Utama target akhir Oktober 2023</t>
  </si>
  <si>
    <t>17848f10-555f-45a4-826f-f8f67bbc07e8</t>
  </si>
  <si>
    <t>https://ptwaskita-my.sharepoint.com/:v:/r/personal/fahmi_waskita_co_id/Documents/BIM%20-%20INFRA%202/Project/WKINF2%20-%20Lingkar%20Sepaku%204/2.%20SHARED/06.%20Reality%20Modeling/31.%2018%20Agustus%202023/Video/VIDEO%2020%20AGUSTUS%202023.mp4?csf=1&amp;web=</t>
  </si>
  <si>
    <t>https://ptwaskita-my.sharepoint.com/:f:/r/personal/fahmi_waskita_co_id/Documents/BIM%20-%20INFRA%202/Project/WKINF2%20-%20Lingkar%20Sepaku%204/2.%20SHARED/06.%20Reality%20Modeling/31.%2018%20Agustus%202023/Foto?csf=1&amp;web=1&amp;e=VpyDgI</t>
  </si>
  <si>
    <t>https://ptwaskita-my.sharepoint.com/:i:/r/personal/fahmi_waskita_co_id/Documents/BIM%20-%20INFRA%202/Project/WKINF2%20-%20Lingkar%20Sepaku%204/2.%20SHARED/06.%20Reality%20Modeling/31.%2018%20Agustus%202023/Ortho/Ortho%2020-08-2023.tif?csf=1&amp;web=1&amp;e=6N3qn</t>
  </si>
  <si>
    <t>https://ptwaskita-my.sharepoint.com/:u:/r/personal/fahmi_waskita_co_id/Documents/BIM%20-%20INFRA%202/Project/WKINF2%20-%20Lingkar%20Sepaku%204/2.%20SHARED/06.%20Reality%20Modeling/31.%2018%20Agustus%202023/SLPK/LS422_BM_WK-GTR_VIS_3D%20Progres_S2,3_AAN_S</t>
  </si>
  <si>
    <t>21039c64-00d0-42b4-b5b7-03c5bc23c8d5</t>
  </si>
  <si>
    <t>22/08/23</t>
  </si>
  <si>
    <t>Terjadi Longsoran di Area HPK</t>
  </si>
  <si>
    <t>7e86ff91-7957-4544-9afe-2cd1a4500da7</t>
  </si>
  <si>
    <t>489a595f-07eb-4fce-aa3d-90eb4a271e05</t>
  </si>
  <si>
    <t>5efa2684-ac38-49d4-a694-9356d9705d98</t>
  </si>
  <si>
    <t>Supply dan Stock Material untuk Pekerjaan Aspal
Mutu Material/ Pekerjaan Aspal  harus terus diperhatikan.
Pengaspalan Segmen 2  rencana akan menggunakan dari AMP KM.167 yang lebih dekat.</t>
  </si>
  <si>
    <t>7e889edb-eb21-4c41-9da6-a822995f5bf3</t>
  </si>
  <si>
    <t>https://drive.google.com/file/d/10I60uhJIR1ntNX-kWxRSgvYaXHuuzP8t/view?usp=sharing</t>
  </si>
  <si>
    <t>Ketersediaan PCI Girder untuk pekerjaan erection NonPMN masih belum mencukupi karena terkendala material girder dan strand yang belum didatangkan.</t>
  </si>
  <si>
    <t>46d50d54-ca43-4bca-b6dd-097decf1a3a6</t>
  </si>
  <si>
    <t>28/08/23</t>
  </si>
  <si>
    <t>741e4594-b857-4451-8d50-38f0af1902c6</t>
  </si>
  <si>
    <t>025ec5ba-8a2f-400b-850a-3c375c81cf07</t>
  </si>
  <si>
    <t>https://drive.google.com/file/d/1WF4ucKOG6Vsb4ibVCeAbKu9sJHx0psVa/view?usp=sharing</t>
  </si>
  <si>
    <t>https://drive.google.com/file/d/1GsXOSwk3FsVdEWkPCo3dDO1j91CcRUte/view?usp=sharing
https://drive.google.com/file/d/1AoFmp5fEvHKjKVeFW_A8FaPcj7VPIse9/view?usp=sharing
https://drive.google.com/file/d/1cGHXPaUFiEtoY4pSS5kwh1TMYQrc4Zgy/view?usp=sharing</t>
  </si>
  <si>
    <t>Addendum pertambahan nilai Kontrak dan perpanjangan waktu pelaksanaan
 Status saat ini : Sudah melakukan paparan sampai dan persetujuan tingkat Balai dan juga sudah paparan sampai tingkat PU pusat tanggal 24 Mei 2023 (paparan teknis)  &amp; tanggal 22 Juni 2</t>
  </si>
  <si>
    <t>e6b63c6f-9e39-4d66-8bc9-2c5f9eacae1f</t>
  </si>
  <si>
    <t>23/08/23</t>
  </si>
  <si>
    <t>56d7d492-44f6-4cdf-9db1-fa45ab7f80ba</t>
  </si>
  <si>
    <t>https://ptwaskita-my.sharepoint.com/:v:/g/personal/banyu_purwita_waskita_co_id/EfgzOuBdZtJMtZ5DXGERxIIB2CRNdpREVjWLqvTFPFHCQg?nav=eyJyZWZlcnJhbEluZm8iOnsicmVmZXJyYWxBcHAiOiJPbmVEcml2ZUZvckJ1c2luZXNzIiwicmVmZXJyYWxBcHBQbGF0Zm9ybSI6IldlYiIsInJlZmVycmFsTW9k</t>
  </si>
  <si>
    <t>https://ptwaskita-my.sharepoint.com/:f:/g/personal/banyu_purwita_waskita_co_id/EqQC4Ryhb2FJnQH2gKc2jCoBfBk43syBOW0ekNcyFOqzrg?e=RVVydt</t>
  </si>
  <si>
    <t>https://ptwaskita-my.sharepoint.com/:f:/g/personal/banyu_purwita_waskita_co_id/EnvnhZnKqMNHmqo3hHFt3-gBrVfe5f13dvas_SHBQD9N_Q?e=dg1eth</t>
  </si>
  <si>
    <t>91a8409b-826a-40d6-b893-293b9b04d289</t>
  </si>
  <si>
    <t>978a412d-3062-4bcb-a172-8d1c825c51b7</t>
  </si>
  <si>
    <t>188f043f-b5c4-48e1-bf8d-79fd7a3c3c6e</t>
  </si>
  <si>
    <t>447329a4-c85b-4fc6-aefd-6c87b39481ca</t>
  </si>
  <si>
    <t>e9ddf824-2e8a-466e-8ab5-8e4f18e4a019</t>
  </si>
  <si>
    <t>https://drive.google.com/file/d/1FmyjUFwZG98BkCud0EGXwOhkwovb24Lb/view?usp=drive_link</t>
  </si>
  <si>
    <t>https://drive.google.com/drive/folders/12OL6eikuBw0VJNRWuzmA2bZVN2TecjGd?usp=drive_link</t>
  </si>
  <si>
    <t>Kebocoran air di Temporary Cooferdam untuk pekerjaan Pile cap P2, dikarenakan kedalaman SSP tidak bisa sesuai rencana karena terdapat batu di elevasi 6m ke bawah</t>
  </si>
  <si>
    <t>76ef1543-353c-4805-98a8-b24cbf18a17b</t>
  </si>
  <si>
    <t>29/08/23</t>
  </si>
  <si>
    <t>8c357547-5749-4af2-a101-dbdf40eebcc4</t>
  </si>
  <si>
    <t>https://drive.google.com/drive/folders/1bRXsUOeNPeA--Cve5D0L4_wbaUjSKSm6</t>
  </si>
  <si>
    <t>87898a4f-db47-4e16-aa67-04cfceb32709</t>
  </si>
  <si>
    <t>Penentuan Jalur Satwa yang melintas Tol IKN 5A, namun masih berupa usulan tambahan dari perencana (P2JN)</t>
  </si>
  <si>
    <t>3d39a2c2-6de4-4576-8e11-b3ad32f12a86</t>
  </si>
  <si>
    <t>Aldian WInata</t>
  </si>
  <si>
    <t>https://drive.google.com/file/d/1H9dXvDXYgMVudy0QC8VGqcaEka2d0OE5/view?usp=drive_link</t>
  </si>
  <si>
    <t>https://drive.google.com/file/d/14XrtXMNVK9CXs42H87Y9e1wfgSerGMdm/view?usp=drive_link</t>
  </si>
  <si>
    <t>e0a5b97d-24d7-4974-8150-2bfd2e08bfd9</t>
  </si>
  <si>
    <t>31/08/23</t>
  </si>
  <si>
    <t>9d04a1cd-3a0f-4831-9d3b-0318e8a95125</t>
  </si>
  <si>
    <t>https://ptwaskita-my.sharepoint.com/:v:/g/personal/andri_j_waskita_co_id/EaZHS9KA1MVBlV1pLSf1E_wBJmQJxw4rhiqo06u8NELcjA?nav=eyJyZWZlcnJhbEluZm8iOnsicmVmZXJyYWxBcHAiOiJPbmVEcml2ZUZvckJ1c2luZXNzIiwicmVmZXJyYWxBcHBQbGF0Zm9ybSI6IldlYiIsInJlZmVycmFsTW9kZSI6In</t>
  </si>
  <si>
    <t>https://ptwaskita-my.sharepoint.com/:f:/g/personal/andri_j_waskita_co_id/EmN40idjMJ1Gg1eNuqc9xJIBfqk4jCf5YUVLrbIRgYnY4Q?e=tHDpSt</t>
  </si>
  <si>
    <t>https://ptwaskita-my.sharepoint.com/:f:/g/personal/fahmi_waskita_co_id/Ei2xyzkL6zdDv719KVSgzHMBI-v84cJ4B3mNRRQxnvb1_g?e=N7UeNm</t>
  </si>
  <si>
    <t>4b6272d9-5e13-472e-a8eb-d4d2697f96d0</t>
  </si>
  <si>
    <t>https://ptwaskita-my.sharepoint.com/:f:/r/personal/fajar_sodiq_waskita_co_id/Documents/INFRASTRUCTURE%202%20DIVISION/P1417059%20-%20PASPRO%20SEKSI%204/2.SHARED/3.%20FOTOGRAMETRI/2023/02.%20Fotri%20Februari?csf=1&amp;web=1&amp;e=p0kXue</t>
  </si>
  <si>
    <t>21651255-7c70-4250-adb8-ea0f0452f1a9</t>
  </si>
  <si>
    <t>c62b1b83-9ffd-48af-b664-7490966d5439</t>
  </si>
  <si>
    <t>db176ba2-6e33-4736-9608-8e829e4d2beb</t>
  </si>
  <si>
    <t>8a1c5977-7b54-4c21-8517-26c13dc7ccf9</t>
  </si>
  <si>
    <t>https://ptwaskita-my.sharepoint.com/:f:/g/personal/banyu_purwita_waskita_co_id/EqTjUHNq3YxAussMGuMB4SsB7s2rrcflDpIuNCrZdQ2_FA?e=sbJ1di</t>
  </si>
  <si>
    <t>35d2ae4e-aede-466b-b059-8f2f66690152</t>
  </si>
  <si>
    <t>SPMK belum terbit</t>
  </si>
  <si>
    <t>26ffae76-18a2-4c15-b11c-696bc0db14ec</t>
  </si>
  <si>
    <t>https://ptwaskita-my.sharepoint.com/:v:/r/personal/fahmi_waskita_co_id/Documents/BIM%20-%20INFRA%202/Project/WKINF2%20-%20Lingkar%20Sepaku%204/2.%20SHARED/06.%20Reality%20Modeling/35.%2014%20September%202023/Video/VIDEO%2014%20SEPT%202023.mp4?csf=1&amp;web=1</t>
  </si>
  <si>
    <t>https://ptwaskita-my.sharepoint.com/:f:/r/personal/fahmi_waskita_co_id/Documents/BIM%20-%20INFRA%202/Project/WKINF2%20-%20Lingkar%20Sepaku%204/2.%20SHARED/06.%20Reality%20Modeling/35.%2014%20September%202023/Foto?csf=1&amp;web=1&amp;e=Dbhhhc</t>
  </si>
  <si>
    <t>https://ptwaskita-my.sharepoint.com/:i:/r/personal/fahmi_waskita_co_id/Documents/BIM%20-%20INFRA%202/Project/WKINF2%20-%20Lingkar%20Sepaku%204/2.%20SHARED/06.%20Reality%20Modeling/35.%2014%20September%202023/Ortho/Otrho%2015-09-2023.tif?csf=1&amp;web=1&amp;e=rF7</t>
  </si>
  <si>
    <t>https://ptwaskita-my.sharepoint.com/:u:/r/personal/fahmi_waskita_co_id/Documents/BIM%20-%20INFRA%202/Project/WKINF2%20-%20Lingkar%20Sepaku%204/2.%20SHARED/06.%20Reality%20Modeling/35.%2014%20September%202023/SLPK/LS422_BM_WK-GTR_VIS_3D%20Progres_S2,3_AAN</t>
  </si>
  <si>
    <t>8a390947-26b3-4163-9db9-f1c4b6de10d0</t>
  </si>
  <si>
    <t>Terdapat Aset IHM dalam
trase Sta 2+200 berupa
Rumah dan 2+025 berupa
Gudang</t>
  </si>
  <si>
    <t>8ed090cb-cca6-4e3b-850b-3f744dc277af</t>
  </si>
  <si>
    <t>https://ptwaskita-my.sharepoint.com/:v:/g/personal/banyu_purwita_waskita_co_id/EevX5k7yScFNhTq0pc3zSYcBlhFv_sh7Hmezly6At2iBdA?nav=eyJyZWZlcnJhbEluZm8iOnsicmVmZXJyYWxBcHAiOiJPbmVEcml2ZUZvckJ1c2luZXNzIiwicmVmZXJyYWxBcHBQbGF0Zm9ybSI6IldlYiIsInJlZmVycmFsTW9k</t>
  </si>
  <si>
    <t>https://ptwaskita-my.sharepoint.com/:f:/g/personal/banyu_purwita_waskita_co_id/EjJdp0RXzsRPozSHJCahHhIBQWYwZa3JA9bV2eEi_vQowg?e=6ERO1P</t>
  </si>
  <si>
    <t>https://ptwaskita-my.sharepoint.com/:f:/g/personal/banyu_purwita_waskita_co_id/EnS1xmDhM7RGlGn_tzx5FP0BCvU5kSKuqD7Og2RmX9bvQQ?e=3o0PlL</t>
  </si>
  <si>
    <t>c9f448bd-23ca-4f45-bd5a-6ff866f11f22</t>
  </si>
  <si>
    <t>1. Pekerjaan Saluran Cross Drain mengalami keterlambatan Akibat minimnya tenaga kerja.
2. Pekerjaan aspal hanya mesinyakan lokasi spot-spot Box dan Jembatan Ayeri
Pekerjaan Aspal Segmen 1 (Spot-Spot) masih dalam Proses Penyelesaian Box Culvert.
3. Peke</t>
  </si>
  <si>
    <t>c3a156a2-2547-4a39-8ff5-f9c7d2828d5a</t>
  </si>
  <si>
    <t>Terdapat Outstanding progress sebesar 2,27 %</t>
  </si>
  <si>
    <t>ec10c063-4fec-47c0-93de-2f2e2f822571</t>
  </si>
  <si>
    <t>9253235a-388d-49bf-993e-abe3703550e9</t>
  </si>
  <si>
    <t>1. Keterbatasan BBM Solar industri di zona kerja area binuang, dikarenakan akses menuju lokasi kerja yang tidak bisa di lewati secara mandiri oleh kendaraan roda karet yang membawa BBM, menyebabkan terlambatnya pemenuhan kebutuhan BBM di lokasi
kerja.
2</t>
  </si>
  <si>
    <t>c6d8c018-9e0a-4bf5-bf91-0c97b2dac53d</t>
  </si>
  <si>
    <t>Ketersediaan / Kesiapan Material LPB dan LPA masih belum mencukupi dari rencana</t>
  </si>
  <si>
    <t>7a40dcd8-890d-4030-af24-d7d14964d75e</t>
  </si>
  <si>
    <t>cff843c9-a8fa-46d8-8223-a1fb8e870698</t>
  </si>
  <si>
    <t>Pembangunan Direksi Keet Lambat oleh Mitra KSO</t>
  </si>
  <si>
    <t>31b9ce37-2283-4b72-967c-bdbd5268365f</t>
  </si>
  <si>
    <t>1e5b8d74-52ec-4c95-b511-bddb39548063</t>
  </si>
  <si>
    <t>Segmen 1
https://drive.google.com/file/d/1ZfzL4k9LIfvzkb7chmkqtACG17gbW3J1/view?usp=share_link
Segmen 2
https://drive.google.com/file/d/12hU-8VgDrA4wQe8lbukGfojGVqfqosIZ/view?usp=share_link</t>
  </si>
  <si>
    <t>https://drive.google.com/file/d/1EWNpfn4gctTl6bvUdieWv11TPG5mMuoT/view?usp=share_link
https://drive.google.com/file/d/1bSxnfXbOYMV0kuyjRQHFWas7CY5sW8TT/view?usp=share_link</t>
  </si>
  <si>
    <t>Segmen 1
https://drive.google.com/file/d/1gKlm5wP_OpdwkQ6bkA2A0iSvAkl8Vord/view?usp=share_link
Segmen 2
https://drive.google.com/file/d/16D3qhD_EdO1hGStPNqrHgajTug6Z3T5h/view?usp=share_link</t>
  </si>
  <si>
    <t>1db6380f-54bd-4389-8382-f49ecc909741</t>
  </si>
  <si>
    <t>c81c8c86-42a0-4b23-92f6-b4a24cb7d9a8</t>
  </si>
  <si>
    <t>https://ptwaskita-my.sharepoint.com/:f:/g/personal/banyu_purwita_waskita_co_id/EqQC4Ryhb2FJnQH2gKc2jCoBfBk43syBOW0ekNcyFOqzrg?e=BG5oLy</t>
  </si>
  <si>
    <t>32d56b22-da3e-450c-9e9f-a0562db486d8</t>
  </si>
  <si>
    <t>3a716d1d-7717-411e-b79a-ff8942e347bd</t>
  </si>
  <si>
    <t>Rahmadika</t>
  </si>
  <si>
    <t>71186640-f5d6-497b-bec1-a87ac3069bb6</t>
  </si>
  <si>
    <t>857c2f66-0554-45c1-af97-0e30a5bc4b9e</t>
  </si>
  <si>
    <t>Lokasi disposal tanah sebesar 4.000.000 m3 masih belum final, masih juga berjalan proses perizinan dari dinas lingkungan hidup mengenai beberapa titik area disposal</t>
  </si>
  <si>
    <t>926de2e1-25bb-47f3-9727-171956ab9d58</t>
  </si>
  <si>
    <t>26/10/23</t>
  </si>
  <si>
    <t>61e5855b-2836-484c-ada4-f44095fb148c</t>
  </si>
  <si>
    <t>https://ptwaskita-my.sharepoint.com/:v:/r/personal/fahmi_waskita_co_id/Documents/BIM%20-%20INFRA%202/Project/WKINF2%20-%20Lingkar%20Sepaku%204/2.%20SHARED/06.%20Reality%20Modeling/40.%2020%20Oktober%202023/Video/VIDEO%2020%20OKT%202023.mp4?csf=1&amp;web=1&amp;e=</t>
  </si>
  <si>
    <t>https://ptwaskita-my.sharepoint.com/:f:/r/personal/fahmi_waskita_co_id/Documents/BIM%20-%20INFRA%202/Project/WKINF2%20-%20Lingkar%20Sepaku%204/2.%20SHARED/06.%20Reality%20Modeling/40.%2020%20Oktober%202023/Foto?csf=1&amp;web=1&amp;e=XiBoiN</t>
  </si>
  <si>
    <t>https://ptwaskita-my.sharepoint.com/:i:/r/personal/fahmi_waskita_co_id/Documents/BIM%20-%20INFRA%202/Project/WKINF2%20-%20Lingkar%20Sepaku%204/2.%20SHARED/06.%20Reality%20Modeling/39.%2014%20Oktober%202023/Ortho/LS422_BM_WK-GTR_ORT_S2,3_NUG_GM_Minggu53.t</t>
  </si>
  <si>
    <t>https://ptwaskita-my.sharepoint.com/:u:/r/personal/fahmi_waskita_co_id/Documents/BIM%20-%20INFRA%202/Project/WKINF2%20-%20Lingkar%20Sepaku%204/2.%20SHARED/06.%20Reality%20Modeling/39.%2014%20Oktober%202023/SLPK/LS422_BM_WK-GTR_VIS_3D%20Progres_S2,3_AAN_S</t>
  </si>
  <si>
    <t>ISU - Aspek Operasional
Jetty Proyek
Belum ada titik temu mengenai penggunaan bidang tanah untuk area Jetty dan Direksi Keet dengan PT FHL.
Pihak PT FHL meminta nilai sewa 200 juta per Ha per tahun, dengan total kebutuhan lahan 7,7 Ha estimasi biaya yang</t>
  </si>
  <si>
    <t>dc335e68-17f8-45ed-b0a5-d5a325439140</t>
  </si>
  <si>
    <t>cadae187-c2d2-473f-a96f-6c0d2fe6d06e</t>
  </si>
  <si>
    <t>https://ptwaskita-my.sharepoint.com/personal/kretek_girijati_waskita_co_id/_layouts/15/onedrive.aspx?id=%2Fpersonal%2Fkretek%5Fgirijati%5Fwaskita%5Fco%5Fid%2FDocuments%2F1%2E%20TEKNIK%2F9%2E%20DOKUMENTASI%2F1%2E%20DRONE%2FOKTOBER%2F24%2D10%2D2023&amp;ga=1</t>
  </si>
  <si>
    <t>https://ptwaskita-my.sharepoint.com/personal/kretek_girijati_waskita_co_id/_layouts/15/onedrive.aspx?ga=1&amp;id=%2Fpersonal%2Fkretek%5Fgirijati%5Fwaskita%5Fco%5Fid%2FDocuments%2F1%2E%20TEKNIK%2F9%2E%20DOKUMENTASI%2F1%2E%20DRONE%2FOKTOBER%2F24%2D10%2D2023%2F</t>
  </si>
  <si>
    <t>ef2cf08d-5004-4d61-a779-b785bbaf9cbb</t>
  </si>
  <si>
    <t>80b8fd3b-fb36-4b90-b1b1-67ae2be52655</t>
  </si>
  <si>
    <t>https://ptwaskita-my.sharepoint.com/:v:/r/personal/andri_j_waskita_co_id/Documents/1.%20TOL%20IKN%205A/17.%20BIM%20backup/0.%20Uploadan%20tiap%20Minggu/M-58/M-58.%20Dokumentasi%20Drone%2021%20Oktober%202023.mp4?csf=1&amp;web=1&amp;e=ADQ3ky</t>
  </si>
  <si>
    <t>https://ptwaskita-my.sharepoint.com/:i:/r/personal/fahmi_waskita_co_id/Documents/BIM%20-%20INFRA%202/Project/WKINF2%20-%20Tol%20IKN%20Sp.%20Tempadung%20Jembatan%20P.%20Balang/2.%20SHARED/02.%20Survey%20Photogrammetry+Lidar/20231016%20-%20Full%20Trase/Exp</t>
  </si>
  <si>
    <t>203698db-9b0b-47cf-a243-2df7e448b5a3</t>
  </si>
  <si>
    <t>efae37aa-6457-493c-b329-c7be51bcf0f4</t>
  </si>
  <si>
    <t>https://drive.google.com/file/d/1MTDzcgnJV5zOuFuGAsKKD3yGANMuovWF/view?usp=sharing</t>
  </si>
  <si>
    <t>https://ptwaskita-my.sharepoint.com/:f:/g/personal/basuki_rahmat_waskita_co_id/ErzZ5nn15klMvJQxquc1ngAB5iTFRoyl1U8AvQ4TjTn3aQ?e=YsnNhA</t>
  </si>
  <si>
    <t>https://ptwaskita-my.sharepoint.com/:f:/g/personal/basuki_rahmat_waskita_co_id/ErSWhwq5YnpIiXEm4Kp40JUBD82jydZX0D0rF2rONN5mUw?e=QRYD0C</t>
  </si>
  <si>
    <t>5d2f6910-690d-46ab-ad23-8b294dbf1f0c</t>
  </si>
  <si>
    <t>cbae116d-e924-4311-87d9-c456d49d3002</t>
  </si>
  <si>
    <t>5cb5e391-4d29-4af1-bf90-ec436b43e713</t>
  </si>
  <si>
    <t>Pekerjaan aspal hanya mesinyakan lokasi spot-spot Box dan Jembatan Ayeri :
Spot Box Segmen 1&amp;3 : 3 Lokasi Siap, 5 tunggu umur
Spot Box Segmen 2     : 9 Lokasi
Spot Box Jembatan      : 3 Lokasi</t>
  </si>
  <si>
    <t>f543f99b-6e11-4660-9f53-e280c2e68bc3</t>
  </si>
  <si>
    <t>Anzalar rahman</t>
  </si>
  <si>
    <t>1b442642-47a4-4153-90e3-912cc7ef95ca</t>
  </si>
  <si>
    <t>33de6804-54c6-4b4c-b552-5bb6a1480bc0</t>
  </si>
  <si>
    <t>https://drive.google.com/file/d/1YgaludEGSjBIaWs6NZq5nhY-iZX8LWjF/view?usp=sharing</t>
  </si>
  <si>
    <t>https://drive.google.com/drive/folders/1AVkGKEb1JSTSONCRWuDWyZtdfXJjsTRV?usp=drive_link</t>
  </si>
  <si>
    <t>https://ptwaskita-my.sharepoint.com/personal/fahmi_waskita_co_id/_layouts/15/onedrive.aspx?id=%2Fpersonal%2Ffahmi%5Fwaskita%5Fco%5Fid%2FDocuments%2FBIM%20%2D%20INFRA%202&amp;ct=1698628206629&amp;or=OWA%2DNT&amp;cid=429e3ac8%2Dbd2e%2D1b4d%2D126b%2Df4571277920a&amp;ga=1</t>
  </si>
  <si>
    <t>14b1f6bb-e519-4e1e-b925-a3347bb8ddcb</t>
  </si>
  <si>
    <t>30/10/23</t>
  </si>
  <si>
    <t>Pekerjaan Timbunan tanah belum maksimal dikarenakan kondisi Cuaca dengan terbatasnya quarry dan vendor</t>
  </si>
  <si>
    <t>8f1e622b-f092-4cf9-ae87-84fc0d7325bf</t>
  </si>
  <si>
    <t>31b0d721-4633-46ee-89bd-34de33e61d7c</t>
  </si>
  <si>
    <t>https://drive.google.com/file/d/13SErsGqG9VSPFV0Py66kE4xPGDvuGOTx/view?usp=sharing</t>
  </si>
  <si>
    <t>1d4057da-c805-4370-96a8-08f218a9c656</t>
  </si>
  <si>
    <t>https://drive.google.com/file/d/1HH7w9kNZTJrTPtRpGoqnJD4ZKpq73Bg1/view?usp=drive_link</t>
  </si>
  <si>
    <t>https://drive.google.com/drive/folders/11xSAyuamwEGV13PDiYkWl4DOU6hP5AxV?usp=drive_link</t>
  </si>
  <si>
    <t>https://drive.google.com/file/d/12a6gf7FhL3hj7zN95DRANMgJTCy0pijy/view?usp=drive_link</t>
  </si>
  <si>
    <t>https://drive.google.com/file/d/1Tbg2GOzCIOC_Dr7pimQvzHnKZaKX_Giv/view?usp=drive_link</t>
  </si>
  <si>
    <t>a9e72cb4-994c-4050-9c21-71410c3b18c2</t>
  </si>
  <si>
    <t>Waskita masih dalam proses restrukturisasi keuangan dengan Kreditur Perbankan dan Pemegang Obligasi dimana sebagian besar kas Waskita dikelola oleh Perbankan sejak 16 Juni 2023 Waskita tidak dapat menggunakan dana dalam rekening escrow untuk membayar ven</t>
  </si>
  <si>
    <t>e4d6c1b3-4b8e-4819-80c4-d1cce4084444</t>
  </si>
  <si>
    <t>Masih bleum fix design akses jalan masuk dikarenakan belum fix nya design untuk perlindungan pipa gas yang dilewati</t>
  </si>
  <si>
    <t>508c6b6c-767f-4679-befb-ac5e4ffc8c99</t>
  </si>
  <si>
    <t>52b83c90-015e-4472-af94-f0c1334f2685</t>
  </si>
  <si>
    <t>Addendum-4 Kontrak (Penambahan Nilai)</t>
  </si>
  <si>
    <t>27dc505e-d2ad-4389-965a-ce43e4204ace</t>
  </si>
  <si>
    <t>96b90c81-bffa-4cb2-850a-3bc52dcd8e98</t>
  </si>
  <si>
    <t>https://drive.google.com/drive/folders/1h-kPboVc4zg4xirtAeipm16uM_XMyiTh?usp=sharing</t>
  </si>
  <si>
    <t>https://drive.google.com/file/d/1LlYo7VnAsuYnrqz0XKOvjuI7AFPTULSy/view?usp=sharing
https://drive.google.com/file/d/19chABjr97HEhOSUL8QfYINGjDTOF7O39/view?usp=sharing
https://drive.google.com/file/d/15xOLbWDXZ6R90Od054KvcMNT5uZVuUOv/view?usp=sharing</t>
  </si>
  <si>
    <t>847213dc-585f-4a7b-965a-20773b1a4a13</t>
  </si>
  <si>
    <t>Target PU Porsi WSKT Sesui S-Curve s.d Desember 2023 = 171 M</t>
  </si>
  <si>
    <t>63bae9b4-4a64-40ac-9480-37e53eaa1e8f</t>
  </si>
  <si>
    <t>59bd0bf3-7440-426f-b4b5-e5140cb8b05a</t>
  </si>
  <si>
    <t>Permasalahan Lahan Area SS Setu Selatan terkait dengan proyek Japeksel (beberapa lahan rencana pekerjaan cctw masuk ke area Japeksel, sedang berkoordinasi untuk penggunaan lahan tsb)</t>
  </si>
  <si>
    <t>3dc19881-3c8c-4ee0-98a3-3c48621aef82</t>
  </si>
  <si>
    <t>fian aziz</t>
  </si>
  <si>
    <t>1f89e868-cf24-4fd7-ba8e-2e17bd213ecf</t>
  </si>
  <si>
    <t>c0dae968-b626-4b68-a8c3-14594dc5d016</t>
  </si>
  <si>
    <t>https://drive.google.com/file/d/1gKWuLhrr_DTruYrC1gzBhwjiqbK5oU_e/view?usp=drive_link</t>
  </si>
  <si>
    <t>051e5db6-b99b-4886-9fd9-e047097f0791</t>
  </si>
  <si>
    <t>Adanya lahan warga pada trase STA 1+650 - 2+000 dan 2+450 - 2+496 (Tepi trase)</t>
  </si>
  <si>
    <t>bd8f52ec-b8d0-46ac-b108-0f997f66940a</t>
  </si>
  <si>
    <t>Raymond Andhika Putra</t>
  </si>
  <si>
    <t>https://ptwaskita-my.sharepoint.com/:v:/g/personal/fahmi_waskita_co_id/ET-gA8qz39xBqnGxMOcvrsYBCpt91rliI0a6dXwi8M2I2Q?nav=eyJyZWZlcnJhbEluZm8iOnsicmVmZXJyYWxBcHAiOiJPbmVEcml2ZUZvckJ1c2luZXNzIiwicmVmZXJyYWxBcHBQbGF0Zm9ybSI6IldlYiIsInJlZmVycmFsTW9kZSI6InZp</t>
  </si>
  <si>
    <t>https://ptwaskita-my.sharepoint.com/:f:/r/personal/fahmi_waskita_co_id/Documents/BIM%20-%20INFRA%202/Project/WKINF2%20-%20%20Underpass%20Deltamas%20Sukabungah/1.%20WIP/GIS/21.%20Video%20Project/Foto%20Progres%2014%20Nov%202023?csf=1&amp;web=1&amp;e=79phpz</t>
  </si>
  <si>
    <t>ba871fa8-0969-40d9-bfd7-cf8530666216</t>
  </si>
  <si>
    <t>Muhammad Ragil Ridho</t>
  </si>
  <si>
    <t>https://drive.google.com/drive/folders/1j8Ns0krcouZeoBTXUrSUPfg0oicVdklW?usp=drive_link</t>
  </si>
  <si>
    <t>https://drive.google.com/drive/folders/1vd5ZlV5H8kboEH1Z-2FA9MlpSca2nsyA?usp=drive_link</t>
  </si>
  <si>
    <t>https://ptwaskita-my.sharepoint.com/:i:/g/personal/andiran_dwi_waskita_co_id/EZRyAZ-qRlVHhYiB3wMzRGcBCIIBwuDHt7UTrIQNcquNDw?e=jjdqkb</t>
  </si>
  <si>
    <t>8484dd55-857b-482e-bf60-ecb294673191</t>
  </si>
  <si>
    <t>e053068b-33df-4f21-819a-022a023ff3b3</t>
  </si>
  <si>
    <t>295b4bce-b410-40a1-95b5-2d65e4ee9008</t>
  </si>
  <si>
    <t>https://ptwaskita-my.sharepoint.com/:f:/r/personal/fahmi_waskita_co_id/Documents/BIM%20-%20INFRA%202/Project/WKINF2%20-%20Lingkar%20Sepaku%204/2.%20SHARED/06.%20Reality%20Modeling/44.%2026%20November%202023/Video?csf=1&amp;web=1&amp;e=p8zrRE</t>
  </si>
  <si>
    <t>https://ptwaskita-my.sharepoint.com/:f:/r/personal/fahmi_waskita_co_id/Documents/BIM%20-%20INFRA%202/Project/WKINF2%20-%20Lingkar%20Sepaku%204/2.%20SHARED/06.%20Reality%20Modeling/44.%2026%20November%202023/Foto?csf=1&amp;web=1&amp;e=NIeZH2</t>
  </si>
  <si>
    <t>https://ptwaskita-my.sharepoint.com/:f:/r/personal/fahmi_waskita_co_id/Documents/BIM%20-%20INFRA%202/Project/WKINF2%20-%20Lingkar%20Sepaku%204/2.%20SHARED/06.%20Reality%20Modeling/44.%2026%20November%202023/Ortho?csf=1&amp;web=1&amp;e=BLLhaW</t>
  </si>
  <si>
    <t>https://ptwaskita-my.sharepoint.com/:f:/r/personal/fahmi_waskita_co_id/Documents/BIM%20-%20INFRA%202/Project/WKINF2%20-%20Lingkar%20Sepaku%204/2.%20SHARED/06.%20Reality%20Modeling/44.%2026%20November%202023/SLPK?csf=1&amp;web=1&amp;e=5C8K10</t>
  </si>
  <si>
    <t>fe1d635a-8647-4a9c-aef6-b6bc2529e453</t>
  </si>
  <si>
    <t>4f3aec68-a308-47e1-bb7b-1aaf7c86f66f</t>
  </si>
  <si>
    <t>https://os5.mycloud.com/action/share/01f2b8ac-4c31-462c-a298-fef59e36c46a</t>
  </si>
  <si>
    <t>https://os5.mycloud.com/action/share/54e42dbf-e43e-4218-88e3-679c627af6ea</t>
  </si>
  <si>
    <t>f8557c34-25d9-41b6-b7db-6f773b3e6278</t>
  </si>
  <si>
    <t>https://youtu.be/vUaqetCQTaM</t>
  </si>
  <si>
    <t>Lahan Akses belum ada yang bebas.</t>
  </si>
  <si>
    <t>a02ecea1-20ed-4d67-9c51-6f0f5e527ede</t>
  </si>
  <si>
    <t>81394cfd-9438-4589-92c4-c64ecf7e4c2c</t>
  </si>
  <si>
    <t>https://drive.google.com/file/d/1efdh9Obb8beXrnKIKJFNkGrR6Xy0ce6v/view?usp=sharing</t>
  </si>
  <si>
    <t>https://drive.google.com/file/d/10G3l59SOLB-qd61-9fBjkZHPN4Xv3YWn/view?usp=sharing</t>
  </si>
  <si>
    <t>belum fix nya design jembatan yang melewati pipa Pertagas.</t>
  </si>
  <si>
    <t>0d6e0a66-8b6f-4f87-bd02-33c5c225057d</t>
  </si>
  <si>
    <t>bb078ef1-2021-4ff1-a32e-2d435657ce5d</t>
  </si>
  <si>
    <t>ae41f6dc-827c-4568-b097-e74fb36d8515</t>
  </si>
  <si>
    <t>Approval JMF aspalt harus melalui persetujuan Balai Bahan di PUSJATAN. Rencana pekerjaan aspalt dilakukan pada Desember 2023, sedangkan dari Balai Bahan paket Tol IKN 5A mendapat antrian pada Januari 2024</t>
  </si>
  <si>
    <t>7789f4b4-f8a8-4daf-ac9b-dc94877fd2f0</t>
  </si>
  <si>
    <t>b58471c1-d62f-463a-b2cf-231a1c00ebc7</t>
  </si>
  <si>
    <t>9017cabe-44f1-4b83-a34c-0cce47237da0</t>
  </si>
  <si>
    <t>28/11/23</t>
  </si>
  <si>
    <t>9c44d576-6f68-4e97-92e4-75887e136151</t>
  </si>
  <si>
    <t>https://ptwaskita-my.sharepoint.com/:v:/g/personal/andri_j_waskita_co_id/EQP1IF8Sk51KrUZqf-cL7FMBCtBcV8U2TrBot6G9ecY9NA?nav=eyJyZWZlcnJhbEluZm8iOnsicmVmZXJyYWxBcHAiOiJPbmVEcml2ZUZvckJ1c2luZXNzIiwicmVmZXJyYWxBcHBQbGF0Zm9ybSI6IldlYiIsInJlZmVycmFsTW9kZSI6In</t>
  </si>
  <si>
    <t>https://ptwaskita-my.sharepoint.com/:f:/g/personal/andri_j_waskita_co_id/EoRY63ieUmlKlEXDOCKhpnIBgDIp_iov0pSRBWGh4zOyUw?e=TeposF</t>
  </si>
  <si>
    <t>https://ptwaskita-my.sharepoint.com/:f:/g/personal/fahmi_waskita_co_id/EiIsseiwk69Ao5tCiKJnaycBJrFarNaO6nuwyJ--wPLa6g?e=7h24Wt</t>
  </si>
  <si>
    <t>ee8edc23-543b-4251-ab53-1c1c9e6c0779</t>
  </si>
  <si>
    <t>Terdapat klaim warga terhadap lahan yang berada pada ROW jalan , sehingga menghambat pelaksanaan pekerjaan proyek</t>
  </si>
  <si>
    <t>6417fc50-d1f6-4eb3-8440-f817e40000b3</t>
  </si>
  <si>
    <t>20/11/23</t>
  </si>
  <si>
    <t>92a0e701-d2f2-4602-a364-045aa6d9d66b</t>
  </si>
  <si>
    <t>https://ptwaskita-my.sharepoint.com/personal/kretek_girijati_waskita_co_id/_layouts/15/onedrive.aspx?id=%2Fpersonal%2Fkretek%5Fgirijati%5Fwaskita%5Fco%5Fid%2FDocuments%2F1%2E%20TEKNIK%2F00%2E%20DOKUMENTASI%2F1%2E%20DRONE%2FNOVEMBER%2F28%2D11%2D2023&amp;ga=1</t>
  </si>
  <si>
    <t>5f0f6966-bce2-48f5-80df-e7f5cb3b7695</t>
  </si>
  <si>
    <t>aldian.winata@waskita.co.id</t>
  </si>
  <si>
    <t>34806c87-3024-4f42-8c4b-e7b571132aad</t>
  </si>
  <si>
    <t>d20e594b-6ecf-4844-9363-a2718df55368</t>
  </si>
  <si>
    <t>https://ptwaskita-my.sharepoint.com/:f:/g/personal/banyu_purwita_waskita_co_id/EsbLUkXVE2BPtshtfKmA2vIBLrEfDC0lUYumcUwJ3TKOkQ?e=S8iB2J</t>
  </si>
  <si>
    <t>https://ptwaskita-my.sharepoint.com/:f:/g/personal/banyu_purwita_waskita_co_id/EguftE7oQTlMt94XAXSmLH0Bl5YvZkCVP2K5JHCp_mW4Gg?e=RxcNAj</t>
  </si>
  <si>
    <t>https://ptwaskita-my.sharepoint.com/:f:/g/personal/banyu_purwita_waskita_co_id/EnFxU3Pg2yBGsVfx2K5SzMABOp6up8OroROw81vfcKc5WQ?e=r3c38f</t>
  </si>
  <si>
    <t>68d0ef58-4149-404b-96c7-8599c7ea1374</t>
  </si>
  <si>
    <t>Kondisi cuaca hujan mempengaruhi  produktivitas pekerjaan di area frontage (galian, timbunan, aggregate A  dan pengecoran)</t>
  </si>
  <si>
    <t>ab6f66bd-e1a6-4141-b021-7d957f99791a</t>
  </si>
  <si>
    <t>9c86741f-b41a-4245-bcd7-8f13c3d4cee9</t>
  </si>
  <si>
    <t>anonymous</t>
  </si>
  <si>
    <t>Jalan Tol Bocimi Seksi 3A</t>
  </si>
  <si>
    <t>https://drive.google.com/file/d/1tKSpcQvu-YFTviZjPniOKLrU9YGByqQs/view?usp=drive_link</t>
  </si>
  <si>
    <t>https://drive.google.com/drive/folders/1QoHxAnsCqFwCpQDqut1AoYLBKJRteidX?usp=drive_link</t>
  </si>
  <si>
    <t>https://ptwaskita-my.sharepoint.com/personal/fahmi_waskita_co_id/_layouts/15/onedrive.aspx?ct=1706101274157&amp;or=OWA-NT&amp;cid=61d1b117-1cd6-ba07-aa19-68f0b992f48a&amp;ga=1&amp;id=%2Fpersonal%2Ffahmi_waskita_co_id%2FDocuments%2FBIM%20-%20INFRA%202%2FProject%2FWKINF2%20-%20B20020%20%28Jalan%20Tol%20Bocimi%20Seksi%203%29%2F1%2E%20WIP%2FDIGITAL%20SURVEY%2F20231220%20-%20Lidar%20-%20MC0%2F02%20Product</t>
  </si>
  <si>
    <t>Pemindahan lokasi makam di STA 0+850</t>
  </si>
  <si>
    <t>ca15d253-58d4-497e-bbb8-082c613b046d</t>
  </si>
  <si>
    <t>https://ptwaskita-my.sharepoint.com/personal/kretek_girijati_waskita_co_id/_layouts/15/onedrive.aspx?id=%2Fpersonal%2Fkretek%5Fgirijati%5Fwaskita%5Fco%5Fid%2FDocuments%2F1%2E%20TEKNIK%2F00%2E%20DOKUMENTASI%2F1%2E%20DRONE%2F2024%2FJANUARI%2F23%2D01%2D2024&amp;ga=1</t>
  </si>
  <si>
    <t>https://ptwaskita-my.sharepoint.com/:f:/g/personal/kretek_girijati_waskita_co_id/EotdE3nrUeRCheQy_BIToioBczygaTRNGV1B4-ZWEh-BKw?e=JJznPY</t>
  </si>
  <si>
    <t>https://ptwaskita-my.sharepoint.com/:f:/g/personal/kretek_girijati_waskita_co_id/EiudW5Esp5NGucgzOcwe3s4BitU_Wsj3R5Uy7tC8qS29fw?e=zkBhJL</t>
  </si>
  <si>
    <t>• Terdapat lahan yang belum bebas lokasi detour sta 5+000 dan 4+400
• Proses Add II &amp; III (perpanjangan waktu s.d 05 April 2024 )
• Akses lokasi pekerjaan longsor dan jembatan belly Japeksel belum jadi</t>
  </si>
  <si>
    <t>6c858079-31d3-4584-8b8a-9e843cc127e1</t>
  </si>
  <si>
    <t>2f9e7822-27c9-4b4f-8f17-56314e7b56c3</t>
  </si>
  <si>
    <t>c70dbb99-10c3-4f87-8ccb-3dd5728bb507</t>
  </si>
  <si>
    <t>https://drive.google.com/file/d/1Ef06WJA0yvri96O6Viml8uJAseUMp8eV/view?usp=sharing</t>
  </si>
  <si>
    <t>https://ptwaskita-my.sharepoint.com/:f:/r/personal/fahmi_waskita_co_id/Documents/BIM%20-%20INFRA%202/Project/WKINF2%20-%201316022%20(Jalan%20Tol%20Cimanggis%20-%20Cibitung%20Seksi%202)/1.%20WIP/RAW%20Orthophoto/Orthophoto/2024/1.%20JANUARI?csf=1&amp;web=1&amp;e=raIywu</t>
  </si>
  <si>
    <t>e0542e60-eda5-4ff9-a7fb-1a9a0d813f05</t>
  </si>
  <si>
    <t>6a5085d4-bc81-4bdb-be5c-4955deb2a333</t>
  </si>
  <si>
    <t>Rizky Saputra</t>
  </si>
  <si>
    <t>https://youtu.be/DJJ1KAImsSY</t>
  </si>
  <si>
    <t>https://ptwaskita-my.sharepoint.com/personal/fahmi_waskita_co_id/_layouts/15/onedrive.aspx?csf=1&amp;web=1&amp;e=hUflvD&amp;cid=055d9e4d%2D7c8e%2D4428%2D90b5%2D830500ffd799&amp;id=%2Fpersonal%2Ffahmi%5Fwaskita%5Fco%5Fid%2FDocuments%2FBIM%20%2D%20INFRA%202%2FProject%2FWKINF2%20%2D%201323020%20Jalan%20Tol%20Probowangi%2F1%2E%20WIP%2FGIS%2F13%2E%20Update%20Orthophoto&amp;FolderCTID=0x0120008AE2C3201DBDD44A93E08450C0DB2828&amp;view=0</t>
  </si>
  <si>
    <t>1. Rencana Perubahan/Pergeseran Trase pada Lokasi yang berhimpitan dengan jalan nasional
2. Rencana Perubahan/Pergeseran Trase pada Lokasi antara Persil Kawasan Sumbu Kebangsaan (titik 0 IKN) dan Persil OIKN
3. Pergeseran Titik tiang PLN dan FO Telkom
4. Masih ada lokasi lahan yang belum bebas, sepanjang kurang lebih 1 KM
5. Perubahan Desai</t>
  </si>
  <si>
    <t>b29a8fa0-edea-4bc9-99f8-e28881ec3127</t>
  </si>
  <si>
    <t>Muhammad Nuh Tarigan</t>
  </si>
  <si>
    <t>Jalan Seksi 6C-1 KIPP IKN (JOI 32.50%)</t>
  </si>
  <si>
    <t>https://drive.google.com/drive/folders/1ttgn7gnj5IAd7lJKh7mhjxidyDbRLF16</t>
  </si>
  <si>
    <t>405ba799-d686-47a6-be0a-7a4413f72352</t>
  </si>
  <si>
    <t>https://ptwaskita-my.sharepoint.com/:f:/r/personal/fahmi_waskita_co_id/Documents/BIM%20-%20INFRA%202/Project/WKINF2%20-%20Lingkar%20Sepaku%204/2.%20SHARED/06.%20Reality%20Modeling/52.%2028%20Januari%202024/Video?csf=1&amp;web=1&amp;e=K0yKGc</t>
  </si>
  <si>
    <t>https://ptwaskita-my.sharepoint.com/:f:/r/personal/fahmi_waskita_co_id/Documents/BIM%20-%20INFRA%202/Project/WKINF2%20-%20Lingkar%20Sepaku%204/2.%20SHARED/06.%20Reality%20Modeling/52.%2028%20Januari%202024/Foto?csf=1&amp;web=1&amp;e=Cx0ls8</t>
  </si>
  <si>
    <t>https://ptwaskita-my.sharepoint.com/:f:/g/personal/fahmi_waskita_co_id/Erkrc8nKKRtMpx8yOC0gxnoBhWUGN_TQTgKDD36RqzmGHw?e=sGaUC9</t>
  </si>
  <si>
    <t>https://ptwaskita-my.sharepoint.com/:f:/r/personal/fahmi_waskita_co_id/Documents/BIM%20-%20INFRA%202/Project/WKINF2%20-%20Lingkar%20Sepaku%204/2.%20SHARED/06.%20Reality%20Modeling/52.%2028%20Januari%202024/SLPK?csf=1&amp;web=1&amp;e=OGwbsz</t>
  </si>
  <si>
    <t>-</t>
  </si>
  <si>
    <t>c8063d84-14a4-45f3-977e-212ce420842b</t>
  </si>
  <si>
    <t>Muhamad Farhan Abimanyu</t>
  </si>
  <si>
    <t>Pematangan Lahan KIT Batang Klaster 1 Fase 2 Tahap 1 (JOI 40%)</t>
  </si>
  <si>
    <t>https://ptwaskita-my.sharepoint.com/:f:/r/personal/fahmi_waskita_co_id/Documents/BIM%20-%20INFRA%202/Project/WKINF2%20-%20Pematangan%20Lahan%20KITB%20Batang/1.%20WIP/Reality%20Modeling/202401-Jan%2024/03%20PRODUCT/DEM?csf=1&amp;web=1&amp;e=0P1IkL</t>
  </si>
  <si>
    <t>https://ptwaskita-my.sharepoint.com/:f:/r/personal/fahmi_waskita_co_id/Documents/BIM%20-%20INFRA%202/Project/WKINF2%20-%20Pematangan%20Lahan%20KITB%20Batang/1.%20WIP/Reality%20Modeling/202401-Jan%2024/Dokumentasi/Foto?csf=1&amp;web=1&amp;e=yDimYy</t>
  </si>
  <si>
    <t>https://ptwaskita-my.sharepoint.com/:f:/r/personal/fahmi_waskita_co_id/Documents/BIM%20-%20INFRA%202/Project/WKINF2%20-%20Pematangan%20Lahan%20KITB%20Batang/1.%20WIP/Reality%20Modeling/202401-Jan%2024/03%20PRODUCT/ORTHO?csf=1&amp;web=1&amp;e=SjUI7I</t>
  </si>
  <si>
    <t>1. Area Kavling E-10 belum bisa dikerjakan akibat terdapat lapangan sepakbola milik desa.
2. Area Kavling A-01 dan B-03 skema drainase mengarah ke Box Culvert crossing dengan KAI yang belum terbangun.
3. Terdapat beberapa kavling yang masih ada jalan yang masih dimanfaatkan warga.
4. Terdapat Tiang Listrik didalam kavling H-07 dan H-01</t>
  </si>
  <si>
    <t>cbbd752e-71d3-4666-a975-dadab290e1ee</t>
  </si>
  <si>
    <t>46347345-0b9f-49a3-be09-b5290c0edd02</t>
  </si>
  <si>
    <t>https://ptwaskita-my.sharepoint.com/:v:/g/personal/dhani_ramdhani_waskita_co_id/EWKNru3boLFCovxppnYyr6ABPBggoxJZ2UoD_HZfTjBDaw?nav=eyJyZWZlcnJhbEluZm8iOnsicmVmZXJyYWxBcHAiOiJPbmVEcml2ZUZvckJ1c2luZXNzIiwicmVmZXJyYWxBcHBQbGF0Zm9ybSI6IldlYiIsInJlZmVycmFsTW9kZSI6InZpZXciLCJyZWZlcnJhbFZpZXciOiJNeUZpbGVzTGlua0NvcHkifX0&amp;e=dtmEqZ</t>
  </si>
  <si>
    <t>https://ptwaskita-my.sharepoint.com/:i:/g/personal/dhani_ramdhani_waskita_co_id/ERCQeUpad_9OlP7jb5Tqo7IBQaVed1jXE0lntO8MgbehXw?e=DzIWYp</t>
  </si>
  <si>
    <t>f9a04ab9-952c-4aa6-b76d-9cb2b94e34b7</t>
  </si>
  <si>
    <t>https://drive.google.com/file/d/1XHShDFW3_75xFHE5dfh5nIaBYLdv8ibX/view?usp=sharing</t>
  </si>
  <si>
    <t>https://drive.google.com/file/d/1190iruYPWtXJwrlB97KmHInkzgwNSOrt/view?usp=sharing</t>
  </si>
  <si>
    <t>https://drive.google.com/file/d/10pxDqHiQVwoirGBSBaM1SQ4a398wtDdT/view?usp=sharing</t>
  </si>
  <si>
    <t>https://drive.google.com/file/d/10qTWBIVwfTYB0IbrtNeBYX0hJKE4ecBx/view?usp=sharing</t>
  </si>
  <si>
    <t>Mass Concrete pekerjaan kolom jembatan palu 4</t>
  </si>
  <si>
    <t>3df70ef7-2f51-4987-970b-f9ea7b87b556</t>
  </si>
  <si>
    <t>https://os5.mycloud.com/action/share/cca8f4f4-7e4c-4562-bdff-46ffddc9672c</t>
  </si>
  <si>
    <t>https://os5.mycloud.com/action/share/9936ffff-a052-476f-af13-d8d9d4190685</t>
  </si>
  <si>
    <t>https://os5.mycloud.com/action/share/56b52eb0-b7fb-4c86-96ce-73d006c7ee7d</t>
  </si>
  <si>
    <t>https://os5.mycloud.com/action/share/7b2cce0a-de50-4044-b05c-f1d7a640cfdf</t>
  </si>
  <si>
    <t>1. Area Kavling E-10 belum bisa dikerjakan akibat terdapat lapangan sepakbola miilik desa
2. Area Kavling A-01 dan B-03 skema drainase mengarah ke box culvert crossing dengan KAI yang belum terbangun.
3. Terdapat jalan warga yang masih aktif pada kavling E-9B
4. Terdapat tiang listrik didalam kavling H-07 dan H-01</t>
  </si>
  <si>
    <t>7ade5dc7-1f7c-4a3e-9035-e3f2bb09dc3d</t>
  </si>
  <si>
    <t xml:space="preserve">Muhamad Farhan Abimanyu </t>
  </si>
  <si>
    <t xml:space="preserve">Pekerjaan Bahu Jalan
a. Pekerjaan Bahu Jalan dan Rabat Beton
b. Cuaca mulai sering hujan
c. Pengaawasan Mutu Material
Support Needed :
a. Rabat Beton Dalam Proses, Saat ini Progress Rabat Beton Slowdown karena sisa pekerjaan rabat
    rencana akan di alihkan ke pekerjaan lain (penanganan Longsor)
b. Mengoptimalkan Pekerjaan pada cuaca yang bagus
c. Memonitor dan mengecek rutin, kondisi material yang ada
 </t>
  </si>
  <si>
    <t>2ab5395a-e377-4f0d-8162-afa2d146263a</t>
  </si>
  <si>
    <t>https://drive.google.com/file/d/1_r1qX2YYSLzKt4w2BwyaxoL9nY9M-ZC0/view?usp=sharing</t>
  </si>
  <si>
    <t>https://drive.google.com/file/d/1jE9YOfrWASP3Qh7dkP1dyC6N-EAgvX6p/view?usp=sharing &amp; https://drive.google.com/file/d/1SuJHindASiOLxfvsiI_OxyAjyc8USmOA/view?usp=sharing</t>
  </si>
  <si>
    <t>535edd3d-8b13-4fa5-aa8f-32f09755a7bb</t>
  </si>
  <si>
    <t>Markus Juliano Sinaga</t>
  </si>
  <si>
    <t>https://ptwaskita-my.sharepoint.com/:v:/g/personal/andri_j_waskita_co_id/ESdjuNPFYT9Fkrxo_xztXlABB0t_Jn8fSC46WFiZDtHF6A?nav=eyJyZWZlcnJhbEluZm8iOnsicmVmZXJyYWxBcHAiOiJPbmVEcml2ZUZvckJ1c2luZXNzIiwicmVmZXJyYWxBcHBQbGF0Zm9ybSI6IldlYiIsInJlZmVycmFsTW9kZSI6InZpZXciLCJyZWZlcnJhbFZpZXciOiJNeUZpbGVzTGlua0NvcHkifX0&amp;e=UtTrOf</t>
  </si>
  <si>
    <t>https://ptwaskita-my.sharepoint.com/:f:/r/personal/andri_j_waskita_co_id/Documents/1.%20TOL%20IKN%205A/16.%20DOKUMENTASI?csf=1&amp;web=1&amp;e=1T5Dy8</t>
  </si>
  <si>
    <t>https://ptwaskita-my.sharepoint.com/:f:/g/personal/fahmi_waskita_co_id/Evl0UaoQdJNHuD39o0hZ27EBrpE8lEXhI1edmORBD4dGlg?e=emkjGK</t>
  </si>
  <si>
    <t>e1982301-6468-4e11-826d-525ffdedeae7</t>
  </si>
  <si>
    <t>https://ptwaskita-my.sharepoint.com/personal/fahmi_waskita_co_id/_layouts/15/onedrive.aspx?FolderCTID=0x0120008AE2C3201DBDD44A93E08450C0DB2828&amp;id=%2Fpersonal%2Ffahmi%5Fwaskita%5Fco%5Fid%2FDocuments%2FBIM%20%2D%20INFRA%202%2FProject%2FWKINF2%20%2D%20%20Underpass%20Deltamas%20Sukabungah%2F3%2E%20PUBLISHED%2F7%2E%20DOCUMENTATION%2F1%2E%20VIDEO</t>
  </si>
  <si>
    <t>1. Pembebasan Lahan belum 100%
2. Izin Ke BBWS terkait penggunaan Jalan Akses dan Pemasangan Jembatan Temporary</t>
  </si>
  <si>
    <t>e3c60f7a-1c49-4086-aec5-23fbd699ee3d</t>
  </si>
  <si>
    <t>Jalan Tol Akses Patimban Paket 2 (JOI 60%)</t>
  </si>
  <si>
    <t>https://ptwaskita-my.sharepoint.com/personal/fahmi_waskita_co_id/_layouts/15/onedrive.aspx?ga=1&amp;id=%2Fpersonal%2Ffahmi%5Fwaskita%5Fco%5Fid%2FDocuments%2FBIM%20%2D%20INFRA%202%2FProject%2FWKINF2%20%2D%20%20Jalan%20Tol%20Akses%20Patimban%20Paket%202%2F3%2E%20PUBLISHED%2F10%2E%20DRONE</t>
  </si>
  <si>
    <t>https://ptwaskita-my.sharepoint.com/:f:/r/personal/fahmi_waskita_co_id/Documents/BIM%20-%20INFRA%202/Project/WKINF2%20-%20%20Jalan%20Tol%20Akses%20Patimban%20Paket%202/3.%20PUBLISHED/9.%20DOKUMENTASI?csf=1&amp;web=1&amp;e=yQRZNe</t>
  </si>
  <si>
    <t>https://ptwaskita-my.sharepoint.com/:f:/r/personal/fahmi_waskita_co_id/Documents/BIM%20-%20INFRA%202/Project/WKINF2%20-%20%20Jalan%20Tol%20Akses%20Patimban%20Paket%202/3.%20PUBLISHED/6.%20REALITY%20MODELING/1.%20JANUARI%20-%202024%20(MC0)?csf=1&amp;web=1&amp;e=uWnv08</t>
  </si>
  <si>
    <t>89654898-185b-4522-a1a9-95ed63765f55</t>
  </si>
  <si>
    <t>1. Finalisasi Desain
- Desain Finalisasi MUT, Tapping MUT, dan PIT MUT antar Proyek pekerjaan
- Desain Ruas Lingkar Sepaku 3 SC
- Desain Struktur Chamber JDU JDP
- Desain Pedestrian
2. Relokasi Tiang PLN pada ruas-ruas proyek feeder
Bersurat Nomor UM 0401/Bb.12.11.2/190 dan Nomor UM 0401/Bb.12.11.2/549 dengan tujuan Manager PLN UP3 Balikpapan untuk segera merelokasi tiang-tiang yang bersinggungan dengan proyek feeder;
Ruas Bhineka : 5 titik;
Ruas Grande : 3 titik
3. Pengecoran terhambat dikarenakan cuaca hujan yang mengakibatkan akses jalan nasional dan proyek licin (tidak dapat dilalui kendaraan berat)</t>
  </si>
  <si>
    <t>a77167fa-fc63-41e7-b10b-b01fcf62279a</t>
  </si>
  <si>
    <t>https://drive.google.com/file/d/1ULeTDoY_J-O3AusRm07t4rP2FJ4bn6I3/view?usp=sharing</t>
  </si>
  <si>
    <t>https://drive.google.com/drive/folders/1xljgdB2zsNuObwSE06QCZ8PhDiLjjXYH?usp=sharing</t>
  </si>
  <si>
    <t>1. Pembebasan lahan belum 100 % progress pembebasan lahan 84.5 % &gt;&gt; Bersurat ke owner terkait pembebasan lahan dan serah terima lahan secara parsial
2. Izin ke BBWS terkait penggunaan Jalan Akses dan Pemasangan Temporary &gt;&gt; Telah dilakukan diskusi dengan Owner dan Pihak BBWS dengan hasil  kontraktor diijinkan untuk menggunakan akses jalan milik BBWS dengan sebelumnya harus melengkapi dokumen dokumen yang disyaratkan oleh pihak BBWS</t>
  </si>
  <si>
    <t>3a0e0c74-d8f4-4e2d-a348-7073b68b83e7</t>
  </si>
  <si>
    <t>https://ptwaskita-my.sharepoint.com/:f:/r/personal/fahmi_waskita_co_id/Documents/BIM%20-%20INFRA%202/Project/WKINF2%20-%20%20Jalan%20Tol%20Akses%20Patimban%20Paket%202/3.%20PUBLISHED/10.%20DRONE?csf=1&amp;web=1&amp;e=PXpDvz</t>
  </si>
  <si>
    <t>https://ptwaskita-my.sharepoint.com/:f:/r/personal/fahmi_waskita_co_id/Documents/BIM%20-%20INFRA%202/Project/WKINF2%20-%20%20Jalan%20Tol%20Akses%20Patimban%20Paket%202/3.%20PUBLISHED/9.%20DOKUMENTASI?csf=1&amp;web=1&amp;e=UODrS9</t>
  </si>
  <si>
    <t>https://ptwaskita-my.sharepoint.com/:f:/r/personal/fahmi_waskita_co_id/Documents/BIM%20-%20INFRA%202/Project/WKINF2%20-%20%20Jalan%20Tol%20Akses%20Patimban%20Paket%202/3.%20PUBLISHED/6.%20REALITY%20MODELING/1.%20JANUARI%20-%202024%20(MC0)?csf=1&amp;web=1&amp;e=ZaSsgM</t>
  </si>
  <si>
    <t>Issue Produksi/Operasional
1. Pembebasan Lahan belum 100%
2. Izin ke BBWS terkait penggunaan Jalan Akses dan Pemasangan Jembatan Temporary
3. Adanya utilitas Pipa Gas di Jalan Akses
Issue Kontraktual dan Legal
1. Penerbitan asuransi CAR (Contractor's All Risk) terlambat (sesuai PC maksimal H+21 setelah SPMK/COW
2. Administrasi Approval Dokumen memakan waktu lama
Issue K3 &amp; Lingkungan
1. Pengujian Lingkungan
2. Sosialisasi warga sekita
Isu Finansial
1. Permintaan pembayaran verdor tempo 30 hari dan DP 10%
2. Budget SAP Exceeded</t>
  </si>
  <si>
    <t>ca961921-f29e-490a-8c5e-d84d3e78b4b5</t>
  </si>
  <si>
    <t>https://ptwaskita-my.sharepoint.com/:f:/r/personal/fahmi_waskita_co_id/Documents/BIM%20-%20INFRA%202/Project/WKINF2%20-%20%20Jalan%20Tol%20Akses%20Patimban%20Paket%202/3.%20PUBLISHED/9.%20DOKUMENTASI?csf=1&amp;web=1&amp;e=YA9aCH</t>
  </si>
  <si>
    <t>https://ptwaskita-my.sharepoint.com/:f:/r/personal/fahmi_waskita_co_id/Documents/BIM%20-%20INFRA%202/Project/WKINF2%20-%20%20Jalan%20Tol%20Akses%20Patimban%20Paket%202/1.%20WIP/03.%20FOTOGAMETRI?csf=1&amp;web=1&amp;e=M6vqYi</t>
  </si>
  <si>
    <t>Isu Produksi / Operasional
1. Pembebasan lahan belum 100%
2. Izin ke BBWS terkait penggunaan Jalan Akses dan pemasangan jembatn temporary
3. Adanya utilitas pipa gas di jalan akses
Isu Kontraktual dan legal
1. Penerbitan Asuransi CAR (Contractor's All Risk) terlambat (sesuai PC maksimal H+21 setelah SPMK/COW)
2. Administrasi Approval dokumen memakan waktu lama
Isu K3 dan Lingkungan
1. Pengujian Lingkungan
2. Sosialisasi warga sekitar
Isu Finansial
1. Permintaan pembayaran vendor tempo 30 hari dan DP 10%
2. Budget SAP Exceeded</t>
  </si>
  <si>
    <t>c8b84d7f-7588-4d57-a6eb-cd5437bf7a15</t>
  </si>
  <si>
    <t>https://ptwaskita-my.sharepoint.com/:f:/r/personal/fahmi_waskita_co_id/Documents/BIM%20-%20INFRA%202/Project/WKINF2%20-%20%20Jalan%20Tol%20Akses%20Patimban%20Paket%202/3.%20PUBLISHED/9.%20DOKUMENTASI?csf=1&amp;web=1&amp;e=rP2Odw</t>
  </si>
  <si>
    <t>https://ptwaskita-my.sharepoint.com/:f:/r/personal/fahmi_waskita_co_id/Documents/BIM%20-%20INFRA%202/Project/WKINF2%20-%20%20Jalan%20Tol%20Akses%20Patimban%20Paket%202/3.%20PUBLISHED/6.%20REALITY%20MODELING?csf=1&amp;web=1&amp;e=FiKtHA</t>
  </si>
  <si>
    <t>Isu Produksi / Operasional
- Pembebasan lahan belum 100 % (bersurat ke owner terkait pembebasan laha, serah terima secara parsial)
- Izin ke BBWS terkait penggunaan Jalan Akses dan pemasangan jembatan temporary (Telah dilakukan diskusi dengan owner dan pihak BBWS dengan hasil kontraktor diijinkan untuk menggunakan akses jalan milik BBWS dengan sebelumnya harus melengkapi dokumen yang disyaratkan oleh BBWS)
- Adanya utilitas pipa gas di jalan akses (Telah dilakukan koordinasi dengan pemilik utilitas pipa gas PERTAGAS &amp; telah dilakukan test pit namum pipa belum ditemukan. akan dilakukan koordinasi dan join survey lanjutan
Isu kontraktual dan legal
- Penerbitan Asuransi CAR (Contractor's All Risk) terlambat, sesuai PC maksimal H+21 setelah SPMK/COW (Telah dilakukan klarifikasi dan negosiasi dengan beberapa penyedia jasa asuransi CAR. telah dilakukan penunjukan ke PT AA Pialang, saat ini sedang proses penerbitan cover note oleh vendor asuransi. Close covernote telah ttd semua
- Administrasi Approval Dokumen memakan waktu lama (Proses approval dokumen memakan waktu yang cukup lama dari konsultan /enggineer membutuhkan waktu kurang lebih 21 hari untuk proses approval
Isu K3 dan Lingkungan
- Pengujian Lingkungan (Telah dilakukan environmental baseline dan akan dilakukan pengujian lanjutan
- Sosialisasi warga sekitar (Telah dilakukan sosialisasi dengan pemangku kepentingan desa, rencana M3 &amp; M4 Februari 2024 akan dilakukan sosiaslisasi ke warga 4 Desa terkait
Isu Finansial
- Permintaan pembayaran vendor tempo 30 hari dan DP 10% (Pengaturan cashflow dan skala prioritas pembayaran)
-Budget SAP Exceedded (Pengajuan penambahan budget 3 bulan / switching budget</t>
  </si>
  <si>
    <t>309ba7a5-e5ff-4508-b578-062a34e9b621</t>
  </si>
  <si>
    <t>https://ptwaskita-my.sharepoint.com/:f:/r/personal/fahmi_waskita_co_id/Documents/BIM%20-%20INFRA%202/Project/WKINF2%20-%20%20Jalan%20Tol%20Akses%20Patimban%20Paket%202/3.%20PUBLISHED/10.%20DRONE?csf=1&amp;web=1&amp;e=wcsrDH</t>
  </si>
  <si>
    <t>https://ptwaskita-my.sharepoint.com/personal/fahmi_waskita_co_id/_layouts/15/onedrive.aspx?ga=1&amp;id=%2Fpersonal%2Ffahmi%5Fwaskita%5Fco%5Fid%2FDocuments%2FBIM%20%2D%20INFRA%202%2FProject%2FWKINF2%20%2D%20%20Jalan%20Tol%20Akses%20Patimban%20Paket%202%2F3%2E%20PUBLISHED%2F9%2E%20DOKUMENTASI</t>
  </si>
  <si>
    <t>https://ptwaskita-my.sharepoint.com/personal/fahmi_waskita_co_id/_layouts/15/onedrive.aspx?ga=1&amp;id=%2Fpersonal%2Ffahmi%5Fwaskita%5Fco%5Fid%2FDocuments%2FBIM%20%2D%20INFRA%202%2FProject%2FWKINF2%20%2D%20%20Jalan%20Tol%20Akses%20Patimban%20Paket%202%2F3%2E%20PUBLISHED%2F6%2E%20REALITY%20MODELING</t>
  </si>
  <si>
    <t>1. Pemindahan Utilitas
2. Proses Justifikasi Teknik Berjenjang</t>
  </si>
  <si>
    <t>ea809de1-3132-4b64-a531-1c8541f00b06</t>
  </si>
  <si>
    <t>https://ptwaskita-my.sharepoint.com/:f:/g/personal/kretek_girijati_waskita_co_id/ElHaIk2jsURDkd0V-3myxXkBMfl9YGDLHRphyAOJNiqUmA?e=cqc18Y</t>
  </si>
  <si>
    <t>https://ptwaskita-my.sharepoint.com/:f:/g/personal/kretek_girijati_waskita_co_id/EiudW5Esp5NGucgzOcwe3s4BitU_Wsj3R5Uy7tC8qS29fw?e=4xNz8q</t>
  </si>
  <si>
    <t>RELOKASI UTILITAS
Issue :
Diperlukan relokasi utilitas (PLN, PDAM, Telkom dll) di area pekerjaan Proyek Jalan Tol Ciawi Sukabumi Seksi 3
Tindak Lanjut :
1. Berkoordinasi dengan owner dan stakeholder terkait
2. Tim Proyek Bocimi 3 telah bersurat kepada owner terkait relokasi utilitas jaringan kabel SUTM di area Abutmen 2 JU Cimunjul
3. Akan dilakukan join survey dengan pihak PLN terkait utilitas kabel yang memerlukan relokasi pada hari Kamis, 29 Februari 2024</t>
  </si>
  <si>
    <t>ed17d408-1947-4752-b2b1-d26c983a717e</t>
  </si>
  <si>
    <t>https://drive.google.com/file/d/163IgWpyN_UjOqHN6GU2WpaKiAKHHNIZJ/view?usp=sharing</t>
  </si>
  <si>
    <t>https://drive.google.com/drive/folders/1vmK2ZBW7QNsV8GJLA6Vvjm7ukDAo-UR1?usp=sharing</t>
  </si>
  <si>
    <t>https://drive.google.com/drive/folders/1URx8l5T6baRl6YBR8hrwiDAu5UApkpOU?usp=sharing</t>
  </si>
  <si>
    <t>https://drive.google.com/drive/folders/1_u5dK4wCy98MwwVwxjzQnvxKtnPJLVK1?usp=sharing</t>
  </si>
  <si>
    <t>Masih ada desain yang belum selesai dari Perencana</t>
  </si>
  <si>
    <t>c37be839-9509-4241-92af-cb754201a3bd</t>
  </si>
  <si>
    <t>https://drive.google.com/file/d/1HZhQbYra-QG8MSDAFfS4BnOidM_8jcWp/view?usp=drive_link</t>
  </si>
  <si>
    <t>https://drive.google.com/drive/folders/1DZDyxKof-opfCmF8yaSecWPIFdgLLLBe?usp=sharing</t>
  </si>
  <si>
    <t>7d50ab76-ed3c-4ec4-b40d-0c41a860f351</t>
  </si>
  <si>
    <t>https://ptwaskita-my.sharepoint.com/:v:/g/personal/dhani_ramdhani_waskita_co_id/EdKHegJ4qRxDkyGV5y3W_1kBhCR6aH-dKNqRej9hMvjtnA?nav=eyJyZWZlcnJhbEluZm8iOnsicmVmZXJyYWxBcHAiOiJPbmVEcml2ZUZvckJ1c2luZXNzIiwicmVmZXJyYWxBcHBQbGF0Zm9ybSI6IldlYiIsInJlZmVycmFsTW9kZSI6InZpZXciLCJyZWZlcnJhbFZpZXciOiJNeUZpbGVzTGlua0NvcHkifX0&amp;e=OEineO</t>
  </si>
  <si>
    <t>https://ptwaskita-my.sharepoint.com/:f:/g/personal/dhani_ramdhani_waskita_co_id/Et5z4yK2ivhEsHaWsFCR7b8BD0DKxJ4NbUaWcTfQlVB59g?e=E8A9Pj</t>
  </si>
  <si>
    <t>dbfaeb6d-4c7d-4504-8bd2-117942fe148e</t>
  </si>
  <si>
    <t>https://ptwaskita-my.sharepoint.com/personal/fahmi_waskita_co_id/_layouts/15/onedrive.aspx?id=%2Fpersonal%2Ffahmi%5Fwaskita%5Fco%5Fid%2FDocuments%2FBIM%20%2D%20INFRA%202%2FProject%2FWKINF2%20%2D%20%20Underpass%20Deltamas%20Sukabungah%2F1%2E%20WIP%2FDokumentasi</t>
  </si>
  <si>
    <t>Sisa Pekerjaan Minor :
1. Marka Jalan
Kondisi cuaca masih sering hujan, sehingga harus menunggu permukaan aspal dalam kondisi kering
Material Marka Kuning Habis, sudah dilakukan pemesanan dan dalam proses pengiriman dari surabaya
2. Perapihan dan Pembersihan Lokasi Pekerjaan
3. Proses Pengajuan PHO</t>
  </si>
  <si>
    <t>9239b37e-0b80-41ad-96a4-2d377e344c05</t>
  </si>
  <si>
    <t>https://ptwaskita-my.sharepoint.com/:v:/g/personal/nizar_tarmidzi_waskita_co_id/EeIqFt_-vS9Hnr96Kio09doB5_75LuqVUmnd9bB4WOX-zA?e=rF7NWe</t>
  </si>
  <si>
    <t>https://drive.google.com/file/d/1UFmqS4EBSeLEuygSa9eGTNHqsxZmhbta/view?usp=sharing &amp; https://drive.google.com/file/d/1wtZ9E0uhd5SCJ4gNbSKaGkDSvJ7LXREQ/view?usp=sharing</t>
  </si>
  <si>
    <t>06e9459f-0a04-440b-9a3e-ce2c9ecacdd6</t>
  </si>
  <si>
    <t>https://ptwaskita-my.sharepoint.com/:f:/r/personal/fahmi_waskita_co_id/Documents/BIM%20-%20INFRA%202/Project/WKINF2%20-%20Lingkar%20Sepaku%204/2.%20SHARED/06.%20Reality%20Modeling/54.%2025%20Februari%202024/Video?csf=1&amp;web=1&amp;e=AzXsna</t>
  </si>
  <si>
    <t>https://ptwaskita-my.sharepoint.com/:f:/r/personal/fahmi_waskita_co_id/Documents/BIM%20-%20INFRA%202/Project/WKINF2%20-%20Lingkar%20Sepaku%204/2.%20SHARED/06.%20Reality%20Modeling/54.%2025%20Februari%202024/Foto?csf=1&amp;web=1&amp;e=3qpb5p</t>
  </si>
  <si>
    <t>https://ptwaskita-my.sharepoint.com/:i:/r/personal/fahmi_waskita_co_id/Documents/BIM%20-%20INFRA%202/Project/WKINF2%20-%20Lingkar%20Sepaku%204/2.%20SHARED/06.%20Reality%20Modeling/53.%2002%20Februari%202024/Ortho/Ortho.tif?csf=1&amp;web=1&amp;e=Uzf5W7</t>
  </si>
  <si>
    <t>https://ptwaskita-my.sharepoint.com/:u:/r/personal/fahmi_waskita_co_id/Documents/BIM%20-%20INFRA%202/Project/WKINF2%20-%20Lingkar%20Sepaku%204/2.%20SHARED/06.%20Reality%20Modeling/53.%2002%20Februari%202024/SLPK/LS422_BM_WK-GTR_VIS_3D%20Progres_S2,3_AAN_SLPK.slpk?csf=1&amp;web=1&amp;e=NqEpPp</t>
  </si>
  <si>
    <t>42edb017-90c9-4d44-a0c0-801261bc89cc</t>
  </si>
  <si>
    <t>https://drive.google.com/file/d/12QOdEJbApC_VSDRgc2CCnHsrCY7ojkZs/view?usp=sharing</t>
  </si>
  <si>
    <t>https://drive.google.com/file/d/12OGsxg2pHdLEOcpUXfcxO-uXxDjOVIk4/view?usp=sharing</t>
  </si>
  <si>
    <t>Lahan Bebas masih belum 100%</t>
  </si>
  <si>
    <t>331e3783-573e-4e2f-aad0-2058c7f1beab</t>
  </si>
  <si>
    <t>https://ptwaskita-my.sharepoint.com/:v:/g/personal/andri_j_waskita_co_id/Ec9FUY7zpWNOi9QKpQqRvBwBpI5tb5sOFrWog3csL96ilg?nav=eyJyZWZlcnJhbEluZm8iOnsicmVmZXJyYWxBcHAiOiJPbmVEcml2ZUZvckJ1c2luZXNzIiwicmVmZXJyYWxBcHBQbGF0Zm9ybSI6IldlYiIsInJlZmVycmFsTW9kZSI6InZpZXciLCJyZWZlcnJhbFZpZXciOiJNeUZpbGVzTGlua0NvcHkifX0&amp;e=Jjlj2s</t>
  </si>
  <si>
    <t>https://ptwaskita-my.sharepoint.com/:f:/g/personal/andri_j_waskita_co_id/EpLFYPQAMgBAoe6kI2WPJ6kBQHeVnYvilJ_QqMYVjB3i-Q?e=MoOIb7</t>
  </si>
  <si>
    <t>https://ptwaskita-my.sharepoint.com/:f:/g/personal/fahmi_waskita_co_id/EoVJ49bIwLhLtL3B_QkDflgBmPpxW5DqUdYWqGVmJ02Whg?e=vXfbTw</t>
  </si>
  <si>
    <t>Stok Semen Beton WBP kosong, terkendala dana</t>
  </si>
  <si>
    <t>540a0672-13a2-4eca-9c1d-044eeea7259f</t>
  </si>
  <si>
    <t>https://os5.mycloud.com/action/share/04892d22-d727-43fc-a13f-f33b4769d09d</t>
  </si>
  <si>
    <t>https://os5.mycloud.com/action/share/aca3b01f-4131-46e0-b41e-872496683794</t>
  </si>
  <si>
    <t>https://os5.mycloud.com/action/share/3d176cd9-f965-416e-9d7e-4c0908ea2f98</t>
  </si>
  <si>
    <t>6804024c-0e7c-4be7-9cfe-c029776f0137</t>
  </si>
  <si>
    <t>https://drive.google.com/file/d/1_Uc1j04gP_AdRGIBHP4tAma-EKIOam-j/view?usp=drive_link</t>
  </si>
  <si>
    <t>https://ptwaskita-my.sharepoint.com/:i:/r/personal/fahmi_waskita_co_id/Documents/BIM%20-%20INFRA%202/Project/WKINF2%20-%201316022%20(Jalan%20Tol%20Cimanggis%20-%20Cibitung%20Seksi%202)/1.%20WIP/RAW%20Orthophoto/Orthophoto/2024/2.%20FEBRUARI/STA%2027+070%20-%2050+373_Update%20Februari%202024.tif?csf=1&amp;web=1&amp;e=1Xu3RX</t>
  </si>
  <si>
    <t>6c05fac9-687b-4c54-985c-044ad558112f</t>
  </si>
  <si>
    <t>https://os5.mycloud.com/action/share/df902192-11fb-43de-a6d9-266b2df65a2e</t>
  </si>
  <si>
    <t>https://os5.mycloud.com/action/share/dd2c6271-6874-4dbb-80aa-d195c67322c0</t>
  </si>
  <si>
    <t>38b33adc-5e74-42ec-a548-b02782ae7a98</t>
  </si>
  <si>
    <t>96351142-47c4-4665-817f-8f8b7062b49e</t>
  </si>
  <si>
    <t>https://youtu.be/ZV0frRKuqsY</t>
  </si>
  <si>
    <t>https://ptwaskita-my.sharepoint.com/:f:/r/personal/fahmi_waskita_co_id/Documents/BIM%20-%20INFRA%202/Project/WKINF2%20-%201323020%20Jalan%20Tol%20Probowangi/1.%20WIP/GIS/13.%20Update%20Orthophoto?csf=1&amp;web=1&amp;e=hUflvD</t>
  </si>
  <si>
    <t>a35de71b-5e15-4b39-a9ff-64fca8efa07b</t>
  </si>
  <si>
    <t>285ffc1a-ec0e-446a-afb0-7f6b7ff2faec</t>
  </si>
  <si>
    <t>https://ptwaskita-my.sharepoint.com/:f:/r/personal/fahmi_waskita_co_id/Documents/BIM%20-%20INFRA%202/Project/WKINF2%20-%20%20Jalan%20Tol%20Akses%20Patimban%20Paket%202/3.%20PUBLISHED/10.%20DRONE?csf=1&amp;web=1&amp;e=oo9RYq</t>
  </si>
  <si>
    <t>https://ptwaskita-my.sharepoint.com/:f:/r/personal/fahmi_waskita_co_id/Documents/BIM%20-%20INFRA%202/Project/WKINF2%20-%20%20Jalan%20Tol%20Akses%20Patimban%20Paket%202/3.%20PUBLISHED/9.%20DOKUMENTASI?csf=1&amp;web=1&amp;e=6lpRpx</t>
  </si>
  <si>
    <t>https://ptwaskita-my.sharepoint.com/:f:/r/personal/fahmi_waskita_co_id/Documents/BIM%20-%20INFRA%202/Project/WKINF2%20-%20%20Jalan%20Tol%20Akses%20Patimban%20Paket%202/3.%20PUBLISHED/6.%20REALITY%20MODELING/02.%20Februari%202024?csf=1&amp;web=1&amp;e=HBiNyy</t>
  </si>
  <si>
    <t>Isu Produksi / Operasional
- Pembebasan lahan belim 100 % (Bersurat ke owner terkait pembebasan lahan, serah terima lahan secara parsial
- Jalan Akses melibatkan 3 pihak BBWS, PJT2, dan Pertagas (Secara verbal sudah diijinkan penggunaan jalan akses, sedangkan surat resmi masih menunggu dari kabalai BBWS serta masih menunggu justifikasi proteksi pipa gas oleh pertagas cilamaya
- Admistrasi approval dokumen memakan waktu lama (Proses approval dokumen memakan waktu yang cukup lama dari konsultan / enggineer membutuhkan waktu kurang lebih 21 hari untuk proses approval
Isu K3 dan Lingkungan
- Sosialisasi warga sekitar terkait akses (Telah dilakukan sosialisasi dengan pemangku kepentingan desa, akan dilakukan sosisalisasi ke warga 4 Desa terkait
- Buangan air dewatering dari lokasi galian, tidak boleh dibuang ke saluran tersier (Membuat parit disamping lokasi galian dan dihubungkan ke saluran sekunder )
Isu Finansial
- Permintaan pembayaran vendor tempo 30 hari dan DP 10% (Pengaturan cashflow dan skala prioritas pembayaran)</t>
  </si>
  <si>
    <t>14449090-8c44-4268-b294-fd0f8792fbfb</t>
  </si>
  <si>
    <t xml:space="preserve">Nungki Herdiana </t>
  </si>
  <si>
    <t>0934d1d4-f778-4506-a9fc-68671a15d675</t>
  </si>
  <si>
    <t>https://toa-const3.box.com/s/8bw9urvt82zoafi85booh4zjaeb1sb4t</t>
  </si>
  <si>
    <t>7af87cae-f757-4319-81f3-646a2dd6813a</t>
  </si>
  <si>
    <t>Arif Setiawan</t>
  </si>
  <si>
    <t>https://drive.google.com/file/d/1OBau5y0LhfUzLwL-GP2E63LOzntD5z1B/view?usp=drive_link</t>
  </si>
  <si>
    <t>Issue sebelum - sebelumnya sudah closed, kecuali issue lahan</t>
  </si>
  <si>
    <t>b4ce6c11-c8da-47b7-b2f6-eaeb724b84ab</t>
  </si>
  <si>
    <t>https://ptwaskita-my.sharepoint.com/:v:/g/personal/andri_j_waskita_co_id/EZT2n6dt_fxHgJtxnI0zGasBOBuW_pTCdo5Lbi87LwC-fw?nav=eyJyZWZlcnJhbEluZm8iOnsicmVmZXJyYWxBcHAiOiJPbmVEcml2ZUZvckJ1c2luZXNzIiwicmVmZXJyYWxBcHBQbGF0Zm9ybSI6IldlYiIsInJlZmVycmFsTW9kZSI6InZpZXciLCJyZWZlcnJhbFZpZXciOiJNeUZpbGVzTGlua0NvcHkifX0&amp;e=EC7t3z</t>
  </si>
  <si>
    <t>https://ptwaskita-my.sharepoint.com/:f:/g/personal/andri_j_waskita_co_id/EvWR5HExS_BGtt7n85FOh1gBhcV6HHaTr1kkiPf-E6_KXw?e=KqQX6I</t>
  </si>
  <si>
    <t>https://ptwaskita-my.sharepoint.com/:f:/g/personal/fahmi_waskita_co_id/EoxXB0R5PKZOjun7JKN1-jEB5sAgkeGDSwiLS3y6GsU7Yg?e=z1ZgxZ</t>
  </si>
  <si>
    <t>Review Desain P2 Jembatan Utama Cibodas</t>
  </si>
  <si>
    <t>091ef5ed-5356-408d-bd4d-cea7aa1b8218</t>
  </si>
  <si>
    <t>https://drive.google.com/file/d/1eW-IZV395AIVKzyEP67__g5w6P06jQWX/view?usp=sharing</t>
  </si>
  <si>
    <t>https://drive.google.com/drive/folders/13bcFogHrQ0JIhGpopa813HAm7-4_TH8_?usp=drive_link</t>
  </si>
  <si>
    <t>https://drive.google.com/drive/folders/1srvFuu666yYqgQCufYQLHQoVFf25T4da?usp=drive_link</t>
  </si>
  <si>
    <t>https://drive.google.com/drive/folders/195CUreX5HTDDLOR387EEcV4cNww7AGnF?usp=sharing</t>
  </si>
  <si>
    <t xml:space="preserve">Masih ada proses Justifikasi Teknik terkait desain gambar yang belum selesai. Masih menunggu approval owner </t>
  </si>
  <si>
    <t>27198e66-4633-44bb-812a-a9ac612d2581</t>
  </si>
  <si>
    <t>https://ptwaskita-my.sharepoint.com/:f:/g/personal/kretek_girijati_waskita_co_id/Erhc-A6Pnd9Ckoe-a3Ptx1EBINtj3ee35tjOrUU7WnZUSw?e=bGhnwc</t>
  </si>
  <si>
    <t>9e97e5b8-767b-4a74-9bf5-014586083722</t>
  </si>
  <si>
    <t>https://drive.google.com/file/d/128jkO45AWCj2MDbxrbaEz8JTIK-HjZBn/view?usp=sharing</t>
  </si>
  <si>
    <t>Realisasi Produksi harian Pekerjaan Galian Timbunan = 2.234 m3 dari target 3.600 m3, Saat ini sudah ada 2 subkon dengan komposisi alat : 3 Exca, 3 Breaker, 2 Dozer &amp; 2 DTT), Produksi Galian Timbunan masih belum maksimal karena kondisi financial vendor ya</t>
  </si>
  <si>
    <t>fa5d90ec-ffe0-4a77-af6a-d07d9727c6c4</t>
  </si>
  <si>
    <t>https://drive.google.com/drive/folders/1gpnCjzJ7PbW5EoteHD9C7mH24y1bI7lU?usp=share_link</t>
  </si>
  <si>
    <t>https://drive.google.com/drive/folders/1VpIWrqvKNO7IwdQOYt-KEJapNqtrITau?usp=sharing</t>
  </si>
  <si>
    <t>https://drive.google.com/drive/folders/1vto5YzUBefAtgHj1nqCpJELJEFFhu6Eo?usp=sharing</t>
  </si>
  <si>
    <t>Cash flow supplayer yang tidak lancar, menyebabkan terhambatnya pengiriman BBM solar dan material struktur ke lapangan.</t>
  </si>
  <si>
    <t>2db1a788-8be3-4541-921b-8306bf1a18e3</t>
  </si>
  <si>
    <t>https://drive.google.com/drive/folders/1JMvryD4SUBgFgUvATi6xOq3EIt0J8pba?usp=sharing</t>
  </si>
  <si>
    <t>https://drive.google.com/drive/folders/1ICKPH6Su6OVRw-MSVBQaDTP6mtOeNBKI?usp=sharing</t>
  </si>
  <si>
    <t>https://ptwaskita-my.sharepoint.com/:f:/g/personal/basuki_rahmat_waskita_co_id/Eh2x7cqF7AVIuGTUKQNtecABT8efHfQLA52nJTMlDDXXuQ?e=UO9j9x</t>
  </si>
  <si>
    <t>496cd079-d8c3-4d8d-b404-f166b23d0036</t>
  </si>
  <si>
    <t>https://drive.google.com/drive/folders/1tRlBagFZBWCFCZhxNPfUlAk3awhvA4kZ?usp=drive_link</t>
  </si>
  <si>
    <t>Problem pada pompa WBP, dan keterbatasan stok semen</t>
  </si>
  <si>
    <t>86ba344c-762a-4814-88da-8dc6ff138cd4</t>
  </si>
  <si>
    <t>https://os5.mycloud.com/action/share/4365bc7f-371d-46ba-a179-1a50d3238e31</t>
  </si>
  <si>
    <t>https://os5.mycloud.com/action/share/9aef0e32-36ab-4ceb-a90b-17041ff2b10f</t>
  </si>
  <si>
    <t>https://os5.mycloud.com/action/share/7bb20a70-fdaa-4673-af94-11e428b9b154</t>
  </si>
  <si>
    <t>Desain :
Desain Rest Area s.d saat ini belum ada
   final RTA dari JPB
Berkoordinasi dengan Owner terkait percepatan Desain Rest Area
Pekerjaan Tanah
Target Pek Galtim = 12.000 m3/ Hari, tren realisasi Pek Galtim Feb = 14.500 m3/hari
Galtim : Saat ini sudah ada 5 subkon Aktif dengan komposisi alat : 24 Breaker, 16 Exca, 7 Dozer, 40 DTT, &amp; 6 Vibro), perlu Upaya penambahan Jam Kerja (Lembur) untuk tiap subkon minimal 15 Jam/Hari Kerja.
Borrow Material Target Feb : 35.000 m3, saat ini belum dilaksanakan pek Borrow
Pekerjaan Tanah
Galtim : Diperlukan support percepatan pembayaran Tagihan vendor, agar produksi dapat secara kontinue dan dapat penambahan jam kerja (lembur) untuk setiap vendor
Borrow Material : Percepatan Administrasi untuk berkontrak dengan vendor baru, koordinasi dengan external terkait quarry yang tersedia dan berijin.
Pekerjaan Struktur
Target Beton Ready mix Bulan Maret 3.636 m3 (130 m3/hari)
WSBP : Saat ini dalam proses persiapan lahan untuk pendirian Batching Plant.
Pekerjaan Borepile STA 43+425 : Proses Pelaksanaan dilapangan, Total Titik Borepile 136 Titik, target harian borepile 3 Titik per Hari.
Pekerjaan Struktur
Vendor yang sudah berkontrak hanya 1 Vendor yaitu MJB, saat ini lapangan proses penyiapan lahan agar target pemenuhan beton harian dapat terpenuhi.
WSBP : Estimasi BP Beroperasi M-2 Maret 2024.
Legal &amp; Administrasi
Produktifitas pekerjaan dilapangan untuk pekerjaan struktur dan mainroad terdapat kendala penyesuan desain yang sampai dengan saat ini mengalami perubahan terus menerus, dan pihak owner maupun konsultan menghendaki adanya justifikasi teknis yang prosesnya lama.
Legal &amp; Administrasi
Bersurat ke owner dan konsultan terkait tanggung jawab administrasi dalam pembuatan justifikasi teknis meningat didalam justifikasi Teknis bukan tanggung jawab kontraktor, dan akan dilakukan penyesuaian waktu pelaksanaan apabila terkait desain masih menjadi kendala dalam pelaksaan pekerjaan dilapangan.</t>
  </si>
  <si>
    <t>c8e16493-8e0b-463d-ad63-e63bd1bc9691</t>
  </si>
  <si>
    <t>https://youtu.be/O7fXKZYJDqw</t>
  </si>
  <si>
    <t>https://drive.google.com/file/d/1Y9_y5wjN3s-Is2iu5km1QrhUlTlJVkdT/view?usp=sharing</t>
  </si>
  <si>
    <t>ea810185-032f-4a01-b94c-50385cd2314a</t>
  </si>
  <si>
    <t>https://os5.mycloud.com/action/share/151808a9-3434-4186-a278-f8d18f53711a</t>
  </si>
  <si>
    <t>https://os5.mycloud.com/action/share/d51e7949-f7f7-43ca-b5a7-732db7f21cf0</t>
  </si>
  <si>
    <t>Pekerjaan Asesoris Jalan
1. Pekerjaan Marka Jalan
2. Pembersihan Bahu jalan dari Rumput</t>
  </si>
  <si>
    <t>6801f634-376b-4ecf-80bf-f6331d73245d</t>
  </si>
  <si>
    <t>https://drive.google.com/file/d/1d9dH6pvxHo26OpBBomdRASdK-sc86QV-/view?usp=sharing</t>
  </si>
  <si>
    <t>https://drive.google.com/file/d/1zU9ryV87-tk50oTiPoxOV8wW04TfQTkw/view?usp=sharing</t>
  </si>
  <si>
    <t>pembebasan yang belum tuntas pada area simpang sebidang</t>
  </si>
  <si>
    <t>2d42d817-68fd-4ae2-bb0c-48f78b4706fd</t>
  </si>
  <si>
    <t>https://drive.google.com/file/d/1WH2bf_j5VglmrpUtuqyT5Czs9Rhu4GTi/view?usp=sharing</t>
  </si>
  <si>
    <t>https://drive.google.com/file/d/12dT1f4jTTrVdkvspn2JQSHhsjzmU_dQ7/view?usp=sharing</t>
  </si>
  <si>
    <t>https://drive.google.com/file/d/12oMj3_R9TxMYy6Yn2BGfRAVGUlYjOPmf/view?usp=sharing</t>
  </si>
  <si>
    <t>Proses Justifikasi Teknik masih berjalan, menunggu persetujuan owner</t>
  </si>
  <si>
    <t>d6097c3f-e019-4f0d-9189-f52158cb15f5</t>
  </si>
  <si>
    <t>https://ptwaskita-my.sharepoint.com/:f:/g/personal/kretek_girijati_waskita_co_id/EvDFmFp3daFJt9XJPmYnz0wBJUVMduaY0w0HF3OGJT50xA?e=I7bBds</t>
  </si>
  <si>
    <t>1c2164c8-a0ad-4f51-9898-8a55499b655d</t>
  </si>
  <si>
    <t>https://ptwaskita-my.sharepoint.com/:v:/g/personal/dhani_ramdhani_waskita_co_id/EZmHMLQR8hxIryLhqxgi_B4BfYlG0mryTN9kwKZ0wMK1oA?nav=eyJyZWZlcnJhbEluZm8iOnsicmVmZXJyYWxBcHAiOiJPbmVEcml2ZUZvckJ1c2luZXNzIiwicmVmZXJyYWxBcHBQbGF0Zm9ybSI6IldlYiIsInJlZmVycmFsTW9kZSI6InZpZXciLCJyZWZlcnJhbFZpZXciOiJNeUZpbGVzTGlua0NvcHkifX0&amp;e=5m1evD</t>
  </si>
  <si>
    <t>https://ptwaskita-my.sharepoint.com/:u:/g/personal/dhani_ramdhani_waskita_co_id/EcmKSgMujttJsvRhuWlYihAB2xzXXAUbYAAADNv3o3Z7gQ?e=RN2yiK</t>
  </si>
  <si>
    <t>https://ptwaskita-my.sharepoint.com/:i:/g/personal/dhani_ramdhani_waskita_co_id/EQsnvP1-m89GtkVNHkPizSABjqfYd5A82loUj5eiBVu2Iw?e=CaZXua</t>
  </si>
  <si>
    <t>ce023ffe-cb15-477a-ba64-b8a216912979</t>
  </si>
  <si>
    <t>Jalan Lot 2 Buluwalang-Sidomulyo-Tambakrejo (JOI 40%)</t>
  </si>
  <si>
    <t>https://drive.google.com/file/d/1GhawW7NAHjSDW7deOr8Umx6WmtDIb0gb/view?usp=drive_link</t>
  </si>
  <si>
    <t>https://drive.google.com/drive/folders/1doyqBVPaK2rB3B9SieLUTEBwlegCZVBX?usp=drive_link</t>
  </si>
  <si>
    <t>https://ptwaskita-my.sharepoint.com/:f:/r/personal/lot2blitar_waskita_co_id/Documents/LOT2%20-%2002%20-%20Report%20Document/09.%20Drone/01.%20Photogrametry/Januari-Februari%202024/REPORT/Ortho?csf=1&amp;web=1&amp;e=NjrHfd</t>
  </si>
  <si>
    <t>https://ptwaskita-my.sharepoint.com/:f:/r/personal/lot2blitar_waskita_co_id/Documents/LOT2%20-%2002%20-%20Report%20Document/09.%20Drone/01.%20Photogrametry/Januari-Februari%202024/REPORT/Reality%20Mesh?csf=1&amp;web=1&amp;e=TB8uF7</t>
  </si>
  <si>
    <t>0e15ddb5-93ce-4c68-a43b-8a4a9a12f024</t>
  </si>
  <si>
    <t>https://ptwaskita-my.sharepoint.com/:f:/r/personal/fahmi_waskita_co_id/Documents/BIM%20-%20INFRA%202/Project/WKINF2%20-%20%20Jalan%20Tol%20Akses%20Patimban%20Paket%202/3.%20PUBLISHED/10.%20DRONE?csf=1&amp;web=1&amp;e=esak3Z</t>
  </si>
  <si>
    <t>https://ptwaskita-my.sharepoint.com/:f:/r/personal/fahmi_waskita_co_id/Documents/BIM%20-%20INFRA%202/Project/WKINF2%20-%20%20Jalan%20Tol%20Akses%20Patimban%20Paket%202/3.%20PUBLISHED/9.%20DOKUMENTASI?csf=1&amp;web=1&amp;e=b2IvbD</t>
  </si>
  <si>
    <t>https://ptwaskita-my.sharepoint.com/:f:/r/personal/fahmi_waskita_co_id/Documents/BIM%20-%20INFRA%202/Project/WKINF2%20-%20%20Jalan%20Tol%20Akses%20Patimban%20Paket%202/3.%20PUBLISHED/6.%20REALITY%20MODELING/1.%20JANUARI%20-%202024%20(MC0)?csf=1&amp;web=1&amp;e=2FQS34</t>
  </si>
  <si>
    <t>be3dc3d1-c3bf-41ba-8bd0-5e066f930292</t>
  </si>
  <si>
    <t>agnes.shelvira@waskita.co.id</t>
  </si>
  <si>
    <t>Agnes Shelvira Herwieany</t>
  </si>
  <si>
    <t>https://drive.google.com/file/d/14DhqV_ux2bdbIFEsFAQx1MTcacjhs0K5/view?usp=sharing</t>
  </si>
  <si>
    <t>https://drive.google.com/drive/folders/1NISwcnHK2qPM8bE4FYO6srDlUVxDSLDN?usp=sharing</t>
  </si>
  <si>
    <t>https://ptwaskita-my.sharepoint.com/:f:/g/personal/basuki_rahmat_waskita_co_id/EktG1UjPPu5Gn7-rBxaUJdUBfjDzJU5JGdSrNIij9IUkrw?e=r2N66V</t>
  </si>
  <si>
    <t>1d565a78-a997-4852-a608-3ea91c8b4d0c</t>
  </si>
  <si>
    <t>Terdapat Hasil Soil Investigasi Jembatan Cimunjul Sta 26+537 di lokasi A1 dan P1 yang berbeda dengan RTA dan Hasil Borlog Waskita 2017</t>
  </si>
  <si>
    <t>4a84b67d-814b-4f83-b762-311bdac3fbc9</t>
  </si>
  <si>
    <t>rizky.saputra@waskita.co.id</t>
  </si>
  <si>
    <t>https://youtu.be/ebkYw0BD1Bk</t>
  </si>
  <si>
    <t>8c696824-8209-42e3-a6bc-414391962469</t>
  </si>
  <si>
    <t xml:space="preserve">Uraian:
Sampai dengan saat ini, desain Rest Area beserta dengan elevasi Ramp Tapper in dan Tapper Out belum final dan belum diterima, mengingat sesuai dengan Jadwal Kurva-S pelaksanaan pekerjaan tersebut dimulai pada Bulan April 2024, dan akan mengalami potensi keterlambatan dalam pelaksanaan pekerjaan.
Terdapat 30 Lokasi pekerjaan struktur maupun mainroad yang terdampak akibat kekurangan lahan, luasan lahan yang dibutuhkan penambahan sebesar 16.960 m2, kekurangan lahan tersebut berpotensi mengalami keterlambatan progress sehingga pekerjaan yang belum dapat dikerjakan seperti :
Bangunan Box Underpass dan Box Culvert
Sloping pada area Galian
Saluran DS 1 dan DS 7
Saluran Penerus di sisi kiri dan kanan pada Box Culvert maupun Box Underpass
Terdapat lahan belum bebas pada STA 43+500 – 44+500 spot spot sehingga mengakibatkan adanya beberapa pekerjaan yang tidak dapat dilaksanakan sampai dengan sekarang.
Tindak Lanjut:
Berkoordinasi dengan Owner dan Konsultan terkait percepatan finalisasi desain Rest Area.
Berkoordinasi dengan Owner terkait percepatan putusan penambahan lahan sehingga potensi keterlambatan pada pekerjaan tersebut dapat terhindar.
Berkoordinasi dengan owner terkait percepatan pembebasan lahan pada Area tersebut.
</t>
  </si>
  <si>
    <t>475f6db5-1808-4b5e-a206-af1fd052427f</t>
  </si>
  <si>
    <t>936fb93c-cf0d-4c3b-b1d8-387e950ea0bf</t>
  </si>
  <si>
    <t>fcf09f9e-a701-47d0-9cb2-9bd1aa7be101</t>
  </si>
  <si>
    <t>andri.j@waskita.co.id</t>
  </si>
  <si>
    <t>https://ptwaskita-my.sharepoint.com/:v:/g/personal/andri_j_waskita_co_id/Ee9CmyfTvwtJqHcAKr6C2isBHsHWNY4RwMC812fA2CU3Dg?nav=eyJyZWZlcnJhbEluZm8iOnsicmVmZXJyYWxBcHAiOiJPbmVEcml2ZUZvckJ1c2luZXNzIiwicmVmZXJyYWxBcHBQbGF0Zm9ybSI6IldlYiIsInJlZmVycmFsTW9kZSI6InZpZXciLCJyZWZlcnJhbFZpZXciOiJNeUZpbGVzTGlua0NvcHkifX0&amp;e=gEdQ13</t>
  </si>
  <si>
    <t>https://ptwaskita-my.sharepoint.com/:f:/g/personal/andri_j_waskita_co_id/Ek6_F-_8MelDuwRtGMpTZ0EByidrqRWK_jsnH01koLpcEw?e=AbuSNo</t>
  </si>
  <si>
    <t>https://ptwaskita-my.sharepoint.com/:f:/g/personal/fahmi_waskita_co_id/Epm_K9eBHs1PmX_s-sO4uFsBB9wvBdDF9T-XwAeQ1zNcew?e=mpt28r</t>
  </si>
  <si>
    <t>bd920615-b150-4bb7-b626-849412bde251</t>
  </si>
  <si>
    <t>3341c3f9-6ede-4af4-96ca-9bcc3256fd17</t>
  </si>
  <si>
    <t>nizar.zulkarnain@waskita.co.id</t>
  </si>
  <si>
    <t>https://drive.google.com/file/d/1E3EfZOMIDcudNJLRB0MvAPK8seA27WcU/view?usp=sharing</t>
  </si>
  <si>
    <t>0dd4242e-afd2-4c93-8bab-81ee03124d9d</t>
  </si>
  <si>
    <t>https://ptwaskita-my.sharepoint.com/:f:/r/personal/fahmi_waskita_co_id/Documents/BIM%20-%20INFRA%202/Project/WKINF2%20-%201316022%20(Jalan%20Tol%20Cimanggis%20-%20Cibitung%20Seksi%202)/1.%20WIP/RAW%20Orthophoto/Orthophoto/2024/4.%20APRIL?csf=1&amp;web=1&amp;e=2TeQxr</t>
  </si>
  <si>
    <t>ALAT ANGKUT DUMP TRUK UNTUK MEMBAWA MATERIAL URUGAN PILIHAN MASIH RUSAK</t>
  </si>
  <si>
    <t>ec12e50c-6a65-45b3-86f4-6145f289752c</t>
  </si>
  <si>
    <t>735c548a-3083-4e52-ae0c-dd684ddd8cf8</t>
  </si>
  <si>
    <t>ahmad.rival@waskita.co.id</t>
  </si>
  <si>
    <t>material impor strand dia. 28,6 masih terkendala perizinan dan tax</t>
  </si>
  <si>
    <t>15d51298-506a-4438-badc-91fd4bd8369f</t>
  </si>
  <si>
    <t>basuki.rahmat@waskita.co.id</t>
  </si>
  <si>
    <t>https://drive.google.com/file/d/1cnz39QaXDnDtSqmZjWL-k3ltDk3vK4qt/view?usp=sharing</t>
  </si>
  <si>
    <t>https://drive.google.com/drive/folders/1iFm0oiwbAnsrpRjbltotUsZaMGgew5NC?usp=sharing</t>
  </si>
  <si>
    <t>https://ptwaskita-my.sharepoint.com/:f:/g/personal/basuki_rahmat_waskita_co_id/Es8dfLq-OmVFgGLbtkwNjWwBNioRlUj8alJcOTHuYZs3jw?e=Fcpd2S</t>
  </si>
  <si>
    <t>ada area simpang sebidang yang belum bebas</t>
  </si>
  <si>
    <t>e39fa18a-2a49-4a4c-81a4-6463281b7a2d</t>
  </si>
  <si>
    <t>f34f656b-fe5b-4566-8a45-916b6435f6e0</t>
  </si>
  <si>
    <t>4c38e779-7f8e-4ff3-88fb-a155ed2db90d</t>
  </si>
  <si>
    <t>https://drive.google.com/file/d/1d2K3BnUaTqdYreDla7VKV61CrQco8AL4/view?usp=sharing</t>
  </si>
  <si>
    <t>https://drive.google.com/file/d/149vWGP6nzJzZLkwa4EmlqEJXBT3-JSQy/view?usp=sharing</t>
  </si>
  <si>
    <t>https://drive.google.com/file/d/144yjK4aRpj6RI4N06Kvivi5Lml5SicaW/view?usp=sharing</t>
  </si>
  <si>
    <t>https://drive.google.com/file/d/145Y5836xVYUVw0pOgeE9gcsz_i0CPF_2/view?usp=sharing</t>
  </si>
  <si>
    <t>tes</t>
  </si>
  <si>
    <t>d944318f-30bf-4903-9562-17b2ff0455fa</t>
  </si>
  <si>
    <t>https://os5.mycloud.com/action/share/d9b5dc8b-942b-4915-ae8f-99b905dd425b</t>
  </si>
  <si>
    <t>https://os5.mycloud.com/action/share/fa40728e-4e8e-4ff0-9c30-16944779c9e3</t>
  </si>
  <si>
    <t>https://os5.mycloud.com/action/share/7f1eb8a7-cb8b-40e9-a066-4cfd4161d33e</t>
  </si>
  <si>
    <t>https://os5.mycloud.com/action/share/1fe90bff-a8e3-4c0f-bf11-1c759e8f20cd</t>
  </si>
  <si>
    <t>d57b8483-9a7d-4caf-9562-26b74302df7a</t>
  </si>
  <si>
    <t>346868d6-2c54-4f06-9f87-054eb9ffe8e6</t>
  </si>
  <si>
    <t>9867568c-e006-4cc0-b7a9-a795dd369a7b</t>
  </si>
  <si>
    <t>nungki.herdiana@waskita.co.id</t>
  </si>
  <si>
    <t>https://ptwaskita-my.sharepoint.com/personal/fahmi_waskita_co_id/_layouts/15/onedrive.aspx?ga=1&amp;id=%2Fpersonal%2Ffahmi%5Fwaskita%5Fco%5Fid%2FDocuments%2FBIM%20%2D%20INFRA%202%2FProject%2FWKINF2%20%2D%20%20Jalan%20Tol%20Akses%20Patimban%20Paket%202%2F3%2E%20PUBLISHED</t>
  </si>
  <si>
    <t xml:space="preserve">Isu Produksi / Operasional
- Pembebasan lahan belum 100%&gt;Bersurat ke Owner terkait pembebasan lahan, Serah terima lahan secara parsial
- Jalan Akses melibatkan 3 pihak ( BBWS, PJT2 dan Pertagas) &gt; Proses izin Penggunaan Penggunaan jalan akses dan pengajuan SIMLOK pembangunan jembatan sementara, Percepatan pembangunan jembatan Pertagas,Mengoptimalkan jalan akses IN OUT Sta 23 dan 25,Perkuatan 2 jembatan yang dilalui sebagai jalan akses
Isu K3 dan Lingkungan
- Sosialisasi Warga Sekitar terkait akses &gt; Telah dilakukan sosialisasi dengan pemangku kepentingan desa, termasuk lahan yang belum bebas
- Buangan air dewatering dari lokasi galian, tidak boleh dibuang ke saluran tersier &gt; Membuat parit di samping lokasi galian dan dihubungkan ke saluran sekunder
Isu Finansial 
- Permintaan pembayaran vendor tempo 30 hari dan DP 10 %
- Pengaturan cashflow dan skala prioritas pembayaran
</t>
  </si>
  <si>
    <t>72b48056-6ab8-426b-a262-c2b58d9a1465</t>
  </si>
  <si>
    <t>https://ptwaskita-my.sharepoint.com/:v:/g/personal/andri_j_waskita_co_id/EQWhTNHVymRHhwsloBAo2s4Bj0EvBQqm3h-J9Ce_mnmbKQ?nav=eyJyZWZlcnJhbEluZm8iOnsicmVmZXJyYWxBcHAiOiJPbmVEcml2ZUZvckJ1c2luZXNzIiwicmVmZXJyYWxBcHBQbGF0Zm9ybSI6IldlYiIsInJlZmVycmFsTW9kZSI6InZpZXciLCJyZWZlcnJhbFZpZXciOiJNeUZpbGVzTGlua0NvcHkifX0&amp;e=KrEpb3</t>
  </si>
  <si>
    <t>https://ptwaskita-my.sharepoint.com/:f:/g/personal/andri_j_waskita_co_id/EjkPzNig_DlOh1BwVv-0Xg0B1tnpDxaJmWu4Ml_vvdGWfA?e=DWP9Os</t>
  </si>
  <si>
    <t>https://ptwaskita-my.sharepoint.com/:f:/g/personal/fahmi_waskita_co_id/EkooO8B9S7RDkcinstGlgEEBoCFWsnUB2it-bNZNpZ0Rhg?e=brWG7N</t>
  </si>
  <si>
    <t>d7d09176-aa90-4c34-b3de-d76e42313bae</t>
  </si>
  <si>
    <t>https://drive.google.com/file/d/14iyohEO57FPbSFh_qypLd6D0JRVG1rVC/view?usp=sharing</t>
  </si>
  <si>
    <t>https://drive.google.com/file/d/14YfEwHHS7_iAE8HnUv6IBS-qikEQmnWb/view?usp=sharing</t>
  </si>
  <si>
    <t>https://drive.google.com/file/d/14JzUwHb7ei5sR-BgXz8rKZPral4AD4bl/view?usp=sharing</t>
  </si>
  <si>
    <t>adanya mata air yang keluar pada timbunan akses sta 0+100 - 0+250 dengan timbunan lebih dari 20 meter. penanganan masih dalam tahap pembahasan</t>
  </si>
  <si>
    <t>8f50c8a3-373c-4cd8-8622-5fd577796355</t>
  </si>
  <si>
    <t>Bayu</t>
  </si>
  <si>
    <t>https://drive.google.com/file/d/143WVBqbWzbXyz1WiprhwxdHcXJ2J-_lj/view?usp=sharing</t>
  </si>
  <si>
    <t>bb0ebd8a-52d0-437a-a1f5-65e9619ac970</t>
  </si>
  <si>
    <t>imam.islami@waskita.co.id</t>
  </si>
  <si>
    <t>Imam Islami Domel</t>
  </si>
  <si>
    <t>https://drive.google.com/file/d/1GUuxhuCJ_wO0rI8w0Kg5lfOlZOe6dzVA/view?usp=drive_link</t>
  </si>
  <si>
    <t>https://drive.google.com/drive/folders/17sZzw0QUwQtFRq40dMXrUK6-EuwwQqvm?usp=drive_link</t>
  </si>
  <si>
    <t>https://drive.google.com/drive/folders/1v9DZkPgs5PgDUVl9XlwjY6evxMe87vAm?usp=drive_link</t>
  </si>
  <si>
    <t>901fafbb-29c7-44a0-920f-377fd2ba8dd1</t>
  </si>
  <si>
    <t>fajar.sodiq@waskita.co.id</t>
  </si>
  <si>
    <t>https://youtu.be/fn9lV-kZxxg</t>
  </si>
  <si>
    <t>https://ptwaskita-my.sharepoint.com/:f:/g/personal/fahmi_waskita_co_id/EqSZItR777tMgaBCR0jwokoBpdjUZmsxgRdwDjTwniusxQ?e=XlZ0qz</t>
  </si>
  <si>
    <t>https://ptwaskita-my.sharepoint.com/:f:/g/personal/fahmi_waskita_co_id/EgZsM6ir3npNnS6XnVCj6YoBKiv1I8aDR2DPycL523H45A?e=1CgOUF</t>
  </si>
  <si>
    <t xml:space="preserve">Desain :
Tempat Istirahat (Rest Area) , Desain belum ada dari owner.
Beton Struktur (Kelas C dan Kelas E) , Justifikasi teknis belum ditindak lanjuti oleh JPB.
Baja Tulangan Sirip BjTS 520 , Justifikasi teknis belum ditindak lanjuti oleh JPB dan Supply vendor terkendala pembayaran.
Lapangan : 
Beton Struktur (Kelas C dan Kelas E) , Supply vendor terkendala pembayaran.
Borepile Dia 120 cm , Supply vendor terkendala pembayaran.
</t>
  </si>
  <si>
    <t>4f948728-ef8c-46dd-b6e8-28aa778a31ec</t>
  </si>
  <si>
    <t>https://drive.google.com/file/d/1goZ3hl7pVhZFR2cN78MzFyw71g0h8ewp/view?usp=sharing</t>
  </si>
  <si>
    <t>https://drive.google.com/drive/folders/173bg7dBQS_gXC0xKlrqw5PARDGbTLOjt?usp=sharing</t>
  </si>
  <si>
    <t>https://drive.google.com/drive/folders/1Ial3lhx6ZevKjsP7tQbrL2yTkrQ_8_6a?usp=sharing</t>
  </si>
  <si>
    <t>https://drive.google.com/drive/folders/1a_uGpMc-k7DDIipd0jXvgSHzsC1sSW7f?usp=drive_link</t>
  </si>
  <si>
    <t>JU CIBODAS:
- Terdapat Rumah (diluar ROW) Yang berada 6m dari tepi pilecap
- BOF P2 berada -18.8m dari tanah existing pada CL</t>
  </si>
  <si>
    <t>01f8610a-a68a-4476-bf76-0225724cc60f</t>
  </si>
  <si>
    <t>alfian.budi@waskita.co.id</t>
  </si>
  <si>
    <t>https://ptwaskita-my.sharepoint.com/:f:/g/personal/kretek_girijati_waskita_co_id/EimCVe70WYBCkEwrdxBk11YBl1eJptNB-gXZ7DbVhC8DzQ?e=eJScjE</t>
  </si>
  <si>
    <t>https://ptwaskita-my.sharepoint.com/:f:/g/personal/fahmi_waskita_co_id/Eg50-hUJ8VFGnVnT-Yo_YQcBaA6jEnlQwqgd5PLobxYH3Q?e=kZTm9M</t>
  </si>
  <si>
    <t>Justifikasi teknis belum selesai, sehingga banyak desain gambar yang terkendala</t>
  </si>
  <si>
    <t>855594bf-43fe-49fa-89f5-449a17d8372a</t>
  </si>
  <si>
    <t>fian.aziz@waskita.co.id</t>
  </si>
  <si>
    <t>Muhammad Fian Al-Aziz</t>
  </si>
  <si>
    <t>https://toa-const3.box.com/s/ywduvv2p9dc5jp1s82n2335atdsmxd7x</t>
  </si>
  <si>
    <t>https://toa-const3.box.com/s/uktowhnvviewbbqlgrii273g00fxiqan</t>
  </si>
  <si>
    <t>88a74657-5c71-4ed1-8d31-21470d1d0dae</t>
  </si>
  <si>
    <t>https://os5.mycloud.com/action/share/038a5e71-a8cc-4043-96f9-6e2dfabfb9ad</t>
  </si>
  <si>
    <t>https://os5.mycloud.com/action/share/fdb6ab0b-333f-4618-8059-cb7613714540</t>
  </si>
  <si>
    <t>https://os5.mycloud.com/action/share/f095092a-e534-4306-a3bd-2c8a8993bef7</t>
  </si>
  <si>
    <t>https://os5.mycloud.com/action/share/923be38d-231a-4e83-a17b-ba6fde1a5083</t>
  </si>
  <si>
    <t>Mandor dan beton terkendala karena belum terealisasi pembayaran</t>
  </si>
  <si>
    <t>b38bcbf5-3313-4bc8-866a-aee9a27c2834</t>
  </si>
  <si>
    <t>https://drive.google.com/file/d/1EeJ_CrU1YPIOs_BlQG-ZueBzQMlalbV5/view</t>
  </si>
  <si>
    <t>https://drive.google.com/drive/folders/1ocVGxw1ll18ybSxxBQY-nUxj_dMmF0Th</t>
  </si>
  <si>
    <t>https://drive.google.com/drive/folders/1A7pyHlmQPGwO_kyr00Ck_iSr2BfKeyLN</t>
  </si>
  <si>
    <t>350d0fea-4396-42b6-8601-76e0de19750d</t>
  </si>
  <si>
    <t>rezky.yudhaseno@waskita.co.id</t>
  </si>
  <si>
    <t>Jalan Tol IKN Seksi 3B-2</t>
  </si>
  <si>
    <t>https://drive.google.com/file/d/1T6JGGGBN0cJitwTTnvWWI7qfsod-NA5w/view?usp=drivesdk</t>
  </si>
  <si>
    <t>https://drive.google.com/drive/folders/1YVDFRnfIFyFCGb3TNAao1I35f0XedSLr</t>
  </si>
  <si>
    <t>https://drive.google.com/drive/folders/1J2HBSVlOrSI6Si8PC0TYR78-ND0xq5dE?usp=drive_link</t>
  </si>
  <si>
    <t xml:space="preserve">1. Review Desain Struktur Atas Jembatan Satwa
2. Review Desain Overpass Jembatan Rangka Baja
3. Terdapat clash antara rencana bokong semar 3B1 dengan lokasi abutmen 3B2 Ramp 1, Ramp 2, Ramp 3 dan Ramp 4
4. Sering terjadinya hujan di lokasi pekerjaan yang mengakibatkan kendala pada mobilisasi beton
melalui jalan akses (mobilisasi dilakukan setelah jalan akses kering atau di-scrap)
</t>
  </si>
  <si>
    <t>19c31e63-9e6c-4534-92a7-44a2113b15a2</t>
  </si>
  <si>
    <t>arif.setiawan@waskita.co.id</t>
  </si>
  <si>
    <t>https://ptwaskita-my.sharepoint.com/personal/fahmi_waskita_co_id/_layouts/15/stream.aspx?id=%2Fpersonal%2Ffahmi%5Fwaskita%5Fco%5Fid%2FDocuments%2FBIM%20%2D%20INFRA%202%2FProject%2FWKINF2%20%2D%20Pematangan%20Lahan%20KITB%20Batang%2F1%2E%20WIP%2FReality%20Modeling%2F202405%20%2D%20Mei%2024%2FDokumentasi%2FVideo%2FPematangan%20Lahan%20KITB%20%2D%20Drone%20M%2D29%2024%20Mei%202024%2ERakor%2Emp4&amp;nav=eyJyZWZlcnJhbEluZm8iOnsicmVmZXJyYWxBcHAiOiJTdHJlYW1XZWJBcHAiLCJyZWZlcnJhbFZpZXciOiJTaGFyZURpYWxvZy1MaW5rIiwicmVmZXJyYWxBcHBQbGF0Zm9ybSI6IldlYiIsInJlZmVycmFsTW9kZSI6InZpZXcifX0&amp;ga=1&amp;referrer=StreamWebApp%2EWeb&amp;referrerScenario=AddressBarCopied%2Eview%2Eff31a2e6%2D8d1d%2D4ee6%2D961d%2Dea5dfebf7a40</t>
  </si>
  <si>
    <t>https://ptwaskita-my.sharepoint.com/personal/fahmi_waskita_co_id/_layouts/15/onedrive.aspx?id=%2Fpersonal%2Ffahmi%5Fwaskita%5Fco%5Fid%2FDocuments%2FBIM%20%2D%20INFRA%202%2FProject%2FWKINF2%20%2D%20Pematangan%20Lahan%20KITB%20Batang%2F1%2E%20WIP%2FReality%20Modeling&amp;ct=1704506828504&amp;or=OWA%2DNT&amp;cid=56b8252b%2De747%2Dd15e%2D09a0%2D40f0a34bc693&amp;fromShare=true&amp;ga=1&amp;WSL=1</t>
  </si>
  <si>
    <t>https://ptwaskita-my.sharepoint.com/personal/fahmi_waskita_co_id/_layouts/15/onedrive.aspx?id=%2Fpersonal%2Ffahmi%5Fwaskita%5Fco%5Fid%2FDocuments%2FBIM%20%2D%20INFRA%202%2FProject%2FWKINF2%20%2D%20Pematangan%20Lahan%20KITB%20Batang%2F1%2E%20WIP%2FReality%20Modeling%2F202405%20%2D%20Mei%2024%2FDokumentasi%2FFotogrametri&amp;ga=1</t>
  </si>
  <si>
    <t>- Masih terdapat area lapangan yang belum dapat dilakukan pematangan lahan pada kavling E-10
- Masih terdapat Area pohon karet PTPN yang belum ditebang</t>
  </si>
  <si>
    <t>4b0f9371-740b-4004-ab72-1df92b0db60e</t>
  </si>
  <si>
    <t>lot2blitar@waskita.co.id</t>
  </si>
  <si>
    <t>https://drive.google.com/file/d/1aoT8mN3sFNUQ-XKhs-QZ5eVpAo6tNVO_/view?usp=drive_link</t>
  </si>
  <si>
    <t>https://ptwaskita-my.sharepoint.com/:f:/g/personal/lot2blitar_waskita_co_id/EnSNXc2orwxCpAf-luiED08BDWdKc5xK8JJCqAHDbc7LGA?e=4cZ78Y</t>
  </si>
  <si>
    <t>https://ptwaskita-my.sharepoint.com/:f:/g/personal/lot2blitar_waskita_co_id/Els-WljjQdxKkgzYvG8CDMAB1gglocic3Qm91_tYMWxZqA?e=OE8vUp</t>
  </si>
  <si>
    <t>https://ptwaskita-my.sharepoint.com/:f:/g/personal/lot2blitar_waskita_co_id/EkGQJgfBn01Ltr6dXSWGbOcBaXL6rKsc8BzROZFIrIOABQ?e=j8rXRY</t>
  </si>
  <si>
    <t>Pembebasan lahan terkait proses pemotongan pohon jati, Pemindahan utilitas PLN, DIPA tahun 2024 tersisa 7,6 milyar</t>
  </si>
  <si>
    <t>c83ab0a5-adbe-4c15-b50f-fc8372ad3db4</t>
  </si>
  <si>
    <t>https://drive.google.com/file/d/1_ag_E_ivTVWcG-asy0ShEAOHkR02H8MD/view?usp=sharing</t>
  </si>
  <si>
    <t>1942605f-9916-4e02-8f9b-628afb12bbc1</t>
  </si>
  <si>
    <t>https://drive.google.com/file/d/1wuFlc0uaW5j4nmzbo64m92XWDMCg8sD6/view?usp=sharing</t>
  </si>
  <si>
    <t>Penyelesaian Defect Temuan PHO dan ULF</t>
  </si>
  <si>
    <t>bbe3e87f-bd1b-4456-9a69-881ff83ae61f</t>
  </si>
  <si>
    <t xml:space="preserve">Operasional &amp; Teknis :
- Pembebasan Lahan &gt; Progress pembebasan lahan 84.5 %, update progress pembebasan lahan ke owner dan bersurat ke owner (Target pembebasan lahan 100% di bulan Juli 2024)
Isu Kontraktual dan legal :
- Administrasi Approval Dokumen memakan waktu lama &gt; Proses approval dokumen memakan waktu yang cukup lama (dari konsultan/engineer) membutuhkan waktu kurang lebih 21 hari untuk proses approval
Isu K3 dan Lingkungan :
- Sosialisasi Warga sekita &gt; Telah dilakukan sosialisasi dengan pemangku kepentingan desa, termasuk lahan yang belum bebas
- Buangan air dewatering dari lokasi galian, tidak boleh dibuang ke saluran tersier &gt; Membuat parit di samping lokasi galian dan dihubungkan ke saluran sekunder
Isu Finansial :
- Permintaan pembayaran vendor tempo 30 hari dan DP 10% &gt; Pengaturan cashflow dan skala prioritas pembayaran
</t>
  </si>
  <si>
    <t>08f560f5-3e2c-4ecd-b5af-b359eb10d2c3</t>
  </si>
  <si>
    <t>https://drive.google.com/file/d/1bVT5m7wDKeUOZ2qPtGhVsbTavzJpP4CA/view?usp=sharing</t>
  </si>
  <si>
    <t>https://ptwaskita-my.sharepoint.com/:f:/g/personal/basuki_rahmat_waskita_co_id/Em8K2CWgASxIkOF_-kVZEQQB88ghsThWMT3RVwirGyWGSA?e=TbIQNS</t>
  </si>
  <si>
    <t>d172d3c0-003d-4384-bab2-5b75ffee205c</t>
  </si>
  <si>
    <t>https://ptwaskita-my.sharepoint.com/:v:/g/personal/andri_j_waskita_co_id/ERof4h9vT8VNlragtj8ffBIB6CR6hPtEG3M7k50qJ_5aAw?nav=eyJyZWZlcnJhbEluZm8iOnsicmVmZXJyYWxBcHAiOiJPbmVEcml2ZUZvckJ1c2luZXNzIiwicmVmZXJyYWxBcHBQbGF0Zm9ybSI6IldlYiIsInJlZmVycmFsTW9kZSI6InZpZXciLCJyZWZlcnJhbFZpZXciOiJNeUZpbGVzTGlua0NvcHkifX0&amp;e=0AlRKn</t>
  </si>
  <si>
    <t>https://ptwaskita-my.sharepoint.com/:f:/g/personal/andri_j_waskita_co_id/EtKlh37p4w9NkmFQW3mZRrgBoLk51u0kF3poF-t6cvwy5A?e=dQ3wL1</t>
  </si>
  <si>
    <t>https://ptwaskita-my.sharepoint.com/:f:/g/personal/fahmi_waskita_co_id/EkuP7Im0PRtDoA-fkYqTzu0BtU-_dX2bYQokD9aWWU1Tcg?e=0sKJsu</t>
  </si>
  <si>
    <t>ea54793e-b679-4efe-97e9-3bf56b42c179</t>
  </si>
  <si>
    <t>msaifudin.ashari@waskita.co.id</t>
  </si>
  <si>
    <t>https://drive.google.com/file/d/1DXDVn57t2adK_y-3rjLmuTX5KiViNynV/view?usp=sharing</t>
  </si>
  <si>
    <t>https://drive.google.com/drive/folders/1vwybSH7S2fP8d6y0GafOVrhRrrjFlr1Y?usp=drive_link</t>
  </si>
  <si>
    <t>https://drive.google.com/drive/folders/1uZY9RrKwfF7NdESkOr_tiEFz-0UiuMh-?usp=drive_link</t>
  </si>
  <si>
    <t>https://drive.google.com/drive/folders/1LmKaIxCD-9_1CWNUUjDXXnkKN3yO2IrY?usp=drive_link</t>
  </si>
  <si>
    <t>1. Pembebasan lahan 88,35 %
2. Review Desain di beberapa lokasi struktur</t>
  </si>
  <si>
    <t>d97335cd-7307-4db2-be0c-c423ba34b5f5</t>
  </si>
  <si>
    <t>https://drive.google.com/file/d/1-AtEyyv3ErNLV2EXBYelxszdy5y0PnaT/view?usp=sharing</t>
  </si>
  <si>
    <t>https://drive.google.com/file/d/1-BsJrhfiwsfZDiXIip0eDIdjF4OwxRlw/view?usp=sharing</t>
  </si>
  <si>
    <t>https://drive.google.com/file/d/1AhQ4ldK77_hkXujTm4c38nwl7Wz8ce1o/view?usp=sharing</t>
  </si>
  <si>
    <t>https://drive.google.com/file/d/1Arfn0gQ7UYYWK9xBsYW8CrZEEBl4qfS6/view?usp=sharing</t>
  </si>
  <si>
    <t>terdapat retak pada timbunan tinggi di sta 0+100 - 0+225</t>
  </si>
  <si>
    <t>445e2645-cd3a-4861-bd21-63d962733372</t>
  </si>
  <si>
    <t>https://ptwaskita-my.sharepoint.com/:f:/g/personal/kretek_girijati_waskita_co_id/EgcUc3t1gahAtCkDRnMXACIBIi0j7v9kbJPU4Hc-O8gmhg?e=uMNOGf</t>
  </si>
  <si>
    <t>https://ptwaskita-my.sharepoint.com/:f:/g/personal/kretek_girijati_waskita_co_id/EqtDA8xlWz5FqEb5A2uFB2gBa8RhR6TEpZJ3vFT92_4RRA?e=oPXTS2</t>
  </si>
  <si>
    <t>1. Proses review desain masih berjalan
2. Proses addendum 3 masih berjalan</t>
  </si>
  <si>
    <t>ad249e52-8aff-4923-ab9b-493db844fb9f</t>
  </si>
  <si>
    <t>https://os5.mycloud.com/action/share/285a78c9-86d8-44d1-9c27-5af28c649726</t>
  </si>
  <si>
    <t>https://os5.mycloud.com/action/share/1b9933cd-0780-469c-b418-7ea70f6ae573</t>
  </si>
  <si>
    <t>https://os5.mycloud.com/action/share/49414296-def4-4b12-a534-49f642dc80d7</t>
  </si>
  <si>
    <t>https://os5.mycloud.com/action/share/10673f12-5f66-46d4-b49a-57919272226a</t>
  </si>
  <si>
    <t>Keterlambatan kedatangan material impor strand 28.6</t>
  </si>
  <si>
    <t>819ea689-23da-446d-8ed6-491b0336c10c</t>
  </si>
  <si>
    <t>https://drive.google.com/file/d/1QaTTFMMJ0nf6bXBHTasQV_TrZFbCOWq6/view?usp=sharing</t>
  </si>
  <si>
    <t>https://drive.google.com/drive/folders/1ema98ASjb4HZIxI_R_LfPASGJlKXyBQC?usp=drive_link</t>
  </si>
  <si>
    <t>https://drive.google.com/drive/folders/1J2HBSVlOrSI6Si8PC0TYR78-ND0xq5dE</t>
  </si>
  <si>
    <t xml:space="preserve">1. Terdapat permasalahan lahan yang belum bebas pada lokasi pekerjaan interchange, khusunya pada lokasi Ramp Akses dan Ramp 3
2. Terdapat perubahan desain pada lokasi Sta 6 dari borepile menjadi spunpile
3. Review Desain Struktur Atas Jembatan Satwa dan Review Desain Overpass Jembatan Rangka Baja
4. Terdapat clash antara rencana bokong semar 3B1 dengan lokasi abutmen 3B2 Ramp 1, Ramp 2, Ramp 3 dan Ramp 4
5. Sering terjadinya hujan di lokasi pekerjaan yang mengakibatkan kendala pada mobilisasi beton melalui jalan akses (mobilisasi dilakukan setelah jalan akses kering atau di-scrap)
</t>
  </si>
  <si>
    <t>008f92a8-324b-4c63-b454-a091ef0d55fe</t>
  </si>
  <si>
    <t>Dhani.ramdhani@Waskita.co.id</t>
  </si>
  <si>
    <t>Jalan Akses Bandara VVIP IKN (JOI 35%)</t>
  </si>
  <si>
    <t>https://ptwaskita-my.sharepoint.com/:f:/g/personal/dhani_ramdhani_waskita_co_id/ErAViWo9vLNHj5YriZZI964BWyCePV4fUt5wYcIiy0sBww?e=KOM1ib</t>
  </si>
  <si>
    <t>https://ptwaskita-my.sharepoint.com/:f:/g/personal/dhani_ramdhani_waskita_co_id/EugsfvobT2BDk8pDScyAbAcBcvoczGo68eAqr7MKRNfxmw?e=8BZmO1</t>
  </si>
  <si>
    <t>https://ptwaskita-my.sharepoint.com/:f:/g/personal/dhani_ramdhani_waskita_co_id/Ej0actI5_GBOu2OutoBcdlMBG3oguiX2CHboU-dPqCNSKg?e=UCEIhD</t>
  </si>
  <si>
    <t>Desain Gate Tol Belum Ada - Tindak lanjut Berkoordinasi
Dengan P2JN - PIC KSO, P2JN</t>
  </si>
  <si>
    <t>b89b19d8-969b-4ca2-b8c6-7c1fe50d6fad</t>
  </si>
  <si>
    <t>https://drive.google.com/file/d/1JkeaDWXgSPrSApi_2sxLYm4Ykxz9XhPg/view?usp=drive_link</t>
  </si>
  <si>
    <t>https://drive.google.com/drive/folders/1PR_nFpai9UrS6KY8az13x7shQRsln6_K?usp=drive_link</t>
  </si>
  <si>
    <t>https://ptwaskita-my.sharepoint.com/:f:/g/personal/fahmi_waskita_co_id/EuM2_iVbB-JElqJypNQ_stoBpNLbhfaQ_ZbrEvzyuMVtDQ?e=DRIhDs</t>
  </si>
  <si>
    <t>1. Kepastian Pelaksanaan Retaining Wall Sta 26+700
2. Pembebasan Lahan
3. Review Desain JU Cibodas
4. Review Desain JU Cisarua
5. Review Desain JU Campedak</t>
  </si>
  <si>
    <t>7c74ee25-0c94-4a29-92e1-87fb5a3c031f</t>
  </si>
  <si>
    <t>19d4f08c-05c0-4351-8ff5-b2454a841a29</t>
  </si>
  <si>
    <t>https://1drv.ms/f/s!AoHR8xIL4xo9nhaimUYw93fGv9Oa?e=buVJLy</t>
  </si>
  <si>
    <t>https://1drv.ms/f/s!AoHR8xIL4xo9nhATgjHkfswf7dGL?e=ZVfCxZ</t>
  </si>
  <si>
    <t>0f209830-04d0-4815-a565-9eae446fbe7b</t>
  </si>
  <si>
    <t>https://ptwaskita-my.sharepoint.com/:v:/g/personal/dhani_ramdhani_waskita_co_id/EfsghLqMCsdMl6astdLleqAB1uBO_ge16X6FwrGguJyEvA?nav=eyJyZWZlcnJhbEluZm8iOnsicmVmZXJyYWxBcHAiOiJPbmVEcml2ZUZvckJ1c2luZXNzIiwicmVmZXJyYWxBcHBQbGF0Zm9ybSI6IldlYiIsInJlZmVycmFsTW9kZSI6InZpZXciLCJyZWZlcnJhbFZpZXciOiJNeUZpbGVzTGlua0NvcHkifX0&amp;e=bXnKRK</t>
  </si>
  <si>
    <t>https://ptwaskita-my.sharepoint.com/:f:/g/personal/dhani_ramdhani_waskita_co_id/EpLlm0r6r4lCinVy28RYsFsBvp76fGGkO5Bc3o0OLrI_Zg?e=DiZHJd</t>
  </si>
  <si>
    <t>https://ptwaskita-my.sharepoint.com/:i:/g/personal/dhani_ramdhani_waskita_co_id/EfxhJBonqjpEuSIXWtkOyB0Bik9tmQvRttb8y_fnKQZ_BQ?e=yBgrPm</t>
  </si>
  <si>
    <t>https://ptwaskita-my.sharepoint.com/:u:/g/personal/dhani_ramdhani_waskita_co_id/EfyIn5-GF-9CnRu2WkxuNukBVlWfP43VPodnY3t4cGyFUw?e=ewStVW</t>
  </si>
  <si>
    <t>1cc261f7-e883-4f28-8c1c-e28a12a2d4e6</t>
  </si>
  <si>
    <t>https://ptwaskita-my.sharepoint.com/:v:/g/personal/andri_j_waskita_co_id/Ee6HJ5t-_HBOkD11f3yWwzMBTBZ_FSQb8PSXW5tPtgIvbQ?nav=eyJyZWZlcnJhbEluZm8iOnsicmVmZXJyYWxBcHAiOiJPbmVEcml2ZUZvckJ1c2luZXNzIiwicmVmZXJyYWxBcHBQbGF0Zm9ybSI6IldlYiIsInJlZmVycmFsTW9kZSI6InZpZXciLCJyZWZlcnJhbFZpZXciOiJNeUZpbGVzTGlua0NvcHkifX0&amp;e=PhPrwb</t>
  </si>
  <si>
    <t>https://ptwaskita-my.sharepoint.com/:f:/g/personal/andri_j_waskita_co_id/EqNZsZFwaSVIvhei0YrfpNwBGojHSsuN3jitJJ0VLOq1gA?e=aPXz83</t>
  </si>
  <si>
    <t>https://ptwaskita-my.sharepoint.com/:f:/g/personal/fahmi_waskita_co_id/EmxkeH8fzp5PtJJlMRnZKJEB0ydFy9NEDAwNpTl_0n0eTg?e=3n4gna</t>
  </si>
  <si>
    <t>37306262-273a-47e6-8e44-af6c31e8e4f5</t>
  </si>
  <si>
    <t>https://os5.mycloud.com/action/share/6dc9fa29-e8a3-4603-8e75-b61d5ca68598</t>
  </si>
  <si>
    <t>https://os5.mycloud.com/action/share/25249297-333c-4c2e-838f-feb00b35937d</t>
  </si>
  <si>
    <t xml:space="preserve">Kontrak lahan untuk batching plant WBP yang akan habis, masih dinegosiasikan. </t>
  </si>
  <si>
    <t>70e51699-47fc-4f66-a696-6abe26784a01</t>
  </si>
  <si>
    <t>https://drive.google.com/file/d/1kJ0L-3ZIwPCEikOcsvw7yzHpLjXQVn1K/view?usp=sharing</t>
  </si>
  <si>
    <t>Finishing Sisa Pekerjaan dan Perawatan Jalan Tol</t>
  </si>
  <si>
    <t>a3a99e53-42ed-40ab-885c-47a95aeae426</t>
  </si>
  <si>
    <t>terdapat sumber air di timbunan tinggi sta 0+100 - 0+225. mengakibatkan telatnya waktu konstruksi. sekarang dalam proses penanganan</t>
  </si>
  <si>
    <t>28e3b9c0-fa08-41ce-9422-dc5bd70a11f8</t>
  </si>
  <si>
    <t>https://os5.mycloud.com/action/share/edb4f21e-4182-4b20-aec0-96deb3f17c08</t>
  </si>
  <si>
    <t>6822f4f3-8e2b-48d3-99f3-c04aa0a7d0d1</t>
  </si>
  <si>
    <t>https://ptwaskita-my.sharepoint.com/:f:/g/personal/kretek_girijati_waskita_co_id/ElEauK7i_idKmlGajo6VX5QBFCCfGZjgzOJ7R6HCVz9Gxg?e=wUcjsS</t>
  </si>
  <si>
    <t>https://ptwaskita-my.sharepoint.com/:f:/g/personal/kretek_girijati_waskita_co_id/EhtNpQVRG01Or54Rsv5nNB0BGynriS0inVmTRdwbY9w1sw?e=yWHemm</t>
  </si>
  <si>
    <t>https://ptwaskita-my.sharepoint.com/:f:/g/personal/kretek_girijati_waskita_co_id/EqgYa5zBUu5CvCETGG0fD-4Ba-g-gU77-TyMYjw3zaU37g?e=a5iUfH</t>
  </si>
  <si>
    <t>1. Justifikasi Teknis masih dalam proses persetujuan owner
2. Addendum 3 masih dalam proses</t>
  </si>
  <si>
    <t>cca9e674-6909-456f-a210-0949ad45bd8c</t>
  </si>
  <si>
    <t>olhika.adzalia@waskita.co.id</t>
  </si>
  <si>
    <t>Olhika Adzalia</t>
  </si>
  <si>
    <t>https://drive.google.com/file/d/1pmGUjvStVtcYY7S19Q7XJ0KrV4Y3KEyq/view?usp=drive_link</t>
  </si>
  <si>
    <t>https://drive.google.com/file/d/1zb5V3VBPGuOTfp_cuoY_AIeFM1xVz6kj/view?usp=drive_link</t>
  </si>
  <si>
    <t>1f1e26fb-29d5-4759-bdcd-79dd452fad9b</t>
  </si>
  <si>
    <t>https://youtu.be/65ZFLITWnV4</t>
  </si>
  <si>
    <t>Pekerjaan Struktur​ (Issues)
Target Beton Ready mix Bulan Juli 5.113 m3, Per tanggal 8 Juli 2024, WBP mengalami kendala stock semen sehingga WBP tidak ada produksi beton​
Kebutuhan Besi Juli 2024 : 352 Ton​
Borepile Jembatan Paiton = 114 Titik / 130 Titik​
Borepile Jembatan Langsep = 59 Titik / 136 Titik​
Pekerjaan Struktur​ (Next Step)
Percepatan Finalisasi Desain Struktur yang terdampak oleh Timbunan Tinggi,​
Penambahan Tenaga Kerja Mandor​
Percepatan Pembayaran Supplier Besi untuk mendukung kontinuitas Pekerjaan Struktur​
Koordinasi dengan WBP terkait Stock Material Beton
Pekerjaan Perkerasan​ (Issues)
Saat ini lahan sudah tersedia untuk pekerjaan perkerasan sepanjang 2,0 Km, sehingga pekerjaan diatasnya seperti Caping Layer, Drainage Layer dan LC sudah bisa dilaksanakan.​
Pekerjaan Perkerasan​ (Next Step)
Percepatan Administrasi Pengadaan untuk Pekerjaan Caping Layer &amp; Drainage Layer.​
        Proses Pekerjaan dilapangan
Legal &amp; Administrasi​  (Issues)
EOT = Rencana Penambahan Waktu Pelaksanaan Kontrak s.d Juli 2025 akibat Desain Rest Area, Kekurangan Lahan ROW &amp; Lahan Belum Bebas.​
Legal &amp; Administrasi​ (Next Step)
Koordinasi dengan KSO terkait Rencana Penambahan Waktu, dan Proses Penyiapan Adminitrasi Pendukung Penambahan Waktu Pelaksanaan</t>
  </si>
  <si>
    <t>77eca91f-a17b-4d91-9212-dc59edc03344</t>
  </si>
  <si>
    <t>https://drive.google.com/file/d/14vZPN9dxx3Jx-dU7BS34DAmOwvIEEPKz/view?usp=drivesdk</t>
  </si>
  <si>
    <t>https://drive.google.com/drive/folders/174dH9LHc4nrsoZ8Bb2U7l9CQFnXG2Z2G?usp=drive_link</t>
  </si>
  <si>
    <t>https://ptwaskita-my.sharepoint.com/:u:/g/personal/rezky_yudhaseno_waskita_co_id/EZxa1JNdWftAkUbgzSiiRF8BVqpUKTf3cOxK-B3Z_hWdcA?e=M4RsMD</t>
  </si>
  <si>
    <t>- Terdapat permasalahan lahan yang belum bebas pada lokasi pekerjaan interchange, khusunya pada lokasi Ramp Akses dan Ramp 3
- Terdapat perubahan desain pada lokasi Sta 6
- Review Desain Struktur Atas Jembatan Satwa dan Review Desain Overpass Jembatan Rangka Baja
- Terdapat clash antara rencana bokong semar 3B1 dengan lokasi abutmen 3B2 Ramp 1, Ramp 2, Ramp 3 dan Ramp 4
- Sering terjadinya hujan di lokasi pekerjaan yang mengakibatkan kendala pada mobilisasi beton melalui jalan akses (mobilisasi dilakukan setelah jalan akses kering atau di-scrap)</t>
  </si>
  <si>
    <t>1ff2983b-97cb-46ab-95b9-a8d52199c711</t>
  </si>
  <si>
    <t>https://os5.mycloud.com/action/share/2c6746d4-7593-40a2-8e17-9e9a20a70a79</t>
  </si>
  <si>
    <t>283fe9fd-218e-4140-8b0b-da66d257fb9b</t>
  </si>
  <si>
    <t>ajik.prastiyo@waskita.co.id</t>
  </si>
  <si>
    <t>https://youtu.be/vCu9T8g0pHY</t>
  </si>
  <si>
    <t>1. Design Rest Area 
Saat ini Rest Area sudah dapat dilaksanakan pekerjaan sebatas pematangan lahan, desain Bangunan saat ini belum final dan diterima.
Item Pembayaran Rest Area dilakukan secara menyeluruh sehingga berpotensi tidak dapat ditagihkan termin (Bisa dimasukkan dalam progress tetapi tidak dapat ditagihkan).
Tindak Lanjut : Berkoordinasi dengan Owner terkait percepatan finalisasi desain Bangunan Rest Area,Berkoordinasi dengan JPB dan Konsultan agar bisa ditagihkan untuk Termin.
2. Pekerjaan Tanah
Dukungan Percepatan  Administras Tagihan Vendor Agar kontinuitas pekerjaan dapat terjaga.
Koordinasi WBS Blasting untuk PO Kontrak PMX dan BKM STA 43+000 – 44+500
3. Pekerjaan Struktur
Percepatan Gambar Saluran Transisi BC &amp; Rest Area untuk BU 33+508, Percepatan Pemindahan Utilitas pada BU &amp; BC, Percepatan Setting Alat Pancang SSP, Percepatan Pengadaan Besi Beton.
4. Pekerjaan Perkerasan
Saat ini total sudah 2,0 Km lahan siap untuk pekerjaan perkerasan,
Tindak Lanjut : 
TSG Batu = Penambahan Produksi CBM diatas Batu untuk percepatan CL, DL, &amp; LC.
Drainage Layer : Koordinasi dengan subkon terkait penambahan produksi DL.
Lean Concrete : Koordinasi dengan WBP terkait pemenuhan stock material untuk mendukung pengecoran baik LC maupun Struktur.</t>
  </si>
  <si>
    <t>f30a1194-4c38-4e01-abfc-053dbb3843a6</t>
  </si>
  <si>
    <t>https://drive.google.com/file/d/1KJuFk9aNZQ_5KhpbEg-L3VllAjhjBfew/view?usp=sharing</t>
  </si>
  <si>
    <t>https://drive.google.com/drive/folders/1OkaP8ovN9ocIQQfMVEeqzEYqWuI8zbpd?usp=drive_link</t>
  </si>
  <si>
    <t>https://drive.google.com/drive/folders/1vXYNl-Md9PT-bszVOiDh64gaJAADV4og?usp=drive_link</t>
  </si>
  <si>
    <t>https://drive.google.com/drive/folders/163OgqaBAspFYyq8UdySzl6ng84oqk1FY?usp=drive_link</t>
  </si>
  <si>
    <t>- Kepastian Desain Retaining Wall Sta 26+700
- Review Desain Jembatan Cisarua - Campedak</t>
  </si>
  <si>
    <t>1aa5e6e8-5fea-43c9-af17-615a603aed6c</t>
  </si>
  <si>
    <t>Isu Produksi /Operasional :
- Pembebasan lahan belum 100% &gt;&gt; Bersurat secara berkala, serah terima lahan secara parsial, mengirimkan notifikasi dan update program ke owner
- Jalan Akses melibatkan 3 pihal (BBWS, PJT2 dan Pertagas) &gt;&gt; Pemeliharaan dan perbaikan jalan warga yang digunakan sebagai jalan akses
- Supply Ready Mix membutuhkan Bathcing Plab Dedicated &gt;&gt; Saat ini telah berkontrak dengan Adhimix RMC dan Witon namu Bathing Plan masih diluar proyek , Opsi penambahan vendor/mendirikan batching plant dedicated
Isu Kontraktual dan Legar
- Administrasi Approval dokumen memakan waktu lama &gt;&gt; Proses approval dokumen memakan waktu yang cukup lama (dari konsultan / coreteam) membutuhkan waktu kurang lebih 14 hari untuk proses approval. Koordinas terus dilakukan dengan pihak terkait.
- Addendum &gt;&gt; Proses pengajuan Addendum 2 terkait perubahan kuasa KSO, Addendum 3 terkait MC-0 dan VO
Isu K3 dan lingkungan :
- Pengetesan kondisi lingkungan secara berkala &gt;&gt; Dilakukan pengetesan kondisi lingkungan secara berkala 
- Perlu penambahan water tank untuk mengurangi debu di jalan akses warga yang melintasi kendaraan proyek
Isu Finansial 
- IPC &gt;&gt;Pengajuan IPC 5 dan 6 telah dilakukan, diharapkan Agustus 2024 cash in bertambah
- Proses pengajuan IPC 7 
- Bank Garansi Vendor &gt;&gt; Vendor kesulitan untuk menerbitkan bank garansi UM sehingga diberikan opsi untuk menggunakan surety bond, percepatan pembayaran vendor.</t>
  </si>
  <si>
    <t>bf7cc85d-d622-4a36-9197-170842d031f0</t>
  </si>
  <si>
    <t>https://ptwaskita-my.sharepoint.com/:v:/g/personal/andri_j_waskita_co_id/EQ4ZZHdcG8dMkNsF4AAkaYAB2l4_4WkpgfkmNDAQFoL-RQ?nav=eyJyZWZlcnJhbEluZm8iOnsicmVmZXJyYWxBcHAiOiJPbmVEcml2ZUZvckJ1c2luZXNzIiwicmVmZXJyYWxBcHBQbGF0Zm9ybSI6IldlYiIsInJlZmVycmFsTW9kZSI6InZpZXciLCJyZWZlcnJhbFZpZXciOiJNeUZpbGVzTGlua0NvcHkifX0&amp;e=bzVuRB</t>
  </si>
  <si>
    <t>https://ptwaskita-my.sharepoint.com/:f:/g/personal/andri_j_waskita_co_id/EmUlMy9mnmtNkiJqNEWcH4wB84ss8nxDILh15hJACAysEw?e=AePTEE</t>
  </si>
  <si>
    <t>https://ptwaskita-my.sharepoint.com/:f:/g/personal/fahmi_waskita_co_id/Ep8JBSzifllJvJxRs8AD-AEBq4T08xAdX8V_fivaw0aJJw?e=iQlvAZ</t>
  </si>
  <si>
    <t>3c03021f-8b8d-4981-9bf9-b986be7f9b4a</t>
  </si>
  <si>
    <t>Jalan Tol Bocimi Seksi 3B</t>
  </si>
  <si>
    <t>https://ptwaskita-my.sharepoint.com/:v:/g/personal/basuki_rahmat_waskita_co_id/Efvb6I4NNSJDs8a0wX9NqDYB7v0sdGm4T8TCVnjlPiwIcQ?nav=eyJyZWZlcnJhbEluZm8iOnsicmVmZXJyYWxBcHAiOiJPbmVEcml2ZUZvckJ1c2luZXNzIiwicmVmZXJyYWxBcHBQbGF0Zm9ybSI6IldlYiIsInJlZmVycmFsTW9kZSI6InZpZXciLCJyZWZlcnJhbFZpZXciOiJNeUZpbGVzTGlua0NvcHkifX0&amp;e=9i6eMy</t>
  </si>
  <si>
    <t>https://ptwaskita-my.sharepoint.com/:f:/g/personal/infra2media_waskita_co_id/Emw7v-PmSBdDpFQLIU4jxA0BwR4w0b2Apk4k-LVGD8Ifig?e=eu2ebB</t>
  </si>
  <si>
    <t>https://ptwaskita-my.sharepoint.com/:f:/g/personal/basuki_rahmat_waskita_co_id/EsKI_q0OnUpMsu9HHXhGUPoB8dqpDSH0Dts4SM-YT24a0A?e=Y1oSFR</t>
  </si>
  <si>
    <t>76f837da-51e0-4d03-a51e-257d3f3f96b6</t>
  </si>
  <si>
    <t>https://os5.mycloud.com/action/share/83936dd1-c173-44fd-93d0-400a4dea4512</t>
  </si>
  <si>
    <t>https://os5.mycloud.com/action/share/3ddd5cd0-2d82-4812-b0e3-e3a8e8f29ff1</t>
  </si>
  <si>
    <t>https://os5.mycloud.com/action/share/65fc1ff7-542e-46a9-abda-bb1dcecef517</t>
  </si>
  <si>
    <t>https://os5.mycloud.com/action/share/6f5a2539-f130-4304-86bf-0dbc0c1aa90b</t>
  </si>
  <si>
    <t>Status Sewa Lahan batching plant WBP belum jelas, akan habis di september 2024</t>
  </si>
  <si>
    <t>bf7608fb-ebd2-440d-868d-b6de57b6c55a</t>
  </si>
  <si>
    <t>https://ptwaskita-my.sharepoint.com/:v:/g/personal/dhani_ramdhani_waskita_co_id/Eaz-9eqmIbpOshwcbE4cyFIBfTWDy3Vyxnup0SAvKZokbg?nav=eyJyZWZlcnJhbEluZm8iOnsicmVmZXJyYWxBcHAiOiJPbmVEcml2ZUZvckJ1c2luZXNzIiwicmVmZXJyYWxBcHBQbGF0Zm9ybSI6IldlYiIsInJlZmVycmFsTW9kZSI6InZpZXciLCJyZWZlcnJhbFZpZXciOiJNeUZpbGVzTGlua0NvcHkifX0&amp;e=ZO7IYa</t>
  </si>
  <si>
    <t>https://ptwaskita-my.sharepoint.com/:f:/g/personal/dhani_ramdhani_waskita_co_id/ErteyzToorZLr5iW7r_fZBQBGSq3Aqi3QXmr0duN_4Aljw?e=XalWc0</t>
  </si>
  <si>
    <t>https://ptwaskita-my.sharepoint.com/:i:/g/personal/dhani_ramdhani_waskita_co_id/Ebc3Au4NFIJOtJO0XYARhqABf5F-VyZflz40JJPXoCzmyg?e=eEF9AK</t>
  </si>
  <si>
    <t>https://ptwaskita-my.sharepoint.com/:u:/g/personal/dhani_ramdhani_waskita_co_id/EfAKB7yIfblLmlNQiTFzJFUBQg577L5YCDDxUDnq-CgOcg?e=FkDg5y</t>
  </si>
  <si>
    <t>Curah hujan tinggi</t>
  </si>
  <si>
    <t>f85a1a3c-fde9-4e32-89a7-f09bd3c195a8</t>
  </si>
  <si>
    <t>https://drive.google.com/file/d/1cxC9y3cvaRHlF1kN4kwRj6-_QUi_R3rd/view?usp=sharing</t>
  </si>
  <si>
    <t>https://drive.google.com/file/d/1BRjzaQWSnpEqUQD0QSdHLMO-kkNn6oc3/view?usp=sharing</t>
  </si>
  <si>
    <t>https://drive.google.com/file/d/1CsiOyuQZwxFOYLaymfkr0QZubp5OsYaf/view?usp=sharing</t>
  </si>
  <si>
    <t>https://drive.google.com/file/d/1CtCbd5tjC-Uhp0EMFyWa5DfX30zVqOX5/view?usp=sharing</t>
  </si>
  <si>
    <t>penanganan timbunan longsor akibat adanya mata air.</t>
  </si>
  <si>
    <t>f42648db-9d3e-4e21-8012-0f57737ca607</t>
  </si>
  <si>
    <t>https://drive.google.com/file/d/1U3G39UPkCvwSnPggADPUirJf1En-1BVH/view?usp=drive_link</t>
  </si>
  <si>
    <t>https://drive.google.com/drive/folders/15ndabu3cb9lWal0XZ8thsZp1ObqigCKM?usp=sharing</t>
  </si>
  <si>
    <t>https://drive.google.com/drive/folders/1B2Dkw9pAseJqQw-bhYyqyFmn72TfcS8O?usp=sharing</t>
  </si>
  <si>
    <t>a3a065b7-8dde-4ac6-b3a0-0350c9fa103b</t>
  </si>
  <si>
    <t>muhammad.yusron@waskita.co.id</t>
  </si>
  <si>
    <t>Muhammad Yusron</t>
  </si>
  <si>
    <t xml:space="preserve">Muhammad Yusron </t>
  </si>
  <si>
    <t>https://ptwaskita-my.sharepoint.com/:f:/g/personal/lot2blitar_waskita_co_id/EiFw6kDOt6tLgFFlgTt-ir4BgT0hfvXEuN-pPM5me95U1A?e=BH8Bbq</t>
  </si>
  <si>
    <t>https://ptwaskita-my.sharepoint.com/:f:/g/personal/lot2blitar_waskita_co_id/ErJuyCqTDVtIktvpD_Srf7wBRQz_p8fetgQ3FrWwXgJ8fA?e=u0icyY</t>
  </si>
  <si>
    <t>https://ptwaskita-my.sharepoint.com/:f:/g/personal/lot2blitar_waskita_co_id/EkwdE_1CwHVCrPpKBzmVDWQBNuUekVG90URO-nkeO3QqFA?e=A8YjXV</t>
  </si>
  <si>
    <t>https://ptwaskita-my.sharepoint.com/:f:/g/personal/lot2blitar_waskita_co_id/EgoIl6kiqjtOoeWGEisUOiQBxheH0I0ydMxntfOV4U9NTw?e=M27xQm</t>
  </si>
  <si>
    <t xml:space="preserve">Survey tapal batas dan Inventaris sudah dilakukan pada tanggal 15 Agustus 2024 , namun pekerjaan penebangan tegakan atau pohon belum bisa dilakukan sampai dengan sekarang yang menyebabkan kegiatan konstruksi pada STA. 15+650-16+375 tidak bisa dilakukan. </t>
  </si>
  <si>
    <t>eacb17d7-c401-411e-8868-c583c2a337b0</t>
  </si>
  <si>
    <t>https://drive.google.com/file/d/1iuV1UnaJJC4Lu-qjmi1Zeo9GPifpnMfT/view?usp=drivesdk</t>
  </si>
  <si>
    <t>https://drive.google.com/drive/folders/1Xf-kt5qShbL0MmcQwQaWVGAjQQa9OpUm?usp=sharing</t>
  </si>
  <si>
    <t>https://ptwaskita-my.sharepoint.com/:u:/g/personal/rezky_yudhaseno_waskita_co_id/EVMX_SUq9xxPtUhykxf2Oc0B79of-rNO_5cddezKOaUf_A?e=rJKfga</t>
  </si>
  <si>
    <t xml:space="preserve">1. Terdapat permasalahan lahan yang belum bebas pada lokasi pekerjaan interchange, khusunya pada lokasi Ramp Akses dan Ramp 3
2. Terdapat longsoran yang perlu penanganan lebih lanjut dengan perkuatan Secant Pile atau Soulder Pile
3. Review Desain Struktur Atas Jembatan Satwa dan Review Desain Overpass Jembatan Rangka Baja
4. Saluran V-Ditch di area Mainroad 3B1 berisiko mengalami clash dengan Pekerjaan Ramp 1 &amp; Ramp 4 dikarenakan area clearence dari pekerjaan ramp 1 &amp; ramp 4 
5. Sering terjadinya hujan di lokasi pekerjaan yang mengakibatkan kendala pada mobilisasi beton melalui jalan akses (mobilisasi dilakukan setelah jalan akses kering atau di-scrap)
</t>
  </si>
  <si>
    <t>61a1b080-f225-4266-a0ed-459a818e3707</t>
  </si>
  <si>
    <t>https://ptwaskita-my.sharepoint.com/:f:/g/personal/kretek_girijati_waskita_co_id/EpSaljbRZdtHsPqEuK9TthABkGuvNI7yZbeaqlxz2xZDww?e=cZuoP8</t>
  </si>
  <si>
    <t>https://ptwaskita-my.sharepoint.com/:f:/g/personal/kretek_girijati_waskita_co_id/Eg9O0fB0P6tDsDj1ocvjSTkBefIrwijCBfJIDA6nPXNeFg?e=RNbGCP</t>
  </si>
  <si>
    <t>https://ptwaskita-my.sharepoint.com/:f:/g/personal/kretek_girijati_waskita_co_id/EqgYa5zBUu5CvCETGG0fD-4Ba-g-gU77-TyMYjw3zaU37g?e=hShb6w</t>
  </si>
  <si>
    <t>1. Review Desain masih dalam proses persetujuan owner
2. Addendum 3 masih dalam proses persetujuan owner</t>
  </si>
  <si>
    <t>d7624303-468f-4e32-97a4-4365d13364e8</t>
  </si>
  <si>
    <t>ae9b92ec-c1aa-45d8-a6e9-458a08c0a519</t>
  </si>
  <si>
    <t>iklam.choeru@waskita.co.id</t>
  </si>
  <si>
    <t>https://ptwaskita-my.sharepoint.com/:f:/g/personal/fahmi_waskita_co_id/Eten3vlJWYtEjwcHj0rlB4EBGaTTcxsTD3FOT3HDpaJNYw?e=ywvcku</t>
  </si>
  <si>
    <t>https://ptwaskita-my.sharepoint.com/:f:/g/personal/fahmi_waskita_co_id/ElfQFyqiKmlDuQQhgranL-wBey-J8Tda-JRieGCaKzVYBg?e=RBdZEC</t>
  </si>
  <si>
    <t>https://ptwaskita-my.sharepoint.com/:f:/g/personal/fahmi_waskita_co_id/EgeQp6t2rqFIlB_9HcE_WxkBpE1Onz_l1up1_jGBnSkZJA?e=yvVO6r</t>
  </si>
  <si>
    <t>https://ptwaskita-my.sharepoint.com/:f:/g/personal/fahmi_waskita_co_id/ElGAd9_R_tZDvs3VWI8j23cBNUZZuS7cjw_x-2XdpSLdxg?e=7Vaejo</t>
  </si>
  <si>
    <t>188bc207-df54-4fb4-8f71-d04efc96a23d</t>
  </si>
  <si>
    <t>https://1drv.ms/f/s!AoHR8xIL4xo9whAbmYdP8hYC6RNt?e=03ofdf</t>
  </si>
  <si>
    <t>https://1drv.ms/f/s!AoHR8xIL4xo9wGM70mJppY_vs-wm?e=wcYt0X</t>
  </si>
  <si>
    <t>- Masih ada lahan yang belum bebas
- Simpang ITCI yang masih mencari jalur pengalihan</t>
  </si>
  <si>
    <t>a053f866-af74-4770-943b-472edabcf2a1</t>
  </si>
  <si>
    <t>https://drive.google.com/drive/folders/1x36NaT0UkocAI-H6FHS0sqwxqQB_PGAl?usp=sharing</t>
  </si>
  <si>
    <t>https://drive.google.com/drive/folders/18VTSqca2W9awHJ-ppfS0Hw_2kkWdVP96?usp=sharing</t>
  </si>
  <si>
    <t>2f3e0e31-00f3-4f10-a1e4-68156158c5eb</t>
  </si>
  <si>
    <t>ali.amirrudin@waskita.co.id</t>
  </si>
  <si>
    <t>be50f831-eadb-4dde-8127-aef7b8a77b9c</t>
  </si>
  <si>
    <t>https://ptwaskita-my.sharepoint.com/:f:/g/personal/fahmi_waskita_co_id/Eten3vlJWYtEjwcHj0rlB4EBGaTTcxsTD3FOT3HDpaJNYw?e=SrfByC</t>
  </si>
  <si>
    <t>https://ptwaskita-my.sharepoint.com/:f:/g/personal/fahmi_waskita_co_id/ElfQFyqiKmlDuQQhgranL-wBey-J8Tda-JRieGCaKzVYBg?e=0X6sMP</t>
  </si>
  <si>
    <t>https://ptwaskita-my.sharepoint.com/:f:/g/personal/fahmi_waskita_co_id/ErLU5Ic3pddKqN3L3xZT1igBB5A3yFNfEZ7GEFzjiN_3Vw?e=Zajeqa</t>
  </si>
  <si>
    <t>https://ptwaskita-my.sharepoint.com/:f:/g/personal/fahmi_waskita_co_id/ElGAd9_R_tZDvs3VWI8j23cBNUZZuS7cjw_x-2XdpSLdxg?e=q9g5xK</t>
  </si>
  <si>
    <t>d24860bc-093a-4885-8aec-57236e9c9d96</t>
  </si>
  <si>
    <t>Tanah pada South Sea Wall (SSW3) sulit untuk ditembus bamboo pile, sesuai dengan desain rencana. Mengakibatkan potensi keterlambatan penyelesaiaan South Sea Wall dan pekerajan Reklamasi (CPM dan Sand Fill)</t>
  </si>
  <si>
    <t>2bb7b663-db27-4b6e-aa41-4fed920df43c</t>
  </si>
  <si>
    <t>https://drive.google.com/file/d/1DWYivUjxt12TgHVN846FeeF0n2xof-sQ/view?usp=drivesdk</t>
  </si>
  <si>
    <t>https://drive.google.com/drive/folders/1bc5PDJUO6Riej7qD-Bus22j8zpdaXSL9?usp=sharing</t>
  </si>
  <si>
    <t>https://ptwaskita-my.sharepoint.com/:u:/g/personal/rezky_yudhaseno_waskita_co_id/EeLXQGD1qH9OnE5qGGikvBsBP-Ft7ZzPaDkcHCO6rtz9bA?e=za6xbb</t>
  </si>
  <si>
    <t>https://ptwaskita-my.sharepoint.com/:u:/g/personal/rezky_yudhaseno_waskita_co_id/ESJzAlYzrVxIhQgqzE2OfyEBpj0AI3zXmIBx043duVNRSw?e=8L8LZb</t>
  </si>
  <si>
    <t xml:space="preserve">1. Hasil data tanah pada di lokasi Abutment 1 RAMP 1  STA 1+000 - 1+090 menunjukan hasil borlog &lt;NSPT 10
2. Terdapat longsoran STA 14+000 yang perlu penanganan lebih lanjut dengan perkuatan Secant Pile
3. Pada lokasi Ramp 2 CB-22 sd. CB-10 terdapat area sliding yang lokasinya berada di luar ROW
4. Saluran V-Ditch di area Mainroad 3B1 berisiko mengalami clash dengan Pekerjaan Ramp 1 &amp; Ramp 4 dikarenakan area clearence dari pekerjaan ramp 1 &amp; ramp 4 tidak memungkinkan untuk dilaksanakan sesuai dengan DED
5. Clash Detection dengan paket pekerjaan Tol INK Seksi 3B pada pekerjaan Jembatan Satwa STA 08+325 &amp; 10+025 yang bersinggungan dengan Main Road Paket 3B
6. Pada SUTT 150 Kv Sta 1+800 dan Sta 2+300 diperlukan perkuatan lereng, jarak aman dengan SUTT sesuai dengan Permen ESDM No. 13/2021
7. Terdapat beberapa lahan belum bebas pada area interchange
</t>
  </si>
  <si>
    <t>268dfd8f-3e63-424f-a1f5-c694926f6460</t>
  </si>
  <si>
    <t>https://ptwaskita-my.sharepoint.com/:v:/g/personal/dhani_ramdhani_waskita_co_id/EfZqrtEuYyFEsBj3mb9y-fMBvTcDEgF1HLPo_losWgfDMQ?nav=eyJyZWZlcnJhbEluZm8iOnsicmVmZXJyYWxBcHAiOiJPbmVEcml2ZUZvckJ1c2luZXNzIiwicmVmZXJyYWxBcHBQbGF0Zm9ybSI6IldlYiIsInJlZmVycmFsTW9kZSI6InZpZXciLCJyZWZlcnJhbFZpZXciOiJNeUZpbGVzTGlua0NvcHkifX0&amp;e=C5ZGwu</t>
  </si>
  <si>
    <t>https://ptwaskita-my.sharepoint.com/:f:/g/personal/dhani_ramdhani_waskita_co_id/EkEjUV9EYd1PpXWO9scr_OEBOYDzPoouHuMg8sK5WT4mHw?e=iWC9Pi</t>
  </si>
  <si>
    <t>https://ptwaskita-my.sharepoint.com/:i:/g/personal/dhani_ramdhani_waskita_co_id/ETn6q1dGhxdJtYNjDEWabmEB4lNYAclJ50oGICRi7bZ2dw?e=Nbyt7N</t>
  </si>
  <si>
    <t>https://ptwaskita-my.sharepoint.com/:u:/g/personal/dhani_ramdhani_waskita_co_id/ESp1M-VTym5MsloqN8dcaCUBYKJ15gQTxLl1JZV4KEmHtQ?e=96Mz1k</t>
  </si>
  <si>
    <t>43364977-8622-4ae6-8067-2bb1d8de82ba</t>
  </si>
  <si>
    <t>Finishing Pekerjaan Akhir</t>
  </si>
  <si>
    <t>a95e0875-8d97-4f96-a5a3-972818ef4b33</t>
  </si>
  <si>
    <t>https://ptwaskita-my.sharepoint.com/:v:/g/personal/basuki_rahmat_waskita_co_id/EZVYMeRc6MhBs8gOlNSwVckBgeavnnkDCm_x6xoSk6CLtA?nav=eyJyZWZlcnJhbEluZm8iOnsicmVmZXJyYWxBcHAiOiJPbmVEcml2ZUZvckJ1c2luZXNzIiwicmVmZXJyYWxBcHBQbGF0Zm9ybSI6IldlYiIsInJlZmVycmFsTW9kZSI6InZpZXciLCJyZWZlcnJhbFZpZXciOiJNeUZpbGVzTGlua0NvcHkifX0&amp;e=mmhpdz</t>
  </si>
  <si>
    <t>https://ptwaskita-my.sharepoint.com/:f:/g/personal/infra2media_waskita_co_id/EpNR0SQPWoNCgkXBV8Q64wUBctivwDJ1lFhv0SKRymg5aA?e=Zo2VaZ</t>
  </si>
  <si>
    <t>https://ptwaskita-my.sharepoint.com/:f:/g/personal/basuki_rahmat_waskita_co_id/EmTAuGmvLglKvrQH2khKRJ8BRzZaRVqeprWHgK7FaXvREw?e=HtGGOk</t>
  </si>
  <si>
    <t>➢ Zona 2 Lahan bebas 89,97 % :
    • Jembatan Ciheulang belum bebas, target pelaksanaan Agustus 2024
    • Pekerjaan Timbunan terkendala lahan 291,685 m3 (2,564 %)
➢ Zona 3 Lahan bebas 88,60 %
    •  Pileslab Cigempol belum bebas, target pelaksanaan September 2024
    •  Pekerjaan Timbunan terkendala lahan 103,707 m3 (0,912 %)
➢ Zona 4 Lahan bebas 57,79 %
    •  Jembatan  Sungai Cibalong belum bebas, target pelaksanaan  Agustus 2024
    •  Jembatan Cikukulu belum bebas, target pelaksanaan September 2024
    •  Jembatan Cibogo belum bebas, target pelaksanaan Agustus 2024
    •  Jembatan Cimahi belum bebas, target pelaksanaan September 2024
    •  Pekerjaan Timbunan terkendala lahan 117,524 m3 (1,033 %)
➢ Zona 5(Akses IC) Lahan bebas 59,07 %
    •  Jembatan IC Sukabumi Barat belum bebas, target pelaksanaan Agustus 2024</t>
  </si>
  <si>
    <t>ca5ab112-e79a-409d-8e8e-3c662487447e</t>
  </si>
  <si>
    <t>https://drive.google.com/file/d/10Hv535py-38RTdgzbBzSqNc1GdSUlYXa/view?usp=sharing</t>
  </si>
  <si>
    <t>https://drive.google.com/drive/folders/1hq1EtYZlticu-jRD7dMZHd7w-fE2QuPo?usp=drive_link</t>
  </si>
  <si>
    <t>https://drive.google.com/drive/folders/1I-lxLTHkM_shNA8QbL9NAsMyc45wEHZ2?usp=drive_link</t>
  </si>
  <si>
    <t>https://drive.google.com/drive/folders/1jufT0HIgAVBo0emWvdHNHSY2ONApPQO0?usp=drive_link</t>
  </si>
  <si>
    <t>Proses pengajuan Lapis Pondasi Aggregat A sebagai pengganti Drainage Layer</t>
  </si>
  <si>
    <t>88dca2c2-0622-48e2-a649-8c581ac8d5b7</t>
  </si>
  <si>
    <t>https://drive.google.com/file/d/1FxsKITU7xoTl2KceqQa6IYAvA02-h1eJ/view?usp=sharing</t>
  </si>
  <si>
    <t>https://drive.google.com/file/d/1FPJa0_MOJUd4RXxCXHmiadUOk7r8H6-g/view?usp=drive_link</t>
  </si>
  <si>
    <t>https://drive.google.com/file/d/1FPHhfzXC6jE5d8pdBsSfpj3egFvrG539/view?usp=drive_link</t>
  </si>
  <si>
    <t>158cb23d-a648-436a-b438-ce552fb4711d</t>
  </si>
  <si>
    <t>https://ptwaskita-my.sharepoint.com/:v:/g/personal/andri_j_waskita_co_id/Efwy2Diyi4dDqY1gAAjjwEoBwPK6XzLYBjBguctlCcmn0A?nav=eyJyZWZlcnJhbEluZm8iOnsicmVmZXJyYWxBcHAiOiJPbmVEcml2ZUZvckJ1c2luZXNzIiwicmVmZXJyYWxBcHBQbGF0Zm9ybSI6IldlYiIsInJlZmVycmFsTW9kZSI6InZpZXciLCJyZWZlcnJhbFZpZXciOiJNeUZpbGVzTGlua0NvcHkifX0&amp;e=QeTMya</t>
  </si>
  <si>
    <t>https://ptwaskita-my.sharepoint.com/:f:/g/personal/andri_j_waskita_co_id/ErLH46KT0MpAp0efjTZS9xUBP5ik2wWDpHaeicjB_LgtRA?e=AJhGQU</t>
  </si>
  <si>
    <t>https://ptwaskita-my.sharepoint.com/:f:/g/personal/fahmi_waskita_co_id/EqirSYkecHVHqWL9mUVUQHMBtCQkxZ9hVjGXqDrpDeFftQ?e=M0JRpe</t>
  </si>
  <si>
    <t>ef71c546-e75a-42e4-9421-cba2c4fb9e4a</t>
  </si>
  <si>
    <t>https://youtu.be/eIvb7VeTSk4</t>
  </si>
  <si>
    <t>http://tinyurl.com/PROJECT-2024-INFRA-2-DIVISION</t>
  </si>
  <si>
    <t>1. Saat ini Rest Area sudah dapat dilaksanakan pekerjaan sebatas pematangan lahan, desain Bangunan saat ini belum final dan diterima, Item Pembayaran Rest Area dilakukan secara menyeluruh sehingga berpotensi tidak dapat ditagihkan termin (Bisa dimasukkan dalam progress tetapi tidak dapat ditagihkan).
2. Dukungan Percepatan  Administras Tagihan Vendor Agar kontinuitas pekerjaan dapat terjaga, Penambahan Armada DT untuk PMX dan BKM  untuk Pekerjaan di Lokasi STA 43+000 – 44+500.
3. Percepatan Gambar Saluran Transisi BC &amp; Rest Area untuk BU 33+508, Percepatan Pemindahan Utilitas pada BU &amp; BC, Percepatan Pendatangan Besi 600 ton untuk target bulan Oktober 2024
4. TSG Batu = Penambahan Produksi CBM diatas Batu untuk percepatan CL, DL, &amp; LC.
Drainage Layer = Koordinasi dengan subkon terkait penambahan produksi DL.
Lean Concrete = Koordinasi dengan WBP terkait pemenuhan stock material untuk mendukung pengecoran baik LC maupun Struktur.</t>
  </si>
  <si>
    <t>09d6e8e7-b363-4e2c-a458-e9cf5b269993</t>
  </si>
  <si>
    <t>https://ptwaskita-my.sharepoint.com/:f:/g/personal/fahmi_waskita_co_id/EuLiARhsmVZMtP3PSifPAJ8BHgXCGyIkQP7lWq83qsL-0g?e=85oQr7</t>
  </si>
  <si>
    <t xml:space="preserve">Isu Produksi :
- Pembebasan lahan belum 100%
- Jalan Akses melibatkan 3 pihak ( BBWS, PJT2 dan Pertagas)
Isu Kontraktual dan Legal
- Administrasi Approval Dokumen memakan waktu lama
Isu K3 dan Lingkungan
- Sosialisasi Warga Sekitar terkait akses
- Buangan air dewatering dari lokasi galian, tidak boleh dibuang ke saluran tersier
Isu Financial
- Permintaan pembayaran vendor tempo 30 hari dan DP 10 %
</t>
  </si>
  <si>
    <t>19d2a684-a037-40d5-bffb-7bb2c532c824</t>
  </si>
  <si>
    <t xml:space="preserve">Aldian Winata </t>
  </si>
  <si>
    <t>https://os5.mycloud.com/action/share/8dd3270b-2087-4ba3-aa90-503808b8bd1a</t>
  </si>
  <si>
    <t>https://os5.mycloud.com/action/share/8b06e5fe-e609-4f36-812c-5931125ac211</t>
  </si>
  <si>
    <t>28/09/24 Pengecoran segmen 3 P1 distop karena CP trouble (beton mengeras di dalam pipa). sudah diatasi dan dilanjutkan kembali pengecoran pada Senin, 30/09/24.</t>
  </si>
  <si>
    <t>a77d99f7-213d-4580-bae8-2e959cfb61f9</t>
  </si>
  <si>
    <t>andiran.dwi@waskita.co.id</t>
  </si>
  <si>
    <t>Andrian Dwi Wibowo</t>
  </si>
  <si>
    <t>https://drive.google.com/file/d/1GEYSvlOBVrhM78k-iQYgJLH6tFUb-6_k/view?usp=sharing</t>
  </si>
  <si>
    <t>https://drive.google.com/file/d/1KhKwZ3kAAA8ZeNQ87AQqPXSXin2FkpH5/view?usp=sharing</t>
  </si>
  <si>
    <t>9bb7e67d-dd6f-41eb-be1c-de2c872356b1</t>
  </si>
  <si>
    <t>https://os5.mycloud.com/action/share/a86704cc-9fd0-4652-a290-d592b97a4d18</t>
  </si>
  <si>
    <t>https://os5.mycloud.com/action/share/0f7310d0-3276-4ee0-83e1-bcd67e7b5957</t>
  </si>
  <si>
    <t>5ce76b25-aa79-4a9c-9eea-80ce25c4c94f</t>
  </si>
  <si>
    <t>https://ptwaskita-my.sharepoint.com/:f:/g/personal/kretek_girijati_waskita_co_id/EsGRIjLhgLBNpdTDYTXCzmsBL2UOFt4C3WIRa5eg8fIWAA?e=7PKEtj</t>
  </si>
  <si>
    <t>https://ptwaskita-my.sharepoint.com/:f:/g/personal/kretek_girijati_waskita_co_id/EkhCi1BURmZPq34ll7G4YJsBIZ7dzp3vicZERg7bt1bbyg?e=ZEWBbi</t>
  </si>
  <si>
    <t>https://ptwaskita-my.sharepoint.com/:f:/g/personal/kretek_girijati_waskita_co_id/EqgYa5zBUu5CvCETGG0fD-4Ba-g-gU77-TyMYjw3zaU37g?e=x5Wk8r</t>
  </si>
  <si>
    <t>1. Justifikasi Teknik masih proses
2. Pengesahan Addendum 3 masih proses</t>
  </si>
  <si>
    <t>9e1217e0-0b6a-4397-a035-88b9d6c3f599</t>
  </si>
  <si>
    <t>https://drive.google.com/file/d/1rusA6iZjyxjMKBld9a4nxSKtLt2VaxxZ/view?usp=drive_link</t>
  </si>
  <si>
    <t>https://drive.google.com/drive/folders/10fIIyrUPObrac8htRb18WhQCS6BAcsrO?usp=sharing</t>
  </si>
  <si>
    <t>https://drive.google.com/drive/folders/1r2yQhCJKQ7DCfEhNXptTGYM1nzL7dL-B?usp=drive_link</t>
  </si>
  <si>
    <t>5ce78ecb-4511-4d8e-b445-50e940ba9e77</t>
  </si>
  <si>
    <t>2182ff9b-2cad-470b-bf4c-c254d5f67448</t>
  </si>
  <si>
    <t>muhammad.ardian@waskita.co.id</t>
  </si>
  <si>
    <t>Muhammad Ardian</t>
  </si>
  <si>
    <t>MUHAMMAD ARDIAN</t>
  </si>
  <si>
    <t>https://onedrive.live.com/?authkey=%21AO46hJbzSa%5Fv65A&amp;cid=3D1AE30B12F3D181&amp;id=3D1AE30B12F3D181%2113293&amp;parId=3D1AE30B12F3D181%2113238&amp;o=OneUp</t>
  </si>
  <si>
    <t>https://onedrive.live.com/?authkey=%21AO46hJbzSa%5Fv65A&amp;id=3D1AE30B12F3D181%2113239&amp;cid=3D1AE30B12F3D181</t>
  </si>
  <si>
    <t>https://onedrive.live.com/?authkey=%21AMwbaKHQbSNju%5FE&amp;id=3D1AE30B12F3D181%2113312&amp;cid=3D1AE30B12F3D181</t>
  </si>
  <si>
    <t>1. Lahan STA 0+100, 3+200, 3+850, 4+050 belum bebas, tetapi sudah dapat dikerjakan
2. Pengajuan tambahan addendum kontrak 10%</t>
  </si>
  <si>
    <t>91c9d986-cbfb-4b18-af45-0cb6906e8d5a</t>
  </si>
  <si>
    <t>https://ptwaskita-my.sharepoint.com/personal/fahmi_waskita_co_id/_layouts/15/onedrive.aspx?id=%2Fpersonal%2Ffahmi%5Fwaskita%5Fco%5Fid%2FDocuments%2FBIM%20%2D%20INFRA%202%2FProject%2FWKINF2%20%2D%20%20Jalan%20Tol%20Akses%20Patimban%20Paket%202%2F3%2E%20PUBLISHED%2F10%2E%20DRONE&amp;ga=1</t>
  </si>
  <si>
    <t>https://ptwaskita-my.sharepoint.com/personal/fahmi_waskita_co_id/_layouts/15/onedrive.aspx?id=%2Fpersonal%2Ffahmi%5Fwaskita%5Fco%5Fid%2FDocuments%2FBIM%20%2D%20INFRA%202%2FProject%2FWKINF2%20%2D%20%20Jalan%20Tol%20Akses%20Patimban%20Paket%202%2F3%2E%20PUBLISHED%2F9%2E%20DOKUMENTASI&amp;ga=1</t>
  </si>
  <si>
    <t>https://ptwaskita-my.sharepoint.com/personal/fahmi_waskita_co_id/_layouts/15/onedrive.aspx?id=%2Fpersonal%2Ffahmi%5Fwaskita%5Fco%5Fid%2FDocuments%2FBIM%20%2D%20INFRA%202%2FProject%2FWKINF2%20%2D%20%20Jalan%20Tol%20Akses%20Patimban%20Paket%202%2F3%2E%20PUBLISHED%2F6%2E%20REALITY%20MODELING&amp;ga=1</t>
  </si>
  <si>
    <t xml:space="preserve">Isu produksi /operasional
- pembebasan lahan belum 100% &gt;&gt; bersurat ke owner terkait pembebasan lahan , serah terima lahan secara parsial.
Isu Kontraktual dan legal 
- administrasi approval dokumen memakan waktu lama &gt;&gt; proses approval dokumen memakan waktu yang cukup lama (dari konsultan/engineer) membutuhkan waktu kurang lebih 21 hari untuk proses approval.
Isu K3 dan Lingkungan 
- Sosialisasi warga sekita terkait akses &gt;&gt; telah dilakukan sosialisasi dengan pemangku kepentingan desa, termasuk lahan yang belum bebas
- Buangan air dewatering dari lokasi galian, tidak boleh dibuang ke saluran tersier &gt;&gt; membuat parit disamping lokasi galian dan dihubungkan ke saluran sekunder
Isu Finansial 
- Permintaan pembayaran vendor tempo 30 hari dan DP 10% &gt;&gt; Pengaturan cashflow dan skala prioritas pembayaran </t>
  </si>
  <si>
    <t>26969dcc-4861-43a5-9e3b-4fc0553129ea</t>
  </si>
  <si>
    <t>https://onedrive.live.com/?authkey=%21AO46hJbzSa%5Fv65A&amp;cid=3D1AE30B12F3D181&amp;id=3D1AE30B12F3D181%2113516&amp;parId=3D1AE30B12F3D181%2113473&amp;o=OneUp</t>
  </si>
  <si>
    <t>https://onedrive.live.com/?authkey=%21AO46hJbzSa%5Fv65A&amp;id=3D1AE30B12F3D181%2113476&amp;cid=3D1AE30B12F3D181</t>
  </si>
  <si>
    <t xml:space="preserve">Lahan STA 0+100, 3+200, 3+850, 4+050 belum bebas
Telah dilakukan koordinasi dengan pemilik lahan bahwa pekerjaan dilapangan dapat dilanjutkan.
</t>
  </si>
  <si>
    <t>dc2d54bd-e973-4459-a37f-9159c7149ada</t>
  </si>
  <si>
    <t>https://drive.google.com/file/d/14lUyhkgX1csaU7SZggD-cHsUB-KMg4BY/view?usp=sharing</t>
  </si>
  <si>
    <t>https://drive.google.com/drive/folders/14qX0KY2ALZo1GC5R1t5c-ivdZo2Dbq4P?usp=drive_link</t>
  </si>
  <si>
    <t>https://drive.google.com/drive/folders/14AORwyL5p6wJ11c1H82-oEKRc3GDqagD?usp=drive_link</t>
  </si>
  <si>
    <t>https://drive.google.com/drive/folders/1HKw_v4GO_zyBAtr89QhRhA-5HJmMtApX?usp=drive_link</t>
  </si>
  <si>
    <t>Perlu penambahan 2 alat borepile di JU Cisarua</t>
  </si>
  <si>
    <t>a6b6f67d-5689-4dcd-a258-b7ffa579bec7</t>
  </si>
  <si>
    <t>https://ptwaskita-my.sharepoint.com/personal/fahmi_waskita_co_id/_layouts/15/onedrive.aspx?id=%2Fpersonal%2Ffahmi%5Fwaskita%5Fco%5Fid%2FDocuments%2FBIM%20%2D%20INFRA%202%2FProject%2FWKINF2%20%2D%20%20Jalan%20Tol%20Akses%20Patimban%20Paket%202%2F3%2E%20PUBLISHED&amp;ga=1</t>
  </si>
  <si>
    <t>Isu Produksi / Operasional
- Pembebasan lahan belum 100 &gt;&gt; Bersurat secara berkala, serah terima lahan secara parsial, mengirimkan notifikasi dan update program ke owner
- Jalan Akses &gt;&gt; Pemeliharaan dan perbaikan jalan warga yang digunakan sebagai jalan akses
- Supply Ready Mix membutuhkan Batching Plant Dedicated &gt;&gt; Saat ini telah berkontrak dengan Adhimis RMC dan Witon Namun Batching Plan masih di luar area proyek, Opsi penambahan vendor / mendirikan bathcing plant dedicated
Isu Kontraktual dan Legal
- Administrasi Approval Dokumen memakan waktu lama &gt;&gt; Proses approva; dokumen memakan waktu yang cukup lama (dari Konsultan/Engineer) membutuhkan waktu kurang lebih 14 hari untuk proses approval. Koordinasi terus dilakukan dengan pihak terkait.
- Addendum &gt; Proses pengajuan addendum 2 terkait perubahan kuasa KSO, Proses pengajuan Addendum 3 terkait MC-0 &amp; VO
Isu K3 dan lingkungan
- Pengetesan kondisi lingkurang secara berkala &gt;&gt;Dilakukan pengetesan kondisi lingkungan secara, perlu penambahan water tank untuk mengurangi debu di jalan akses warga yang dilintasi kendaraan proyek
Isu Finansial 
- IPC &gt;&gt; Proses pengajuan IPC 9
- Bank Garansi Vendor &gt;&gt; Vendor kesulitan untuk menerbitkan bank garansi UM sehingga diberikan opsi untuk menggunakan surenty bond, percepatan pembayaran vendor</t>
  </si>
  <si>
    <t>4fd20e0c-f1a7-4364-b337-cbfe010a30f9</t>
  </si>
  <si>
    <t>https://ptwaskita-my.sharepoint.com/:v:/g/personal/andri_j_waskita_co_id/EV8Lo2LP_vtNi2VuOoYkrnYB-_uljgzfw5g2_YWAvOBIvQ?nav=eyJyZWZlcnJhbEluZm8iOnsicmVmZXJyYWxBcHAiOiJPbmVEcml2ZUZvckJ1c2luZXNzIiwicmVmZXJyYWxBcHBQbGF0Zm9ybSI6IldlYiIsInJlZmVycmFsTW9kZSI6InZpZXciLCJyZWZlcnJhbFZpZXciOiJNeUZpbGVzTGlua0NvcHkifX0&amp;e=jvrOen</t>
  </si>
  <si>
    <t>https://ptwaskita-my.sharepoint.com/:f:/g/personal/andri_j_waskita_co_id/EqVIW4aUhO9Hq1mWapv17VYBv95F0FI4XDq9nKZhe6fQQA?e=3cX1Hu</t>
  </si>
  <si>
    <t>https://ptwaskita-my.sharepoint.com/:f:/g/personal/fahmi_waskita_co_id/ElK71nxZvgZDs9mDal296A0BFh23UaUfw8BwajqnGgpLgw?e=JLPigz</t>
  </si>
  <si>
    <t xml:space="preserve">ASPEK TEKNIS &amp; OPERASIONAL
1. Desain Beautifikasi
     Desain beautifikasi belum final
ASPEK LEGAL 
Klaim :
Direksi Keet
Pembebasan Lahan Direksi Keet
</t>
  </si>
  <si>
    <t>d8cea77f-2851-4e15-aa1d-c3b70faad28c</t>
  </si>
  <si>
    <t>https://ptwaskita-my.sharepoint.com/:v:/g/personal/basuki_rahmat_waskita_co_id/EYyOIls41s9Gu3wGRvJ4uNcBunpVZ33cf-RjXMVM3-cmwA?nav=eyJyZWZlcnJhbEluZm8iOnsicmVmZXJyYWxBcHAiOiJPbmVEcml2ZUZvckJ1c2luZXNzIiwicmVmZXJyYWxBcHBQbGF0Zm9ybSI6IldlYiIsInJlZmVycmFsTW9kZSI6InZpZXciLCJyZWZlcnJhbFZpZXciOiJNeUZpbGVzTGlua0NvcHkifX0&amp;e=gY4IvF</t>
  </si>
  <si>
    <t>https://ptwaskita-my.sharepoint.com/:f:/g/personal/basuki_rahmat_waskita_co_id/Ej4lyBERbWlOpTyGGjxcC4IB1mSCVIbRW-SahuuI7Sc1Ug?e=ydMRGG</t>
  </si>
  <si>
    <t>8e3e5440-7c22-4948-b429-d1e4b8e348c6</t>
  </si>
  <si>
    <t>https://drive.google.com/file/d/1NJvoteNDpuYALtgswykvyWRJBjnmz8BI/view?usp=sharing</t>
  </si>
  <si>
    <t>https://drive.google.com/drive/folders/13bK0QnlmCCKT3apAWkcwJBTxRgZcgPr4?usp=sharing</t>
  </si>
  <si>
    <t>https://ptwaskita-my.sharepoint.com/:u:/g/personal/rezky_yudhaseno_waskita_co_id/ERgHWwq7onJFnU_qyzALvC8BiCAT8uEe_KGvDkEeZPTiHw?e=SqdCb8</t>
  </si>
  <si>
    <t>https://ptwaskita-my.sharepoint.com/:u:/g/personal/rezky_yudhaseno_waskita_co_id/ESJzAlYzrVxIhQgqzE2OfyEBpj0AI3zXmIBx043duVNRSw?e=eLskUa</t>
  </si>
  <si>
    <t xml:space="preserve">1. Terdapat permasalahan lahan yang belum bebas pada lokasi pekerjaan interchange, khusunya pada lokasi Ramp Akses dan Ramp 3
2. Terdapat Longsoran pada Sta 14 lokasi mainroad dan behimpitan dengan ramp akses 1
3. Hasil data tanah pada di lokasi Abutment 1 RAMP 1  STA 1+000 - 1+090 menunjukan hasil borlog &lt;NSPT 10
4. Pada lokasi Ramp 2 CB-22 sd. CB-10 terdapat area sliding yang lokasinya berada di luar ROW
5. Saluran V-Ditch di area Mainroad 3B1 berisiko mengalami clash dengan Pekerjaan Ramp 1 &amp; Ramp 4 dikarenakan area clearence dari pekerjaan ramp 1 &amp; ramp 4 tidak memungkinkan untuk dilaksanakan sesuai dengan DED
</t>
  </si>
  <si>
    <t>2bde513d-0ec0-46a2-b495-8540fa37a60b</t>
  </si>
  <si>
    <t>Iklam Choeru fadli</t>
  </si>
  <si>
    <t>https://ptwaskita-my.sharepoint.com/:f:/g/personal/fahmi_waskita_co_id/Eten3vlJWYtEjwcHj0rlB4EBGaTTcxsTD3FOT3HDpaJNYw?e=ZVfzBB</t>
  </si>
  <si>
    <t>https://ptwaskita-my.sharepoint.com/:f:/g/personal/fahmi_waskita_co_id/ElfQFyqiKmlDuQQhgranL-wBey-J8Tda-JRieGCaKzVYBg?e=i9i4Vq</t>
  </si>
  <si>
    <t>https://ptwaskita-my.sharepoint.com/:f:/g/personal/fahmi_waskita_co_id/EgeQp6t2rqFIlB_9HcE_WxkBpE1Onz_l1up1_jGBnSkZJA?e=MgIyeX</t>
  </si>
  <si>
    <t>https://ptwaskita-my.sharepoint.com/:f:/g/personal/fahmi_waskita_co_id/ElGAd9_R_tZDvs3VWI8j23cBNUZZuS7cjw_x-2XdpSLdxg?e=dVB6cQ</t>
  </si>
  <si>
    <t>aed318ec-bfe9-4e6b-84fa-9ddda74f9c0d</t>
  </si>
  <si>
    <t>https://drive.google.com/file/d/11faEgdP5MDfKI26U4aq2l-pQC_1NsOzu/view?usp=sharing</t>
  </si>
  <si>
    <t>2e8c40fc-2eaf-4173-bd84-784cbe3e5ee7</t>
  </si>
  <si>
    <t>https://os5.mycloud.com/action/share/c335fa9d-335e-48d9-a328-2eb862b284a7</t>
  </si>
  <si>
    <t>https://os5.mycloud.com/action/share/daa00fa7-7464-4808-8936-f7deb2a1c836</t>
  </si>
  <si>
    <t>https://os5.mycloud.com/action/share/49d305cc-80f1-44bc-9c65-524b55f0bbf6</t>
  </si>
  <si>
    <t>https://os5.mycloud.com/action/share/56c18683-b7e8-4ecb-991c-2ad268870926</t>
  </si>
  <si>
    <t>Adanya perbedaan elevasi Finish Grade pada Proyek Paket A2 dengan Proyek Jembatan Palu 4</t>
  </si>
  <si>
    <t>e92a5070-bb7c-41c1-8eca-9b83833ced82</t>
  </si>
  <si>
    <t>https://ptwaskita-my.sharepoint.com/:f:/g/personal/kretek_girijati_waskita_co_id/El0XE6gshP5Al7AvtvB89B8BbFtlGBfMTeNlUshDT8AojA?e=6pqwDa</t>
  </si>
  <si>
    <t>https://ptwaskita-my.sharepoint.com/:f:/g/personal/kretek_girijati_waskita_co_id/En3Hky0cRDFGubC1b6HBXlYB7ahOVBuBBNq6p20krL4B6w?e=UzRhAU</t>
  </si>
  <si>
    <t>https://ptwaskita-my.sharepoint.com/:f:/g/personal/kretek_girijati_waskita_co_id/EqgYa5zBUu5CvCETGG0fD-4Ba-g-gU77-TyMYjw3zaU37g?e=pigdlA</t>
  </si>
  <si>
    <t>1. Terdapat progress tertahan karena menunggu pengesahan Addendum 3
2. Proses Justifikasi Teknis rencana Jembatan STA 3+600 masih berjalan</t>
  </si>
  <si>
    <t>bb893429-d5bc-4dcd-a195-6a2e58d80697</t>
  </si>
  <si>
    <t>https://onedrive.live.com/?authkey=%21AO46hJbzSa%5Fv65A&amp;cid=3D1AE30B12F3D181&amp;id=3D1AE30B12F3D181%2113767&amp;parId=3D1AE30B12F3D181%2113702&amp;o=OneUp</t>
  </si>
  <si>
    <t>https://onedrive.live.com/?authkey=%21AO46hJbzSa%5Fv65A&amp;id=3D1AE30B12F3D181%2113703&amp;cid=3D1AE30B12F3D181</t>
  </si>
  <si>
    <t>https://onedrive.live.com/?authkey=%21AO46hJbzSa%5Fv65A&amp;cid=3D1AE30B12F3D181&amp;id=3D1AE30B12F3D181%2113765&amp;parId=3D1AE30B12F3D181%2113762&amp;o=OneUp</t>
  </si>
  <si>
    <t xml:space="preserve">1. Lahan STA 0+100, 3+200, 3+850, 4+050 belum bebas, tetapi sudah dapat dikerjakan
2. Pengajuan tambahan addendum kontrak 10%
</t>
  </si>
  <si>
    <t>55587e85-ec32-464e-9fa5-19689d195bb4</t>
  </si>
  <si>
    <t>https://ptwaskita-my.sharepoint.com/:v:/g/personal/dhani_ramdhani_waskita_co_id/Ecv3NHy9LA5DjiAk-mOg0vQBfMwndQ6W3rUms0zhgxIizg?nav=eyJyZWZlcnJhbEluZm8iOnsicmVmZXJyYWxBcHAiOiJPbmVEcml2ZUZvckJ1c2luZXNzIiwicmVmZXJyYWxBcHBQbGF0Zm9ybSI6IldlYiIsInJlZmVycmFsTW9kZSI6InZpZXciLCJyZWZlcnJhbFZpZXciOiJNeUZpbGVzTGlua0NvcHkifX0&amp;e=CeAw9q</t>
  </si>
  <si>
    <t>https://ptwaskita-my.sharepoint.com/:f:/g/personal/dhani_ramdhani_waskita_co_id/Ejm1wYywvDpFpBauO4n-yaQBmlRNSaqF5Cq6fE7jFYE6Ig?e=CFDxnd</t>
  </si>
  <si>
    <t>https://ptwaskita-my.sharepoint.com/:i:/g/personal/dhani_ramdhani_waskita_co_id/Ebc3Au4NFIJOtJO0XYARhqABf5F-VyZflz40JJPXoCzmyg?e=UUgxCA</t>
  </si>
  <si>
    <t>ff2f5b9d-fd4f-45ff-af95-318be139c432</t>
  </si>
  <si>
    <t>fajar.kurniawan@waskita.co.id</t>
  </si>
  <si>
    <t>https://drive.google.com/file/d/1gDReAXL7DTDDOyayqMA9BNjIKqN3_MUj/view?usp=drive_link</t>
  </si>
  <si>
    <t>https://ptwaskita-my.sharepoint.com/:f:/g/personal/lot2blitar_waskita_co_id/EkwdE_1CwHVCrPpKBzmVDWQBNuUekVG90URO-nkeO3QqFA</t>
  </si>
  <si>
    <t>https://ptwaskita-my.sharepoint.com/:f:/g/personal/lot2blitar_waskita_co_id/EgoIl6kiqjtOoeWGEisUOiQBxheH0I0ydMxntfOV4U9NTw</t>
  </si>
  <si>
    <t>1. Invertarisasi dan Pemotongan Pohon
2. Volume kontrak habis, proses Addendum
3. DIPA habis, proses penambahan DIPA smp tahun 2024
4. Longsoran baru akibat sumber air</t>
  </si>
  <si>
    <t>8ac7dcc9-b560-4a24-aaeb-d54bb53c3897</t>
  </si>
  <si>
    <t>https://drive.google.com/file/d/1sKYgwr8xgoONd_EIWk34ZBOae6LTW72H/view?usp=sharing</t>
  </si>
  <si>
    <t>https://drive.google.com/file/d/1RQ4ENBdMkx9PPsswURqYJ-YVoo3J8ygJ/view?usp=sharing</t>
  </si>
  <si>
    <t>tidak ada. (progress 100%)</t>
  </si>
  <si>
    <t>f1b287e5-0241-4430-a9ed-b4d96d2f37a8</t>
  </si>
  <si>
    <t>https://youtu.be/4uwMfIjGzog</t>
  </si>
  <si>
    <t>Rest Area
Saat ini Rest Area sudah dapat dilaksanakan pekerjaan sebatas pematangan lahan, desain Bangunan saat ini belum final dan diterima.
Item Pembayaran Rest Area dilakukan secara menyeluruh sehingga berpotensi tidak dapat ditagihkan termin, Bisa dimasukkan dalam progress tetapi tidak dapat ditagihkan.
(Berkoordinasi dengan Owner terkait percepatan finalisasi desain Bangunan Rest Area &amp; Berkoordinasi dengan JPB dan Konsultan agar bisa ditagihkan untuk Termin.)
Galian Batu Mekanik Untuk Timbunan
	Saat ini terdapat 2 Subkon Aktif CPM (Lokasi Rest Area) dan PMX lokasi STA 35+500.
	- Taget Bulan November 2024	 : 79,724 m3
	- Realisasi s.d M-1 Nov			 :   9.025 m3
	- Sisa 						 : 70,699 m3
	- Rata-Rata Produksi 			 : 1,289 m3/hari
(Dukungan Percepatan  Administras Tagihan Vendor Agar kontinuitas pekerjaan dapat terjaga.
&amp; Dukungan Percepatan  Realisasi Pembayaran Tagihan Vendor).
PEKERJAAN STRUKTUR
Box Culvert  = 30/33 Unit, Proses 1, Belum 1
Box Underpass = 7/9 Unit, Proses 1, Belum 1
Jembatan Paiton 2 = Close Pilecap (6/7)
Jembatan Sungai STA 43+425 = Close Borepile A1, Proses Borepile A2 (38/68 Titik)
(Percepatan Pendatangan Besi, Target Nov 770 Ton &amp; Dukungan Percepatan  Realisasi Pembayaran Tagihan Vendor (Hanil, WKI &amp; Mandor)
PEKERJAAN PERKERASAN (CL, DL, LC &amp; Rigid)
Target Bulan November 2024
TSG 	= 41.141 m2 (1,3 Km)
CL 	= 8.273 m3 (1,7 Km)
DL 	= 8.273 m3 (1,7 Km)
LC 	= 33.020 m2 (1,3 Km)
Rigid = 3.705 m3 (0,5 Km)
(Lean Concrete : Koordinasi dengan WBP terkait pemenuhan stock material untuk mendukung pengecoran baik LC maupun Struktur, Rigid Pavement : Percepatan Kesiapan Alat untuk memulai Trial Rigid &amp; Pelaksanaan Rigid Bulan November 2024 &amp; Dukungan Percepatan  Realisasi Pembayaran Tagihan Vendor (WBP, Merak &amp; Mandor)</t>
  </si>
  <si>
    <t>4dceb100-0b15-473f-82bc-b069b7889c7c</t>
  </si>
  <si>
    <t>isnaen.dwi@waskita.co.id</t>
  </si>
  <si>
    <t>Isnaen Dwi Sanjoyo</t>
  </si>
  <si>
    <t>Isnaen Dwi</t>
  </si>
  <si>
    <t>https://ptwaskita-my.sharepoint.com/:f:/g/personal/kretek_girijati_waskita_co_id/El0XE6gshP5Al7AvtvB89B8BbFtlGBfMTeNlUshDT8AojA?e=rEKsM6</t>
  </si>
  <si>
    <t xml:space="preserve"> - Proses Addendum No.3 dalam proses sirkuler</t>
  </si>
  <si>
    <t>6738a06a-c16b-472e-ad6b-0a15505f3933</t>
  </si>
  <si>
    <t>https://onedrive.live.com/?authkey=%21AO46hJbzSa%5Fv65A&amp;cid=3D1AE30B12F3D181&amp;id=3D1AE30B12F3D181%2114139&amp;parId=3D1AE30B12F3D181%2114101&amp;o=OneUp</t>
  </si>
  <si>
    <t>https://onedrive.live.com/?authkey=%21AO46hJbzSa%5Fv65A&amp;id=3D1AE30B12F3D181%2114105&amp;cid=3D1AE30B12F3D181</t>
  </si>
  <si>
    <t>https://onedrive.live.com/?authkey=%21AO46hJbzSa%5Fv65A&amp;id=3D1AE30B12F3D181%2114132&amp;cid=3D1AE30B12F3D181</t>
  </si>
  <si>
    <t xml:space="preserve">1. Lahan STA 0+100, 3+200, 3+850, 4+050 belum bebas
Telah dilakukan koordinasi dengan pemilik lahan bahwa pekerjaan dilapangan dapat dilanjutkan.
</t>
  </si>
  <si>
    <t>a5e09d60-bdb3-45ac-9e44-e31f6ffc8e7f</t>
  </si>
  <si>
    <t>https://onedrive.live.com/?authkey=%21AO46hJbzSa%5Fv65A&amp;cid=3D1AE30B12F3D181&amp;id=3D1AE30B12F3D181%2114309&amp;parId=3D1AE30B12F3D181%2114285&amp;o=OneUp</t>
  </si>
  <si>
    <t>https://onedrive.live.com/?authkey=%21AO46hJbzSa%5Fv65A&amp;id=3D1AE30B12F3D181%2114286&amp;cid=3D1AE30B12F3D181</t>
  </si>
  <si>
    <t xml:space="preserve">1. Lahan STA 0+100, 3+200, 3+850, 4+050 belum bebas
Telah dilakukan koordinasi dengan pemilik lahan bahwa pekerjaan dilapangan dapat dilanjutkan.
2. Proses Kontrak ADD-05 terkait penambahan Nilai Kontrak menjadi 110% dari Kontrak Awal
</t>
  </si>
  <si>
    <t>https://1drv.ms/f/s!AoHR8xIL4xo98ES9cGJX4Y7Kb5Wk?e=xwZ5nb</t>
  </si>
  <si>
    <t>https://1drv.ms/f/s!AoHR8xIL4xo98SaIx8vxgbpEgo9t?e=uKZts1</t>
  </si>
  <si>
    <t>https://ptwaskita-my.sharepoint.com/:v:/g/personal/andri_j_waskita_co_id/EWq6rU-IlxhPkUq9K8iG0mwBhfhXLeYo8Eyq39CjqVPIkA?nav=eyJyZWZlcnJhbEluZm8iOnsicmVmZXJyYWxBcHAiOiJPbmVEcml2ZUZvckJ1c2luZXNzIiwicmVmZXJyYWxBcHBQbGF0Zm9ybSI6IldlYiIsInJlZmVycmFsTW9kZSI6InZpZXciLCJyZWZlcnJhbFZpZXciOiJNeUZpbGVzTGlua0NvcHkifX0&amp;e=nwUwRf</t>
  </si>
  <si>
    <t>https://ptwaskita-my.sharepoint.com/:f:/g/personal/andri_j_waskita_co_id/Em3WX8aBbNRFpzcKnjU8GNgBSaLgJ_0Y69SP2HanB2mmUQ?e=VbhgZi</t>
  </si>
  <si>
    <t>https://ptwaskita-my.sharepoint.com/:f:/g/personal/fahmi_waskita_co_id/EmED5FWhQZ5BtHJKmzEvZOgBbN7WTGPPKrIXjUt_0vL7Ag?e=PpyRvo</t>
  </si>
  <si>
    <t>https://ptwaskita-my.sharepoint.com/:v:/g/personal/basuki_rahmat_waskita_co_id/Ed7m_2QjtfVHkbxIv04S-GcBDFg0pCkB0GJLqVMz7BfYXw?nav=eyJyZWZlcnJhbEluZm8iOnsicmVmZXJyYWxBcHAiOiJPbmVEcml2ZUZvckJ1c2luZXNzIiwicmVmZXJyYWxBcHBQbGF0Zm9ybSI6IldlYiIsInJlZmVycmFsTW9kZSI6InZpZXciLCJyZWZlcnJhbFZpZXciOiJNeUZpbGVzTGlua0NvcHkifX0&amp;e=MgrRJQ</t>
  </si>
  <si>
    <t>https://ptwaskita-my.sharepoint.com/:f:/g/personal/basuki_rahmat_waskita_co_id/EuXlBwjkOZFEg1h11jVcb1IBUBBms5DpsBusideIRnl0VQ?e=ufQdxc</t>
  </si>
  <si>
    <t>https://ptwaskita-my.sharepoint.com/:f:/g/personal/basuki_rahmat_waskita_co_id/EgdVD6V49lRDkbqaN9rCDvcBXYeizvM9meLeXqlO8cLRzg?e=mGz1B4</t>
  </si>
  <si>
    <t>https://ptwaskita-my.sharepoint.com/:v:/g/personal/dhani_ramdhani_waskita_co_id/EVOhZFHIJOpJtqTlHumucVwBZe8b2tQw30cTIDiPyNeNdw?nav=eyJyZWZlcnJhbEluZm8iOnsicmVmZXJyYWxBcHAiOiJPbmVEcml2ZUZvckJ1c2luZXNzIiwicmVmZXJyYWxBcHBQbGF0Zm9ybSI6IldlYiIsInJlZmVycmFsTW9kZSI6InZpZXciLCJyZWZlcnJhbFZpZXciOiJNeUZpbGVzTGlua0NvcHkifX0&amp;e=hh7aDr</t>
  </si>
  <si>
    <t>https://ptwaskita-my.sharepoint.com/:f:/g/personal/dhani_ramdhani_waskita_co_id/Elo2MaAvr9xKlo3P-SZog4gBOj28Lm7kYi8ztj6hMMDdNQ?e=OTpJwM</t>
  </si>
  <si>
    <t>https://ptwaskita-my.sharepoint.com/:i:/g/personal/dhani_ramdhani_waskita_co_id/EUUmajXoKC1BlgKRTyR0YnoBRHWHAjgDkJp-dyeJTCt5AA?e=MGEVG3</t>
  </si>
  <si>
    <t>https://ptwaskita-my.sharepoint.com/:u:/g/personal/dhani_ramdhani_waskita_co_id/EY_zYKVlZNlPsFXZgEhXFhsB9nOTByqdRpeQdk4y6sYWRw?e=Tk1whc</t>
  </si>
  <si>
    <t>curah hujan tinggi</t>
  </si>
  <si>
    <t>https://drive.google.com/file/d/1a0yBqTbZQ5N6jNO_LILkkzNiipq14kdd/view?usp=sharing</t>
  </si>
  <si>
    <t>https://drive.google.com/drive/folders/1myCmZbqtgBMFsqahKA4RS9nZtshPmdqH?usp=drive_link</t>
  </si>
  <si>
    <t>https://drive.google.com/drive/folders/1IL43FciNXWHC_gXlgWRnBRZzNQZSJrlx?usp=drive_link</t>
  </si>
  <si>
    <t>https://drive.google.com/drive/folders/1BYrXSopK2NYTv2AtSSIrLgL5UEIzNbrL?usp=drive_link</t>
  </si>
  <si>
    <t>Perlu adanya backup supplier beton</t>
  </si>
  <si>
    <t>https://ptwaskita-my.sharepoint.com/:f:/g/personal/fahmi_waskita_co_id/Eten3vlJWYtEjwcHj0rlB4EBGaTTcxsTD3FOT3HDpaJNYw?e=gFMrbn</t>
  </si>
  <si>
    <t>https://ptwaskita-my.sharepoint.com/:f:/g/personal/fahmi_waskita_co_id/ElfQFyqiKmlDuQQhgranL-wBey-J8Tda-JRieGCaKzVYBg?e=sGTvVV</t>
  </si>
  <si>
    <t>https://ptwaskita-my.sharepoint.com/:f:/g/personal/fahmi_waskita_co_id/EgeQp6t2rqFIlB_9HcE_WxkBpE1Onz_l1up1_jGBnSkZJA?e=GJkRbS</t>
  </si>
  <si>
    <t>https://ptwaskita-my.sharepoint.com/:f:/g/personal/fahmi_waskita_co_id/ElGAd9_R_tZDvs3VWI8j23cBNUZZuS7cjw_x-2XdpSLdxg?e=WZCgca</t>
  </si>
  <si>
    <t>Isu Produksi / Operasional
- Pembebasan lahan belum 100% &gt;&gt; Bersurat secara berkala, serah terima lahan secara parsial, mengirimkan notifikasi dan update programe ke owner
- Supply Ready Mix membutuhkan Batching Plant Dedicated &gt;&gt; Saat ini telah berkontrak dengan Adhimix RMC dan Witon namun Bathcing Plan masih di luar area proyek, menunggu update penawaran WBP (setelah survey dengan tim proyek terkait lokasi dan vendor)
- Support material shorring &gt;&gt; Kebutuhan material shorring untuk pekerjaan pilehead,slab cast in situ dan struktur sedang di evaluasi harga sewa dan atau beli
- Harga Cement Treated Base (CTB) diatas budget APP &gt;&gt; Tim Proyek sudah melakukan negosiasi dengan beberapa vendor namun harga masih di atas budget APP, perlu support management untuk mendapatkan vendor / suplier CTB
Isu Kontraktual dan Legal
- Administrasi Approval Dokumen memakan waktu lama &gt;&gt; Proses approval dokumen memakan waktu yang cukup lama (dari konsultan/engineer) membutuhkan waktu kurang lebih 14 hari untuk proses approval. Koordinasi terus dilakukan dengan pihak terkait
- Addendum &gt;&gt; Proses Pengajuan Add 3 dan revisi Kurva S
Isu K3 dan lingkungan 
- Pengetesan kondisi lingkungan secara berkala &gt;&gt; Dilakukan pengetesan lingkungan secara berkala, perlu penambahan water tank untuk mengurangi debu di jalan akses warga yang dilintasi kendaraan 
Isu Finansial 
- IPC &gt;&gt; Sedang dalam proses pengajuan
- Pembayaran Vendor &gt;&gt; Perlu proses percepatan pembayaran vendor tanah dan mandor struktur untuk mendukung progress di lapangan</t>
  </si>
  <si>
    <t>https://os5.mycloud.com/action/share/ebbeab05-03d5-4bce-acbe-b9a5167e314d</t>
  </si>
  <si>
    <t>https://os5.mycloud.com/action/share/aa78c46f-7907-4ab8-9aa3-bfdb67f03782</t>
  </si>
  <si>
    <t>https://os5.mycloud.com/action/share/75753923-b62c-453a-a11a-8e30b0f52aae</t>
  </si>
  <si>
    <t>https://os5.mycloud.com/action/share/e0686ddb-c2f5-4bc0-a59f-34c7927f518d</t>
  </si>
  <si>
    <t>https://1drv.ms/f/s!AoHR8xIL4xo99hUCM6668PmsYTJ3?e=aEGRF8</t>
  </si>
  <si>
    <t>https://onedrive.live.com/?id=3D1AE30B12F3D181%2115215&amp;cid=3D1AE30B12F3D181&amp;authkey=%21AO46hJbzSa%5Fv65A</t>
  </si>
  <si>
    <t>1. Lahan STA 0+100, 3+200, 3+850, 4+050 belum bebas
Telah dilakukan koordinasi dengan pemilik lahan bahwa pekerjaan dilapangan dapat dilanjutkan.
2. Proses Kontrak ADD-05 terkait penambahan Nilai Kontrak menjadi 110% dari Kontrak Awal</t>
  </si>
  <si>
    <t>https://ptwaskita-my.sharepoint.com/:f:/g/personal/kretek_girijati_waskita_co_id/ErIIEiw7cRFOj7Z_d_xXb1cBW9D8MmJ4IIxXF1vYKpiqJg?e=wwRrJJ</t>
  </si>
  <si>
    <t>https://ptwaskita-my.sharepoint.com/:f:/g/personal/kretek_girijati_waskita_co_id/ErQjm_YEOvZHhcFQ1tOUIFgBZ_p0SZIOv3zcL-2HQNA_cQ?e=89e2yt</t>
  </si>
  <si>
    <t>1. Prosess Addendum 4
2. Cuaca Buruk</t>
  </si>
  <si>
    <t>https://youtu.be/u_iHKGSTN9o?si=ls5M6yeO9g4s-uza</t>
  </si>
  <si>
    <t xml:space="preserve">Rest Area hanya dapat dilaksanakan sebatas pematangan lahan, desain bangunan saat ini belum final
Item pembayaran rest area dilakuka secara meyeluruh sehingga berpotendi tidak dapat ditagihkan termin (dapat terprogress tapi tidak dapat di tagihkan)
Berkoordinasi dengan Owner terkait percepatan finalisasi bangunan Rest Area
Berkoordinasi dengan Owner dan Konsultan Pengawas agar dapat ditagihkan
Belum tercapainya target CL, DL, LC, dan Rigid
Butuh dukungan percepatan realisasi pembayaran tagihan vendor (WBP, Merak, Mandor dan Subkon)
Pekerjaan struktur masih ada yang belum selesai BC dan BU dikarenakan perlu biaya pemindahan utilitas di area tersebut
Percepatan administrasi pembayaran pemindahan utilitas di STA tersebut
</t>
  </si>
  <si>
    <t>imam.nuraziz@waskita.co.id</t>
  </si>
  <si>
    <t>https://ptwaskita-my.sharepoint.com/:f:/g/personal/publicrelation_waskita_co_id/EiBhsmZsYG1KpGJejJA8MJkBD7avhSKRw_imEoz67E4Adw?e=AyfJXp</t>
  </si>
  <si>
    <t>https://ptwaskita-my.sharepoint.com/:f:/g/personal/publicrelation_waskita_co_id/EmE7tlF8aEtHmSvIwxs63_gBDXktsOHxM3z8ZGLOLrjtMg?e=OgD9VS</t>
  </si>
  <si>
    <t>https://drive.google.com/drive/folders/1ZhCnOkxZyy1YQ5K70rI6Ccyx60F0XNPJ?usp=sharing</t>
  </si>
  <si>
    <t>https://drive.google.com/drive/folders/1oXarHtc0RmGFAy8DKheQayroAURIt3d9?usp=sharing</t>
  </si>
  <si>
    <t>https://drive.google.com/file/d/1oNl1rJzKQVsF0fq_-FLmDoXgE2GuBGea/view?usp=drivesdk</t>
  </si>
  <si>
    <t>https://drive.google.com/drive/folders/1nVxPK30J2oY9EmSXAVRh_xXGDpLM89RR?usp=sharing</t>
  </si>
  <si>
    <t>https://ptwaskita-my.sharepoint.com/:u:/g/personal/rezky_yudhaseno_waskita_co_id/EUWsIrMolW9Kpo1jBV5ujDUBsnaDVonUoZhSNJrgx0qpAw?e=kyff7W</t>
  </si>
  <si>
    <t>1. Terdapat permasalahan lahan yang belum bebas pada lokasi pekerjaan interchange, khusunya pada lokasi Ramp Akses dan Ramp 3
2. Terdapat Clash Detection dengan paket pekerjaan Tol IKN Seksi 3B pada pekerjaan Jembatan Satwa STA 08+325 &amp; 10+025 yang bersinggungan dengan Main Road Paket 3B terkait Design MUT (Multi Utility Tunnel)
3. Terdapat Longsoran pada Sta 14 lokasi mainroad dan behimpitan dengan ramp akses 1
4. Pada lokasi Ramp 2 CB-22 sd. CB-10 terdapat area sliding yang lokasinya berada di luar ROW
5. Belum adanya desain perkerasan pada lokasi gerbang tol sta 1+600
6. Terdapat perbedaan data existing ground pada rencana at grade STA 2+560,30 s/d 2+616,90 Jalan Akses Tol yang menyebabkan tinggi timbunan berubah.</t>
  </si>
  <si>
    <t>https://drive.google.com/file/d/1RyTdBOxQY1lAjTUeJlW9jooYxJ0DP3pp/view?usp=sharing</t>
  </si>
  <si>
    <t>https://1drv.ms/f/s!AoHR8xIL4xo9_DwViGCnBtTtf5me?e=EXHRyj</t>
  </si>
  <si>
    <t>https://1drv.ms/f/s!AoHR8xIL4xo9_nAZX1GePocBKMdf?e=uWmBnP</t>
  </si>
  <si>
    <t>sudah PHO</t>
  </si>
  <si>
    <t>https://drive.google.com/file/d/1s0RbQzeSCfofrcpQp3YH1-P5yj2_HE9H/view?usp=sharing</t>
  </si>
  <si>
    <t>https://drive.google.com/drive/folders/1BWxbcy8sbKPlSidSNde6q6ho01ijWUwT?usp=drive_link</t>
  </si>
  <si>
    <t>https://ptwaskita-my.sharepoint.com/:f:/g/personal/rio_david_waskita_co_id/Enxj6Rz0DoJMnyJd4trD4Y0BZKdjxqlffLbp_poNp20o4g?e=r6Zpht</t>
  </si>
  <si>
    <t>Penambahan ROW &amp; Pembebasan lahan</t>
  </si>
  <si>
    <t>https://drive.google.com/file/d/1ECAm1bZRMVdkxUq3PzXs5qvcjdRdT5T-/view?usp=drivesdk</t>
  </si>
  <si>
    <t>https://drive.google.com/drive/folders/1v27FygAdj7ZLbm17inWFsXMHgpY4KHl3?usp=sharing</t>
  </si>
  <si>
    <t>https://ptwaskita-my.sharepoint.com/:u:/g/personal/rezky_yudhaseno_waskita_co_id/EcsoVLY017RKnRDQ-N_fbzgBmdkvCDEXUU74xbKljEhytw?e=5StlGu</t>
  </si>
  <si>
    <t>1. Terdapat permasalahan lahan yang belum bebas pada lokasi pekerjaan interchange, khusunya pada lokasi Ramp Akses dan Ramp 3
2. Terdapat Clash Detection dengan paket pekerjaan Tol IKN Seksi 3B pada pekerjaan Jembatan Satwa STA 08+325 &amp; 10+025 yang bersinggungan dengan Main Road Paket 3B terkait Design MUT (Multi Utility Tunnel)
3. Pada lokasi Ramp 2 CB-22 sd. CB-10 terdapat area sliding yang lokasinya berada di luar ROW
4. Belum adanya desain perkerasan pada lokasi gerbang tol sta 1+600
5. Terdapat perbedaan data existing ground pada rencana at grade STA 2+560,30 s/d 2+616,90 Jalan Akses Tol yang menyebabkan tinggi timbunan berubah.
6. Keterlambatan pengiriman material SBG oleh vendor
7. Adanya perubahan PAGU TA 2024 yang semula 1,25 T menjadi 1,19 T yang tertuang dalam Add 5, penyesuaian anggaran pelaksanaan pembangunan IKN wilayah 2 ini berdampak pada progress pekerjaan</t>
  </si>
  <si>
    <t>=LEFT(A1,FIND(",",A1)-1)</t>
  </si>
  <si>
    <t>https://ptwaskita-my.sharepoint.com/:f:/g/personal/kretek_girijati_waskita_co_id/Evyk-ypXvtdNtCvjP6z9cLkBnp2jWhpTOtbv_96J6lB2eA?e=aycq2g</t>
  </si>
  <si>
    <t>https://ptwaskita-my.sharepoint.com/:f:/g/personal/kretek_girijati_waskita_co_id/Em2phs-PdBRFkDyAymPY5fkBe-WPNU8aH6Kik3rg25ltng?e=ZLThmF</t>
  </si>
  <si>
    <t>1. Cuaca ekstrem 
2. Proses addendum 4</t>
  </si>
  <si>
    <t>https://ptwaskita-my.sharepoint.com/:v:/g/personal/ganis_satria_waskita_co_id/ERXAYfPiI7dGguugDZUwSSUBlius54mqFxvNTJ3jGM5F2w?nav=eyJyZWZlcnJhbEluZm8iOnsicmVmZXJyYWxBcHAiOiJPbmVEcml2ZUZvckJ1c2luZXNzIiwicmVmZXJyYWxBcHBQbGF0Zm9ybSI6IldlYiIsInJlZmVycmFsTW9kZSI6InZpZXciLCJyZWZlcnJhbFZpZXciOiJNeUZpbGVzTGlua0NvcHkifX0&amp;e=75nJAZ</t>
  </si>
  <si>
    <t>https://ptwaskita-my.sharepoint.com/:f:/g/personal/ganis_satria_waskita_co_id/EqY7Nfev0GJMhAz7fGcxh4wBIomAsTBd-NN67JQ34Lcuvw?e=gaT3n0</t>
  </si>
  <si>
    <t>https://ptwaskita-my.sharepoint.com/:f:/g/personal/fahmi_waskita_co_id/Et8DNPwN3RFNn6FKrR0ZWHsBBtGGKhBZ2Vymi2BiNgGAWQ?e=Q2h3VI</t>
  </si>
  <si>
    <t>https://youtu.be/3aJzW2GZ3gg</t>
  </si>
  <si>
    <t>REST AREA
Saat ini Rest Area sudah dapat dilaksanakan pekerjaan sebatas pematangan lahan, desain Bangunan saat ini belum final dan diterima. (TL: Berkoordinasi dengan Owner terkait percepatan finalisasi desain Bangunan Rest Area).
Item Pembayaran Rest Area dilakukan secara menyeluruh sehingga berpotensi tidak dapat ditagihkan termin (Bisa dimasukkan dalam progress tetapi tidak dapat ditagihkan) - (TL: Berkoordinasi dengan JPB dan Konsultan agar bisa ditagihkan untuk Termin).
PEKERJAAN TANAH
Saat ini terdapat 3 Subkon Aktif CPM (Lokasi Rest Area), PMX lokasi STA 43+000 &amp; BKM Lokasi STA 44 (TL: Dukungan Percepatan  Administras Tagihan Vendor Agar kontinuitas pekerjaan dapat terjaga, Dukungan Percepatan  Realisasi Pembayaran Tagihan Vendor).
PEKERJAAN STRUKTUR
Box Culvert  = 31/33 Unit, Proses 1, Belum 1
Box Underpass = 7/9 Unit, Proses 1, Belum 1
Jembatan Paiton 2 = Close Pilecap (7/7), Proses Kolom dan Pierhead
Jembatan Sungai STA 43+425 = Close Borepile A1, Proses Borepile A2 (58/68 Titik)
(TL: Koordinasi dengan WBP terkait Kontinuitas Pengiriman Material Beton Terutama Semen, Penambahan Shoring / PD-8 untuk percepatan pekerjaan Kolom Jembatan Paiton 2, Perecepatan Administrasi pembayaran Pemindahan Utilitas STA 32+266 &amp; 43+425)
PEKERJAAN PERKERASAN
Target Bulan Desember 2024
CL 	= 5.464 m3 (1,1 Km)
DL 	= 7.601 m3 (1,6 Km)
LC 	= 27.900 m2 (1,1 Km)
Rigid 	= 5.257 m3 (0,8 Km)
(TL: Koordinasi dengan WBP &amp; Merak terkait Kontinuitas Pengiriman Material Beton, Dukungan Percepatan  Realisasi Pembayaran Tagihan Vendor (WBP, Merak &amp; Mandor).</t>
  </si>
  <si>
    <t>https://drive.google.com/file/d/1ZVzS80NoGB4e-L2uD_E57ZbThG0Lekf_/view?usp=sharing</t>
  </si>
  <si>
    <t>https://ptwaskita-my.sharepoint.com/personal/fahmi_waskita_co_id/_layouts/15/onedrive.aspx?id=%2Fpersonal%2Ffahmi%5Fwaskita%5Fco%5Fid%2FDocuments%2FBIM%20%2D%20INFRA%202%2FProject%2FWKINF2%20%2D%20%20Jalan%20Tol%20Akses%20Patimban%20Paket%202%2F3%2E%20PUBLISHED%2F10%2E%20DRONE&amp;sortField=LinkFilename&amp;isAscending=true&amp;ga=1</t>
  </si>
  <si>
    <t>https://ptwaskita-my.sharepoint.com/:f:/g/personal/fahmi_waskita_co_id/EgoMTh-ctAVJth8g-Ix_43wBmsEO9CI_guV06M1fqGZO0A?e=IdEZSB</t>
  </si>
  <si>
    <t>Isu Produksi/Operasional :
- Pembebasan Lahan belum 100% = bersurat secara berkala, serah terima lahan secara parsial, mengirimkan notifikasi dan update program ke owner
- Jalan Akses melibatkan 3 pihak (BBWS, PJT2 dan pertagas) = Pemeliharaan dan perbaikan jalan warga yang digunakan sebagai jalan akses
- Supply Ready mix membutuhkan batching plant dedicated = menunggu update penawaran WBP
- Support material shorring = kebutuhan material shorring untuk pekerjaan pilehead, slab on pile, dan struktur jembatan (sedang dalam tahap evaluasi harga sewa / beli)
- Harga Cement Treated Base (CTB) di atas budget APP = Tim proyek sudah melakukan negosiasi dengan beberapa vendor namun harga masih di atas budget APP
Isu Kontraktual dan legal :
- Administrasi approval memakan waktu yang lama = Proses approval dokumen memakan waktu yang cukup lama (dari konsultan / engineer) membutuhkan waktu kurang lebih 14 hari untuk proses approval
- Addendum = proses pengajuan addendum terkait MC-0 dan revisi kurva S
Isu K3 dan Lingkungan :
- Pengetesan kondisi lingkungan secara berkala = dilakukan pengetesan kondisi lingkungan secara berkala
- Pengecekan ulang kelengkapan dokumen dan kelayakan kendaraan / alat angkut = dilakukan pengecekan ulang kelenngkapan dokumen dan kelayakan kendaraan / alat angkut secara berkala
Isu Finansial
- Pembayaran Vendor = Perlu proses percepatan pembayaran vendor tanah dan mandor struktur untuk mendukung progress dilapangan</t>
  </si>
  <si>
    <t xml:space="preserve">Fajar Kurniawan </t>
  </si>
  <si>
    <t>https://drive.google.com/file/d/1-xf0X4cLXCGh120sJ3HG5xAEdazyAggl/view?usp=drive_link</t>
  </si>
  <si>
    <t>https://ptwaskita-my.sharepoint.com/:f:/g/personal/lot2blitar_waskita_co_id/Esf0SjLbaG9MgeQqsS0XscYBub7KGchosoARn6TCOTN7iw?e=1fWMXD</t>
  </si>
  <si>
    <t xml:space="preserve">a. DIPA 2024 s/d Desember sebesar 159 M sudah habis 
b. Adanya penambahan lokasi saluran type V-2 (V-ditch) dikarenakan outlet Box Culvert yang berada di lahan warga bersertifikat. secara volume diusulkan masuk ke dalam draft final quantity
c. Longsoran Slope mainroad salah satunya pada STA. 14+550 L </t>
  </si>
  <si>
    <t>https://ptwaskita-my.sharepoint.com/:v:/g/personal/basuki_rahmat_waskita_co_id/ESntbxJnwcBPuPQ1ZmEtNnkBeBMprVtwZ1-FAmf63N1ROg?nav=eyJyZWZlcnJhbEluZm8iOnsicmVmZXJyYWxBcHAiOiJPbmVEcml2ZUZvckJ1c2luZXNzIiwicmVmZXJyYWxBcHBQbGF0Zm9ybSI6IldlYiIsInJlZmVycmFsTW9kZSI6InZpZXciLCJyZWZlcnJhbFZpZXciOiJNeUZpbGVzTGlua0NvcHkifX0&amp;e=UkHiLk</t>
  </si>
  <si>
    <t>https://ptwaskita-my.sharepoint.com/:f:/g/personal/basuki_rahmat_waskita_co_id/ElaqfwdvwrVHhmNMzkoQaUYBBcSD6IBLxExXQHFFUEcd9g?e=shL9I1</t>
  </si>
  <si>
    <t>https://ptwaskita-my.sharepoint.com/:f:/g/personal/basuki_rahmat_waskita_co_id/Eo0RL2m9v2tHt1Avldq2hdMBWraVMf8dtimMdphhGfbIXg?e=fiyFFu</t>
  </si>
  <si>
    <t>https://ptwaskita-my.sharepoint.com/:v:/g/personal/dhani_ramdhani_waskita_co_id/EapuvIU7qzhBpN85JBpD0NgBKElLgLv6D1o21_nfIcv9lw?nav=eyJyZWZlcnJhbEluZm8iOnsicmVmZXJyYWxBcHAiOiJPbmVEcml2ZUZvckJ1c2luZXNzIiwicmVmZXJyYWxBcHBQbGF0Zm9ybSI6IldlYiIsInJlZmVycmFsTW9kZSI6InZpZXciLCJyZWZlcnJhbFZpZXciOiJNeUZpbGVzTGlua0NvcHkifX0&amp;e=fRNNEG</t>
  </si>
  <si>
    <t>https://ptwaskita-my.sharepoint.com/:f:/g/personal/dhani_ramdhani_waskita_co_id/EtYhyk11aD5Fg3RpTHpjLEgBquQjQ8g582ucmWiBV4_cxw?e=4NZmQ8</t>
  </si>
  <si>
    <t>https://ptwaskita-my.sharepoint.com/:i:/g/personal/dhani_ramdhani_waskita_co_id/Ef3Gih1py19El_4ztI9tx34BhSWbpQKtfW0qKR8lPpUUbw?e=jpZWND</t>
  </si>
  <si>
    <t>https://ptwaskita-my.sharepoint.com/:u:/g/personal/dhani_ramdhani_waskita_co_id/EYA2zwjUhsZLqV9dLv1NR4YBaQ52sss3cdIB0MoCtE9KMw?e=1LPjqQ</t>
  </si>
  <si>
    <t>https://os5.mycloud.com/action/share/f4a81f45-376b-47d1-957f-6f6a955a4b3a</t>
  </si>
  <si>
    <t>https://os5.mycloud.com/action/share/2fc468ed-1033-4b9c-b4d9-9d6f97af4116</t>
  </si>
  <si>
    <t>https://os5.mycloud.com/action/share/505b2e04-80ee-4dc4-9a90-a560e9eaa946</t>
  </si>
  <si>
    <t>https://os5.mycloud.com/action/share/c5148059-c5ba-4433-a264-ae01740d7444</t>
  </si>
  <si>
    <t>WBP Palu stop produksi pada 24 Maret 2025</t>
  </si>
  <si>
    <t>https://drive.google.com/file/d/1osb-PIBH96CDBI6VNw61cBeHAVDaANRf/view?usp=sharing</t>
  </si>
  <si>
    <t>https://drive.google.com/drive/folders/1YARGhbTZtlzbiKs-2mfy72Mr6ZIU3a3H?usp=sharing</t>
  </si>
  <si>
    <t>https://1drv.ms/f/s!AoHR8xIL4xo9gYALAR0ptnKJEYBbLw?e=4cOoyc</t>
  </si>
  <si>
    <t>https://1drv.ms/f/s!AoHR8xIL4xo9oBEQ15BeucvvXMSd?e=hGXvJm</t>
  </si>
  <si>
    <t>FINISH PHO</t>
  </si>
  <si>
    <t xml:space="preserve">Isu Produksi / Operational
- Pembebasan lahan belum 100 % &gt; Bersurat secara berkala, serah terima lahan secara parsial,engirimkan notifikasi dan update program ke owner. Pengajuan klaim perpanjangan waktu ke Owner
-Jalan Akses melibatkan 3 pihak ( BBWS, PJT2 dan Pertagas)&gt;Pemeliharaan dan perbaikan jalan warga yang digunakan sebagai jalan akses
-Supply Ready Mix membutuhkan Batching Plant Dedicated&gt;Saat ini telah berkontrak dengan Adhimix RMC dan Witon namun Batching Plan masih di luar area proyek. (WITON sedang proses mendirikan Batching Plan di dekat area proyek)
Proses kontrak WBP
Update harga vendor di sekitar area proyek (PT. Varia Beton)
-Harga Cement Treated Base (CTB) di atas budget APP&gt;Tim proyek sudah melakukan negosiasi dengan beberapa vendor namun harga masih di atas budget APP
Perlu support manajemen untuk mendapatkan vendor / supplier CTB
Telah dilakukan negosiasi dengan harga terendah PT. Varia Beton Utama (Rp. 615.000 per m3)
-Supply Common Borrow Material dengan nilai LL &lt; 50 terbatas (untuk top sub grade tebal 30 – 60 cm) &gt;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
Isu Kontraktual dan Legal
- Administrasi Approval Dokumen memakan waktu lama &gt;Proses approval dokumen memakan waktu yang cukup lama (dari Konsultan / Engineer) membutuhkan waktu kurang lebih 14 hari untuk proses approval. Koordinasi terus dilakukan dengan pihak terkait
-Addendum &gt;Proses pengajuan Addendum 4 terkait EOT dan harga item baru (Pancang tipe C, Sand Mat, Geotekstile Stabilitator 50 kN)
Isu K3 dan Lingkungan 
- Pengetesan kondisi lingkungan secara berkala &gt; Dilakukan pengetesan kondisi lingkungan secara berkala
Perlu penambahan water tank untuk mengurangi debu di jalan akses warga yang dilintasi kendaraan proyek
- Pengecekan Ulang Kelengkapan Dokumen dan kelayakan Kendaraan / Alat Angkut  &gt; Dilakukan pengecekan ulang kelengkapan dokumen dan kelayakan kendaraan / alat angkut secara berkala
Isu Finansial
- IPC &gt; IPC 11 sudah cair, proses penyusunan IPC 12
- Pembayaran Vendor &gt; Perlu proses percepatan pembayaran vendor tanah dan mandor struktur untuk mendukung progress di lapangan.
</t>
  </si>
  <si>
    <t>rio.david@waskita.co.id</t>
  </si>
  <si>
    <t>Rio David Rizkia Putra</t>
  </si>
  <si>
    <t>https://ptwaskita-my.sharepoint.com/:v:/g/personal/rio_david_waskita_co_id/EQi9vOeTX3ZFmmlMPeYdkKABvl1jeSt37gdmLPnWRNaaUQ?nav=eyJyZWZlcnJhbEluZm8iOnsicmVmZXJyYWxBcHAiOiJPbmVEcml2ZUZvckJ1c2luZXNzIiwicmVmZXJyYWxBcHBQbGF0Zm9ybSI6IldlYiIsInJlZmVycmFsTW9kZSI6InZpZXciLCJyZWZlcnJhbFZpZXciOiJNeUZpbGVzTGlua0NvcHkifX0&amp;e=ZoQ3g0</t>
  </si>
  <si>
    <t>https://ptwaskita-my.sharepoint.com/:f:/g/personal/ziad_al_waskita_co_id/Ei5UIVw4SbdPoM9PzW4gxOsBEWwp9T_zEwHJsfM992Hjhg?e=js12lB</t>
  </si>
  <si>
    <t>https://ptwaskita-my.sharepoint.com/:u:/g/personal/rio_david_waskita_co_id/Ec-mnymjd91Jma7rA9DRS8oBm0GRClIEK9urih0nGlpW8w?e=fxHtp5</t>
  </si>
  <si>
    <t>https://ptwaskita-my.sharepoint.com/:f:/g/personal/rio_david_waskita_co_id/EhGtbQ9LtW5CpklIOCQdHwABBxfK5EtmQMnnoI4RNP4Jjw?e=7JUz9J</t>
  </si>
  <si>
    <t xml:space="preserve">Pembebasan Lahan :
• Lahan Bebas = 88,35%
• Terdapat beberapa lokasi yang memerlukan tambahan
ROW seperti: Sta 26+650~26+950 Sisi L dan Sta 
26+750~27+000 Sisi-R
• Terdapat makam yang berlokasi di area jalan
Kabupaten Nagrak sisi Selatan
• Terdapat lahan dan rumah yang belum bebas pada 
inlet dan outlet Box Culvert Sta 30+653 dan Box 
Culvert Sta 30+790 </t>
  </si>
  <si>
    <t>https://drive.google.com/file/d/1Utz8sIf2ZBaEgk4JBoK1WZAg5YBPyQJ6/view?usp=drivesdk</t>
  </si>
  <si>
    <t>https://drive.google.com/drive/folders/1FAdn9J3YSCSMODlTauYGqJ91xEnlvm9t?usp=sharing</t>
  </si>
  <si>
    <t>https://ptwaskita-my.sharepoint.com/:u:/g/personal/rezky_yudhaseno_waskita_co_id/ET_4Qinp7_5Ku9-qSnLgTyYBamRcDnSb-N6kcqsHr9Ehfw?e=H3QuQK</t>
  </si>
  <si>
    <t xml:space="preserve">1. Terdapat permasalahan lahan yang belum bebas pada lokasi pekerjaan interchange, khusunya pada lokasi Ramp Akses dan Ramp 3.
2. Terdapat perbedaan data existing ground pada rencana at grade STA 2+560,30 s/d 2+616,90 Jalan Akses Tol yang menyebabkan tinggi timbunan berubah.
3. Setelah di simulasikan Metode Kerja dan pengukuran tinggi kabel, untuk pengeboran secant pile, alat berat pengeboran terkena bagian andongan SUTT.
4. Keterlambatan pengiriman material SBG oleh vendor
5. Adanya perubahan PAGU TA 2024 yang semula 1,25 T menjadi 1,19 T yang tertuang dalam Add 5, penyesuaian anggaran pelaksanaan pembangunan IKN wilayah 2 ini berdampak pada progress pekerjaan
</t>
  </si>
  <si>
    <t>https://ptwaskita-my.sharepoint.com/:v:/g/personal/basuki_rahmat_waskita_co_id/EXP88oOcS3RPsHCl_kttmuwBUvrl8p3vI04AYLHrVifwPw?nav=eyJyZWZlcnJhbEluZm8iOnsicmVmZXJyYWxBcHAiOiJPbmVEcml2ZUZvckJ1c2luZXNzIiwicmVmZXJyYWxBcHBQbGF0Zm9ybSI6IldlYiIsInJlZmVycmFsTW9kZSI6InZpZXciLCJyZWZlcnJhbFZpZXciOiJNeUZpbGVzTGlua0NvcHkifX0&amp;e=oXVEOC</t>
  </si>
  <si>
    <t>https://ptwaskita-my.sharepoint.com/:f:/g/personal/basuki_rahmat_waskita_co_id/EiQN3a-MuGRFqzLnV7roX1UBnq-OLhbXD8vSZC0VADRuQQ?e=BrFE88</t>
  </si>
  <si>
    <t>https://ptwaskita-my.sharepoint.com/:f:/g/personal/basuki_rahmat_waskita_co_id/Et1ctWZEd9lBvUWu6ynOcN4BmKdyqlv0s4BNAWvo7xSobA?e=OIreeS</t>
  </si>
  <si>
    <t>https://ptwaskita-my.sharepoint.com/:f:/g/personal/kretek_girijati_waskita_co_id/EqvLzm6Z1XZChyzmh_rl9f0BFhqt3rph8B8MGupkSojOMQ?e=SJpqAh</t>
  </si>
  <si>
    <t>https://ptwaskita-my.sharepoint.com/:f:/g/personal/kretek_girijati_waskita_co_id/ElvWoteLItZEpRYN-MmtrUMB0NFdIuLlReD08AX_kP9gsw?e=fSY9Sj</t>
  </si>
  <si>
    <t>https://ptwaskita-my.sharepoint.com/:f:/g/personal/kretek_girijati_waskita_co_id/Em2phs-PdBRFkDyAymPY5fkBe-WPNU8aH6Kik3rg25ltng?e=xNJUlA</t>
  </si>
  <si>
    <t>1. Cuaca Hujan 
2. Proses Addendum 4 sedang berjalan</t>
  </si>
  <si>
    <t>https://ptwaskita-my.sharepoint.com/:v:/g/personal/lot2blitar_waskita_co_id/EVrxU8S8euFDu9XD8JLCqsgByMwmXV0JSvgJvY_8p1rYeg?nav=eyJyZWZlcnJhbEluZm8iOnsicmVmZXJyYWxBcHAiOiJPbmVEcml2ZUZvckJ1c2luZXNzIiwicmVmZXJyYWxBcHBQbGF0Zm9ybSI6IldlYiIsInJlZmVycmFsTW9kZSI6InZpZXciLCJyZWZlcnJhbFZpZXciOiJNeUZpbGVzTGlua0NvcHkifX0&amp;e=2Qfq5N</t>
  </si>
  <si>
    <t>https://ptwaskita-my.sharepoint.com/:f:/g/personal/lot2blitar_waskita_co_id/Ep17rKFgLtRBt3zw8K2owSABSLjO5VXf2HeOm94gDxdUDw?e=EMOpKa</t>
  </si>
  <si>
    <t>https://ptwaskita-my.sharepoint.com/:f:/g/personal/lot2blitar_waskita_co_id/Eh5NmA8_cq5GtTsK08ob-dMBqAyvkttxxcQIqGcjVXrb6w?e=KcMezB</t>
  </si>
  <si>
    <t>https://youtu.be/UjgrYPep6GQ</t>
  </si>
  <si>
    <t>REST AREA
Saat ini Rest Area sudah dapat dilaksanakan pekerjaan sebatas pematangan lahan, desain Bangunan saat ini belum final dan diterima. (-&gt; Berkoordinasi dengan Owner terkait percepatan finalisasi desain Bangunan Rest Area.)
Item Pembayaran Rest Area dilakukan secara menyeluruh sehingga berpotensi tidak dapat ditagihkan termin (Bisa dimasukkan dalam progress tetapi tidak dapat ditagihkan). (-&gt; Berkoordinasi dengan JPB dan Konsultan agar bisa ditagihkan untuk Termin).
PEKERJAAN TANAH
Saat ini terdapat 2 Subkon Aktif CPM (Lokasi Rest Area), BKM Lokasi STA 44, Saat ini Proses pelaksanaan Pekerjaan Blasting. (-&gt; Dukungan Percepatan  Administras Tagihan Vendor Agar kontinuitas pekerjaan dapat terjaga, Monitoiring terhadap Aspek Keselamatan dalam Pelaksnaan Pekerjaan Blasting, Dukungan Percepatan  Realisasi Pembayaran Tagihan Vendor)
PEKERJAAN STRUKTUR
Box Culvert  = 31/33 Unit, Proses 2, Belum 0
Box Underpass = 7/9 Unit, Proses 1, Belum 1
Jembatan Paiton 2 = Close Pilecap (7/7), Proses Kolom dan Pierhead
Jembatan Sungai STA 43+425 = Close Borepile A1, Closed Borepile A2 (68/68 Titik = Finsih A2)
(-&gt;Koordinasi dengan WBP terkait Kontinuitas Pengiriman Material Beton (Semen &amp; Pasir), Percepatan Pendatangan Besi Unuk Kebutuhan lanjutan pekerjaan dilapangan, Koordinasi dengan Vendor dan Mandor terkait Percepatan Pelaksanaan di Lapangan)
PEKERJAAN PERKERASAN
Target Bulan Januari 2025
CL 	= 5.464 m3 (1,1 Km)
DL 	= 7.601 m3 (1,6 Km)
LC 	= 27.900 m2 (1,1 Km)
Rigid = 5.257 m3 (0,8 Km)
(-&gt;CL &amp; DL Koordinasi dengan Vendor terkait Optimasilasi pengiriman Material (CPM, BNF), Koordinasi dengan WBP terkait Kontinuitas Pengiriman Material Beton (Semen &amp; Pasir), Dukungan Percepatan  Realisasi Pembayaran Tagihan Vendor (WBP, Merak, CPM, BNF &amp; Mandor)</t>
  </si>
  <si>
    <t>https://os5.mycloud.com/action/share/456fbf07-e57c-4bf3-aa7f-4aa866411f5d</t>
  </si>
  <si>
    <t>https://os5.mycloud.com/action/share/c4caab86-2c0b-4b49-88ab-834027cb9272</t>
  </si>
  <si>
    <t>https://os5.mycloud.com/action/share/345146bc-0bde-43e1-ae6e-1c8eb79fa445</t>
  </si>
  <si>
    <t>https://os5.mycloud.com/action/share/a2f924be-8b03-4c12-a9cf-65a9fbaa0a20</t>
  </si>
  <si>
    <t>https://ptwaskita-my.sharepoint.com/:v:/g/personal/basuki_rahmat_waskita_co_id/EbLigdDwbMFIkHNuoPBXgscBqDIgIoU4OeMy_b4oRaSXTw?e=mjWvaw</t>
  </si>
  <si>
    <t>https://ptwaskita-my.sharepoint.com/:f:/g/personal/basuki_rahmat_waskita_co_id/EiErGU1McQhAkMdomnzfXgAB18DXhNh4on5kDj6oOUPrZw?e=0tSGIW</t>
  </si>
  <si>
    <t>https://ptwaskita-my.sharepoint.com/:f:/g/personal/basuki_rahmat_waskita_co_id/EmlXG0hl3zhDgCJ2IWU1K40BNHWX3un-O9g9rPVss1ZGLQ?e=TbrzaE</t>
  </si>
  <si>
    <t>https://ptwaskita-my.sharepoint.com/:f:/g/personal/fahmi_waskita_co_id/EgoMTh-ctAVJth8g-Ix_43wBmsEO9CI_guV06M1fqGZO0A?e=MZ02ci</t>
  </si>
  <si>
    <t xml:space="preserve">Isu Produksi /Operasional
- Pembebasan lahan belum 100% &gt; Bersurat secara berkala, serah terima lahan secara parsial,engirimkan notifikasi dan update program ke owner. 
Pengajuan klaim perpanjangan waktu ke Owner
Isu Kontraktual &amp; Legal
- Administrasi Approval Dokumen memakan waktu lama &gt;Proses approval dokumen memakan waktu yang cukup lama (dari Konsultan / Engineer) membutuhkan waktu kurang lebih 14 hari untuk proses approval. Koordinasi terus dilakukan dengan pihak terkait
 </t>
  </si>
  <si>
    <t>https://youtu.be/iQzbvK9XGlg</t>
  </si>
  <si>
    <t>https://tinyurl.com/Bank-Data-Media-Infra2</t>
  </si>
  <si>
    <t>REST AREA
Item Pembayaran Rest Area dilakukan secara menyeluruh sehingga berpotensi tidak dapat ditagihkan termin (Bisa dimasukkan dalam progress tetapi tidak dapat ditagihkan) - 
RTL = Berkoordinasi dengan JPB dan Konsultan agar bisa ditagihkan untuk Termin.
PEKERJAAN TANAH
Saat ini terdapat 2 Subkon Aktif CPM (Lokasi Rest Area), BKM Lokasi STA 44, Saat ini Proses pelaksanaan Pekerjaan Blasting.
RTL = Percepatan Administrasi baik internal maupun External terkait item pekerjaan Galian untuk dibuang agar pelaksanaan dilapangan segera dapat dilaksanakan, Koordinasi dengan Vendor Galian Batu (CPM,BKM) terkait peningkatann produktifitas, Dukungan Percepatan  Realisasi Pembayaran Tagihan Vendor. 
PEKERJAAN STRUKTUR
Percepatan Pendatangan Shoring untuk Pierhead Baik Shoring mandor atau Vendor, Saat ini BP yang supply hanya WBP, merak beton belum dapat supply karena masalah internal.
RTL = Koordinasi dengan Merak Beton terkait percepatan supply beton ke proyek, Koordinasi dengan Vendor Shoring Pierhead untuk percepatan pelaksanaan dilapangan, Koordinasi dengan Vendor dan Mandor terkait Percepatan Pelaksanaan di Lapangan.
PEKERJAAN PERKERASAN
Target Bulan Februari : 
CL 	= 4.355 m3 
DL 	= 4.823 m3
LC 	= 20.544 m2
Rigid = 6.875 m3
RTL = CL &amp; DL Koordinasi dengan Vendor terkait Optimasilasi pengiriman Material (CPM, BNF), Koordinasi dengan WBP terkait Kontinuitas Pengiriman Material Beton (Semen &amp; Pasir), Dukungan Percepatan  Realisasi Pembayaran Tagihan Vendor (WBP, Merak, CPM, BNF &amp; Mandor).</t>
  </si>
  <si>
    <t>https://drive.google.com/file/d/18UaEHML1qolYGr0OB4A2rc8YoyyKdsK3/view?usp=sharing</t>
  </si>
  <si>
    <t>https://ptwaskita-my.sharepoint.com/:f:/g/personal/rio_david_waskita_co_id/Ehn_z7llFtdNuHduWUxCkDkBXYBxrtc5wSIZacDB-KvxJA?e=9tlXME</t>
  </si>
  <si>
    <t>Pembebasan Lahan :
- Lahan Bebas = 88,35%
- Terdapat beberapa lokasi yang memerlukan tambahan ROW seperti : Sta. 26+650 - 26+950 Sisi L dan Sta. 26+750 - 27+000 Sisi R
- Terdapat makam yang berlokasi di area jalan Kabupaten Nagrak sisi selatan
- Terdapat lahan dan rumah yang belum bebas pada inlet dan outlet Box Culvert Sta. 30+653 dan Box Culvert Sta. 30+790</t>
  </si>
  <si>
    <t>https://ptwaskita-my.sharepoint.com/:f:/g/personal/kretek_girijati_waskita_co_id/ErCa-VExitNDko9skN5ecvwBWgBlnImnY-syxov74NK4YA?e=tQwjVA</t>
  </si>
  <si>
    <t>https://ptwaskita-my.sharepoint.com/:f:/g/personal/kretek_girijati_waskita_co_id/EsynUmKtTPBFq7bGhdKFJfkBjJg9QBMepss0vXRuaqrGWg?e=EQvfws</t>
  </si>
  <si>
    <t>1. Proses Pengesahan Addendum 4</t>
  </si>
  <si>
    <t>https://drive.google.com/file/d/1IfzZpWNhZK_YHLvMzEg2X7gwDcZCplsq/view?usp=sharing</t>
  </si>
  <si>
    <t>https://drive.google.com/drive/folders/1Vl63ltcgb9DWvBb0ifRCI6iLXpA_gctH?usp=sharing</t>
  </si>
  <si>
    <t>https://ptwaskita-my.sharepoint.com/:u:/g/personal/rezky_yudhaseno_waskita_co_id/ETvnLqciGwBIvKjpuBxVCnsB_MdiviPnMFz3aj40IW3h1g?e=JO9VX8</t>
  </si>
  <si>
    <t xml:space="preserve">1. Terdapat permasalahan lahan yang belum bebas pada lokasi pekerjaan interchange, khusunya pada lokasi Ramp Akses dan Ramp 3
2. Terdapat perbedaan data existing ground pada rencana at grade STA 2+560,30 s/d 2+616,90 Jalan Akses Tol yang menyebabkan tinggi timbunan berubah.
3. Setelah di simulasikan Metode Kerja dan pengukuran tinggi kabel, untuk pengeboran secant pile, alat berat pengeboran terkena bagian andongan SUTT.
4. Adanya perubahan PAGU TA 2024 yang semula 1,25 T menjadi 1,19 T yang tertuang dalam Add 5, penyesuaian anggaran pelaksanaan pembangunan IKN wilayah 2 ini berdampak pada progress pekerjaan
5. Adanya pemangkasan PAGU TA 2025 yang semula 1,2 T menjadi 381 M, pada seluruh paket pekerjaan BBPJN Kaltim
</t>
  </si>
  <si>
    <t>https://os5.mycloud.com/action/share/fa8ec6c1-8396-42c9-8a06-15b28a14daaf</t>
  </si>
  <si>
    <t>https://os5.mycloud.com/action/share/c7ba296c-d08c-4f51-bfa5-811e376ec112</t>
  </si>
  <si>
    <t>link upload menyusul</t>
  </si>
  <si>
    <t>Pembayaran pekerjaan aspal harus Cash Before Delivery</t>
  </si>
  <si>
    <t>https://ptwaskita-my.sharepoint.com/:v:/g/personal/lot2blitar_waskita_co_id/EZy7Rbuz6QhKvAJWoXY_YFMBwg18_dJQw6CnRVtx4D0XSg?nav=eyJyZWZlcnJhbEluZm8iOnsicmVmZXJyYWxBcHAiOiJPbmVEcml2ZUZvckJ1c2luZXNzIiwicmVmZXJyYWxBcHBQbGF0Zm9ybSI6IldlYiIsInJlZmVycmFsTW9kZSI6InZpZXciLCJyZWZlcnJhbFZpZXciOiJNeUZpbGVzTGlua0NvcHkifX0&amp;e=9mifFr</t>
  </si>
  <si>
    <t>https://ptwaskita-my.sharepoint.com/:f:/g/personal/lot2blitar_waskita_co_id/Eu3ucivFB8lJozXnkpftVbQBqzWj6LAca4CzEefIEk5_pA?e=8dADKD</t>
  </si>
  <si>
    <t>https://ptwaskita-my.sharepoint.com/:i:/g/personal/lot2blitar_waskita_co_id/EbJnh4nbg1RMkVYvE2Ehw2gBnanghFWsFSawSc7caeAG6g?e=DbuJR8</t>
  </si>
  <si>
    <t>https://ptwaskita-my.sharepoint.com/:u:/g/personal/lot2blitar_waskita_co_id/Efgdmuzh_xdFhMSAkeC7VUIBeUAIoF_zm-XXPL69mDPvxQ?e=xcWyHs</t>
  </si>
  <si>
    <t>Potensi kekurangan DIPA T.A 2025 untuk percepatan penyelesaian proyek di tahun 2025.</t>
  </si>
  <si>
    <t>https://os5.mycloud.com/action/share/f7c8d3d0-45d5-4989-831f-26d4caaf5f5d</t>
  </si>
  <si>
    <t>https://os5.mycloud.com/action/share/7a887478-3f8e-47d2-b09a-2c2f12848667</t>
  </si>
  <si>
    <t>https://os5.mycloud.com/action/share/a32878b4-4a54-4a42-bebb-de43be2d15d8</t>
  </si>
  <si>
    <t>https://os5.mycloud.com/action/share/13bc07ea-9e94-4aae-a369-67e323956565</t>
  </si>
  <si>
    <t>https://os5.mycloud.com/action/share/5eb27dc2-0583-46aa-849c-87658307364b</t>
  </si>
  <si>
    <t>https://os5.mycloud.com/action/share/89623a02-bf2a-4a77-ba99-59844abcbe8b</t>
  </si>
  <si>
    <t>https://ptwaskita-my.sharepoint.com/:f:/g/personal/fahmi_waskita_co_id/Eten3vlJWYtEjwcHj0rlB4EBGaTTcxsTD3FOT3HDpaJNYw?e=T22Ym8</t>
  </si>
  <si>
    <t>https://ptwaskita-my.sharepoint.com/:f:/g/personal/fahmi_waskita_co_id/ElfQFyqiKmlDuQQhgranL-wBey-J8Tda-JRieGCaKzVYBg?e=Lk0beJ</t>
  </si>
  <si>
    <t>https://ptwaskita-my.sharepoint.com/:f:/g/personal/fahmi_waskita_co_id/EgeQp6t2rqFIlB_9HcE_WxkBpE1Onz_l1up1_jGBnSkZJA?e=bKf0AV</t>
  </si>
  <si>
    <t>https://ptwaskita-my.sharepoint.com/:f:/g/personal/fahmi_waskita_co_id/ElGAd9_R_tZDvs3VWI8j23cBNUZZuS7cjw_x-2XdpSLdxg?e=NSU2Ih</t>
  </si>
  <si>
    <t>raymond.andhika@waskita.co.id</t>
  </si>
  <si>
    <t>https://ptwaskita-my.sharepoint.com/:f:/g/personal/fahmi_waskita_co_id/EuslJIGICeJPm008dyNYn4MBVnzmPKOlv_qMot0ndlKDEQ?e=N52BRx</t>
  </si>
  <si>
    <t>https://ptwaskita-my.sharepoint.com/:f:/g/personal/fahmi_waskita_co_id/EteUxvik4QRBtF0_G7COSRgBvb-sjlz0puUXZ20h-ntm4Q?e=ThEjv9</t>
  </si>
  <si>
    <t xml:space="preserve">Isu Produksi / Operasional 
-Bersurat secara berkala, serah terima lahan secara parsial,mengirimkan notifikasi dan update program ke owner. 
-Pengajuan klaim perpanjangan waktu dan additional cost ke Owner (Interim s.d Desember 2025)
-Progress terlambat karena pembebasan lahan sebesar -5.001 % 
-Pemeliharaan dan perbaikan jalan warga yang digunakan sebagai jalan akses
-Saat ini telah berkontrak dengan Adhimix RMC , Varia usaha beton dan Amanah Beton 
-Tim proyek sudah melakukan negosiasi dengan beberapa vendor namun harga masih di atas budget APP
Perlu support manajemen untuk mendapatkan vendor / supplier CTB
-Telah dilakukan negosiasi dengan harga terendah PT. Varia Beton Utama (Rp. 615.000 per m3)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
-Adanya kendala pada Quarry Subkontraktor menyebabkan pengiriman material menurun terhadap target proyek. Sedang dilakukan upaya untuk mencari opsi quarry lain dan tambahan subkontraktor
Issue Kontraktual dan Legal 
- Proses approval dokumen memakan waktu yang cukup lama (dari Konsultan / Engineer) membutuhkan waktu kurang lebih 14 hari untuk proses approval. Koordinasi terus dilakukan dengan pihak terkait
-Proses pengajuan Addendum 4 terkait EOT dan harga item baru (Pancang tipe C, Sand Mat, Geotekstile Stabilitator 50 kN)
Isu K3 
-Dilakukan pengetesan kondisi lingkungan secara berkala
Perlu penambahan water tank untuk mengurangi debu di jalan akses warga yang dilintasi kendaraan proyek
Isu Finansial 
- Informasi dari PPK DIPA untuk tahun 2025 sebesar 236 M
- IPC 12 dan 13 menunggu proses pencairan.
- Proses Penyusunan IPC 14'
- Perlu proses percepatan pembayaran vendor tanah dan mandor struktur untuk mendukung progress di lapangan.
</t>
  </si>
  <si>
    <t>https://ptwaskita-my.sharepoint.com/:v:/g/personal/basuki_rahmat_waskita_co_id/EYRB7jaqN4xCpbeJ0yAHfEwBJpovGEk7PTdYiDCJTUF8gw?nav=eyJyZWZlcnJhbEluZm8iOnsicmVmZXJyYWxBcHAiOiJPbmVEcml2ZUZvckJ1c2luZXNzIiwicmVmZXJyYWxBcHBQbGF0Zm9ybSI6IldlYiIsInJlZmVycmFsTW9kZSI6InZpZXciLCJyZWZlcnJhbFZpZXciOiJNeUZpbGVzTGlua0NvcHkifX0&amp;e=zbbg3L</t>
  </si>
  <si>
    <t>https://ptwaskita-my.sharepoint.com/:f:/g/personal/basuki_rahmat_waskita_co_id/Eo3YC2Y9_-pPmWYGhB8JbiwBSJXb0c7nFM0RQ6kUw4oQRg?e=JwOoKH</t>
  </si>
  <si>
    <t>https://ptwaskita-my.sharepoint.com/:f:/g/personal/basuki_rahmat_waskita_co_id/Eubww52BvvRNiXaaY-PWqygBsMjdGanMURtHBFSZEqNdgw?e=qMdKm1</t>
  </si>
  <si>
    <t>https://ptwaskita-my.sharepoint.com/:v:/g/personal/rio_david_waskita_co_id/EYnVjcfg89BPt_norzdP4TsB2Wmqs3qtQDcfUIVMVytyZA?nav=eyJyZWZlcnJhbEluZm8iOnsicmVmZXJyYWxBcHAiOiJPbmVEcml2ZUZvckJ1c2luZXNzIiwicmVmZXJyYWxBcHBQbGF0Zm9ybSI6IldlYiIsInJlZmVycmFsTW9kZSI6InZpZXciLCJyZWZlcnJhbFZpZXciOiJNeUZpbGVzTGlua0NvcHkifX0&amp;e=vImWz8</t>
  </si>
  <si>
    <t>https://ptwaskita-my.sharepoint.com/:f:/g/personal/fahmi_waskita_co_id/EkpLGRQcNShPu6lX1MJruH4By_nk52i9plccCvkBgL4_SQ?e=aiapap</t>
  </si>
  <si>
    <t>1. Operasional
➢ Pembebasan Lahan :
• Lahan Bebas  = 88,35%
• Terdapat beberapa lokasi yang memerlukan tambahan ROW seperti: Sta 26+650~26+950 Sisi L dan Sta 26+750~27+000 Sisi-R
• Terdapat makam yang berlokasi di area jalan Kabupaten Nagrak sisi Selatan
• Terdapat lahan dan rumah yang belum bebas pada inlet dan outlet Box Culvert Sta 30+653 dan Box Culvert Sta 30+790
2. Pelaksanaan Pekerjaan di Lapangan
➢ Pekerjaan Timbunan Tanah
• Produktivitas pekerjaan timbunan tanah menurun akibat intensitas hujan yang masih tinggi di lokasi pekerjaan
3. Logistik
➢ Kontrak Vendor
• Proses adendum penambahan dana yang masih berjalan menyebabkan kekurangan budget pada sistem SAP
4. Bantuan management untuk penyampaian kepada pihak owner terkait pembayaran direct payment agar bisa lebih fleksibel</t>
  </si>
  <si>
    <t>https://os5.mycloud.com/action/share/89700fca-8b12-4864-be8d-92c88a2fed50</t>
  </si>
  <si>
    <t>https://os5.mycloud.com/action/share/bb6acf0d-cefc-452a-a97d-d604ec63d1b5</t>
  </si>
  <si>
    <t>link menyusul</t>
  </si>
  <si>
    <t>dalam masa perawatan mengerjakan beberapa pekerjaan finishing dan repair yang masuk punch list</t>
  </si>
  <si>
    <t>https://ptwaskita-my.sharepoint.com/:v:/g/personal/lot2blitar_waskita_co_id/EezQyA3vXOhDsref-O1IXW8B3juR-FVY9RU7wZo0Z0xetw?nav=eyJyZWZlcnJhbEluZm8iOnsicmVmZXJyYWxBcHAiOiJPbmVEcml2ZUZvckJ1c2luZXNzIiwicmVmZXJyYWxBcHBQbGF0Zm9ybSI6IldlYiIsInJlZmVycmFsTW9kZSI6InZpZXciLCJyZWZlcnJhbFZpZXciOiJNeUZpbGVzTGlua0NvcHkifX0&amp;e=FpZ02P</t>
  </si>
  <si>
    <t>https://ptwaskita-my.sharepoint.com/:f:/g/personal/lot2blitar_waskita_co_id/EiroWEBo0BROtB2KTaPjUI4BeWrkDmyZA4cGm2ML-X84AA?e=sFE6tq</t>
  </si>
  <si>
    <t xml:space="preserve">Ketersediaan DIPA 2025 yang tidak bisa memenuhi target rencana selesai pekerjaan pada tahun 2025 </t>
  </si>
  <si>
    <t>https://ptwaskita-my.sharepoint.com/:f:/g/personal/kretek_girijati_waskita_co_id/EuU0bcXdS-1AukbK-Wh1KegB_YgzBaZ-BIpfycmTqW8QvA?e=RUQV1d</t>
  </si>
  <si>
    <t>https://ptwaskita-my.sharepoint.com/:f:/g/personal/kretek_girijati_waskita_co_id/EiDJHiVQQ8tHm-FRpBHwNe4BFio3-4BzpXF738Tymitoag?e=gBOnOR</t>
  </si>
  <si>
    <t>https://ptwaskita-my.sharepoint.com/:f:/g/personal/kretek_girijati_waskita_co_id/Er7NtelwhmBMjZlSwtgR6b4BEwHy1WGf2phHxiTucqpgvA?e=i3dHHb</t>
  </si>
  <si>
    <t>Proses Addendum 4 masih berjalan</t>
  </si>
  <si>
    <t>https://os5.mycloud.com/action/share/6edf8d8a-1f69-48c7-ab99-5ac85cdd9f56</t>
  </si>
  <si>
    <t>https://os5.mycloud.com/action/share/741eef1a-be89-47c1-8d72-c45906871c92</t>
  </si>
  <si>
    <t>https://drive.google.com/file/d/1VYrftnZq67YQsTGbmjpopS2BbO_GLupZ/view?usp=drive_link</t>
  </si>
  <si>
    <t>https://drive.google.com/drive/folders/14ydUVIZmXz5toLh_H6q864BmATwaxQH5?usp=drive_link</t>
  </si>
  <si>
    <t>https://ptwaskita-my.sharepoint.com/:u:/g/personal/rezky_yudhaseno_waskita_co_id/EXAbH-UQjFdAp1ZZ1TAGRcsBRJd7O9_-32YMLAGGnJWfDw?e=GOMl9o</t>
  </si>
  <si>
    <t xml:space="preserve">1. Terdapat permasalahan lahan yang belum bebas pada lokasi pekerjaan interchange, khusunya pada lokasi Ramp Akses dan Ramp 3
2. Terdapat perbedaan data existing ground pada rencana at grade STA 2+560,30 s/d 2+616,90 Jalan Akses Tol yang menyebabkan tinggi timbunan berubah.
3. Setelah di simulasikan Metode Kerja dan pengukuran tinggi kabel, untuk pengeboran secant pile, alat berat pengeboran terkena bagian andongan SUTT.
4. Adanya pemangkasan PAGU TA 2025 yang semula 1,2 T menjadi 476 M, pada seluruh paket pekerjaan BBPJN Kaltim
5. Proses Pengajuan Addendum 7 baru selesai pembahasan di BBPJN Kaltim, dan akan maju ke Dir. JBH Bina Marga 
    - Pengajuan dari PJ perpanjangan waktu pelaksanaa s/d November 2026
    - Evaluasi Tim Teknis BBPJN Kaltim perpanjangan s/d Agustus 2026
</t>
  </si>
  <si>
    <t>https://youtu.be/16FFvaTJ6Gk</t>
  </si>
  <si>
    <t>https://ptwaskita-my.sharepoint.com/personal/fahmi_waskita_co_id/_layouts/15/AccessDenied.aspx?Source=https%3A%2F%2Fptwaskita%2Dmy%2Esharepoint%2Ecom%2Fpersonal%2Ffahmi%5Fwaskita%5Fco%5Fid%2FDocuments%2FBIM%20%2D%20INFRA%202%2FProject%2FWKINF2%20%2D%201323020%20Jalan%20Tol%20Probowangi%2F1%2E%20WIP%2FGIS%2F13%2E%20Update%20Orthophoto%3Fcsf%3D1%26web%3D1%26e%3DhUflvD%26CID%3D0a04fc5a%2Da63a%2D457c%2Db38c%2D319ca0b802fa&amp;correlation=bf279ba1%2D808d%2D5000%2D1d7e%2D4a1036bb820f&amp;Type=item&amp;name=8710bf98%2Dc660%2D4e49%2Dabe7%2Dd583acf0b9dc&amp;listItemId=2503961&amp;listItemUniqueId=d42299a4%2Def7b%2D4cbb%2D81a0%2D424748f0a24a</t>
  </si>
  <si>
    <t xml:space="preserve">1. Rest Area
Saat ini Rest Area sudah dapat dilaksanakan pekerjaan sebatas pematangan lahan, 
Item Pembayaran Rest Area dilakukan secara menyeluruh sehingga berpotensi tidak dapat ditagihkan termin (Bisa dimasukkan dalam progress tetapi tidak dapat ditagihkan).
Tindak Lanjut : Kami sudah bersurat ke owner (JPB) terkait usulan perubahan Jenis Kontrak dan Waktu pelaksanaan supaya Pekerjaan Rest Area dapat dilakukan perubahan kontrak (dapat dilaksanakan terpisah dari Kontrak Induk), Berkoordinasi dengan KSO dan JPB terkait usulan perubahan tersebut.
2. Galian Batu Untuk Timbunan
Galian Batu Mekanik untuk Dibuang Menunggu Finalisasi Pembebasan Lahan untuk Pool Derek dari Owner, Pengakuan Progres Pekerjaan Galian Batu Menunggu Finalisasi Administrasi Kontrak Addendum-07
Tindak Lanjut : Koordinasi dengan Owner (JPB) Terkait Lahan Pool Derek untuk Galian dibuang, Koordinasi dengan KSO dan JPB (Owner) terkait percepatan finalisasi Addendum 07, Dukungan Percepatan  Realisasi Pembayaran 	Tagihan Vendor. 
3. Pemenuhan Besi untuk Bulan Mei 2025 : Kebutuhan Besi :  480 Ton
Pemenuhan Besi oleh Vendor agar bisa Kontinue 	mengikuti kebutuhan dilapangan,
Saat ini BP yang supply hanya WBP dan WBP mengalami kendala supply material karena kendala financial, merak beton belum dapat supply karena masalah internal.
Tindak Lanjut : Koordinasi dengan UB dan SCM terkait pemenuhan kebutuhan Besi Bulan  April 2025, Koordinasi dengan Merak Beton terkait percepatan supply beton ke proyek, Koordinasi dengan Vendor dan Mandor terkait Percepatan Pelaksanaan di Lapangan, Percepatan Pembayaran Vendor WBP
4. PEKERJAAN PERKERASAN (CL, DL, LC &amp; Rigid)
Target Bulan Mei 2025
CL 	= 5.501 m3 (1.169 m)
DL 	= 5.060 m3 (1.075 m)
LC 	= 1.659 m3 (700 m)
Rigid = 8.034 m3 (1.144 m)
Tindak Lanjut : CL &amp; DL Koordinasi dengan Vendor terkait Optimasilasi pengiriman Material, Koordinasi dengan WBP terkait Kontinuitas Pengiriman Material Beton (Semen &amp; Pasir),
Dukungan Percepatan  Realisasi Pembayaran Tagihan Vendor (WBP, Merak, CPM, BNF &amp; Mandor)
</t>
  </si>
  <si>
    <t>https://ptwaskita-my.sharepoint.com/:v:/g/personal/lot2blitar_waskita_co_id/EYsotiRSgGNFtxPNvtNf6ZEB58VD94t7k1I1X3n4-J0dyw?nav=eyJyZWZlcnJhbEluZm8iOnsicmVmZXJyYWxBcHAiOiJPbmVEcml2ZUZvckJ1c2luZXNzIiwicmVmZXJyYWxBcHBQbGF0Zm9ybSI6IldlYiIsInJlZmVycmFsTW9kZSI6InZpZXciLCJyZWZlcnJhbFZpZXciOiJNeUZpbGVzTGlua0NvcHkifX0&amp;e=uG6fgo</t>
  </si>
  <si>
    <t>https://ptwaskita-my.sharepoint.com/:f:/g/personal/lot2blitar_waskita_co_id/En2-QEIhg-pKjHoWViWtHZUBLiJzeFjLbZc0PQiXrgBnnQ?e=YzCu6o</t>
  </si>
  <si>
    <t>a. Terjadi longsoran kembali area slope galian pada STA. 5+275R setelah dilakukan pekerjaan sesuai dengan justifikasi teknis dan Shop drawing yang sudah disepakati yang terindikasi terdapat sumber air pada lokasi tersebut
b. 'Potensi kekurangan DIPA T.A 2025 untuk percepatan penyelesaian proyek di tahun 2025</t>
  </si>
  <si>
    <t>https://drive.google.com/file/d/14rv_HesSpK0rWkvXTxKlXhLw4ScmxmLV/view?usp=drive_link</t>
  </si>
  <si>
    <t>https://drive.google.com/drive/folders/1SIvLAaOJIdVGGlo_k4zocZJvyL7DEDPR?usp=drive_link</t>
  </si>
  <si>
    <t>https://drive.google.com/drive/folders/1VHcVy5eOoyCpbMzvTYgXNjuESrrcC5ED?usp=sharing</t>
  </si>
  <si>
    <t xml:space="preserve">1. Terdapat permasalahan lahan yang belum bebas pada lokasi pekerjaan interchange, khusunya pada lokasi Ramp Akses dan Ramp 3
2. Terdapat perbedaan data existing ground pada rencana at grade STA 2+560,30 s/d 2+616,90 Jalan Akses Tol yang menyebabkan tinggi timbunan berubah.
3. Setelah di simulasikan Metode Kerja dan pengukuran tinggi kabel, untuk pengeboran secant pile, alat berat pengeboran terkena bagian andongan SUTT.
4. Adanya pemangkasan PAGU TA 2025 yang semula 1,2 T menjadi 476 M, pada seluruh paket pekerjaan BBPJN Kaltim
5. Proses Addendum 7 terkait dengan perpanjangan waktu pelaksanaan setelah dilakukan pembahasan di Dir. JBH Bina Marga dengan hasil :
    - Waktu pelaksanaan pekerjaan diperpanjang s/d Desember 2025
    - Setelah adanya ijin perpanjangan MYC, waktu pelaksanaan akan diperpanjang s/d Desember 2026
</t>
  </si>
  <si>
    <t>https://ptwaskita-my.sharepoint.com/:f:/g/personal/fahmi_waskita_co_id/EuslJIGICeJPm008dyNYn4MBVnzmPKOlv_qMot0ndlKDEQ?e=hJF9jK</t>
  </si>
  <si>
    <t>https://ptwaskita-my.sharepoint.com/:f:/g/personal/fahmi_waskita_co_id/En1mK-QibOdAgCWLDlGD1tsBE_ovpwDtYC9oXx1GUfldTA?e=cbC5hv</t>
  </si>
  <si>
    <t xml:space="preserve">Isu Produksi / Operasional
- Pembebasan lahan belum 100% &gt; Bersurat secara berkala, serah terima lahan secara parsial,engirimkan notifikasi dan update program ke owner. Pengajuan klaim perpanjangan waktu dan additional cost ke Owner (Interim s.d Desember 2025)
Progress terlambat karena pembebasan lahan sebesar -5.001 % 
- Jalan Akses melibatkan 3 pihak ( BBWS, PJT2 dan Pertagas) &gt; Pemeliharaan dan perbaikan jalan warga yang digunakan sebagai jalan akses 
- Supply Ready Mix membutuhkan Batching Plant Dedicated &gt; Saat ini telah berkontrak dengan Adhimix RMC , Varia usaha beton dan Amanah Beton 
- Harga Cement Treated Base (CTB) di atas budget APP &gt; Tim proyek sudah melakukan negosiasi dengan beberapa vendor namun harga masih di atas budget APP Perlu support manajemen untuk mendapatkan vendor / supplier CTB
Telah dilakukan negosiasi dengan harga terendah PT. Varia Beton Utama (Rp. 615.000 per m3)
- Supply Common Borrow Material dengan nilai LL &lt; 50 terbatas (untuk top sub grade tebal 30 – 60 cm) &gt;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
- Supply Material Earthwork &gt; Adanya kendala pada Quarry Subkontraktor menyebabkan pengiriman material menurun terhadap target proyek. Sedang dilakukan upaya untuk mencari opsi quarry lain dan tambahan subkontraktor
Isu Kontraktual dan Legal
- Administrasi Approval Dokumen memakan waktu lama &gt; Proses approval dokumen memakan waktu yang cukup lama (dari Konsultan / Engineer) membutuhkan waktu kurang lebih 14 hari untuk proses approval. Koordinasi terus dilakukan dengan pihak terkait
- Addendum &gt; Proses pengajuan Addendum 4 terkait EOT dan harga item baru (Pancang tipe C, Sand Mat, Geotekstile Stabilitator 50 kN)
Isu K3 dan Lingkungan 
- Pengetesan kondisi lingkungan secara berkala &gt; Dilakukan pengetesan kondisi lingkungan secara berkala Perlu penambahan water tank untuk mengurangi debu di jalan akses warga yang dilintasi kendaraan proyek
- Pengecekan Ulang Kelengkapan Dokumen dan kelayakan Kendaraan / Alat Angkut &gt;  Dilakukan pengecekan ulang kelengkapan dokumen dan kelayakan kendaraan / alat angkut secara berkala
Isu Finansial
- IPC &gt; Informasi dari PPK DIPA untuk tahun 2025 sebesar 236 M
- Pembayaran Vendor &gt; Perlu proses percepatan pembayaran vendor tanah dan mandor struktur untuk mendukung progress di lapangan.
</t>
  </si>
  <si>
    <t>https://ptwaskita-my.sharepoint.com/:v:/g/personal/rio_david_waskita_co_id/EeSoIgmR4y5AikJVM71E4qEBbxC7VjOR7nnQtDC5F2nBnw?nav=eyJyZWZlcnJhbEluZm8iOnsicmVmZXJyYWxBcHAiOiJPbmVEcml2ZUZvckJ1c2luZXNzIiwicmVmZXJyYWxBcHBQbGF0Zm9ybSI6IldlYiIsInJlZmVycmFsTW9kZSI6InZpZXciLCJyZWZlcnJhbFZpZXciOiJNeUZpbGVzTGlua0NvcHkifX0&amp;e=FDWfQf</t>
  </si>
  <si>
    <t>https://ptwaskita-my.sharepoint.com/:f:/g/personal/rio_david_waskita_co_id/EkQXZx4LEKhPpY1LC1Rr8DEBDJgXmo4rYIZrchDAZJ0H5A?e=aHiLHi</t>
  </si>
  <si>
    <t>https://ptwaskita-my.sharepoint.com/:f:/g/personal/fahmi_waskita_co_id/Ev3GxEnnuuBBiP9cJ-qtDYUBFOeGWOAc1jhcCFHmouXUJA?e=htVnYr</t>
  </si>
  <si>
    <t>1. Operasional
    - Pembebasan Lahan :
      1. Lahan Bebas  = 88,35%
      2. Terdapat beberapa lokasi yang memerlukan tambahan ROW seperti: Sta 26+650~26+950 Sisi L dan Sta 26+750~27+000 Sisi-R
      3. Terdapat makam yang berlokasi di area jalan Kabupaten Nagrak sisi Selatan
      4. Terdapat lahan dan rumah yang belum bebas pada inlet dan outlet Box Culvert Sta 30+653 dan Box Culvert Sta 30+790 
2. Pelaksanaan Pekerjaan di Lapangan
    - Pekerjaan Tanah
      Produktivitas pekerjaan tanah masih belum memenuhi target rencana akibat curah hujan tinggi di lingkungan proyek dan kurangnya lahan 
      disposal
3. Logistik
    - Kontrak Vendor
      Proses adendum penambahan dana yang masih berjalan menyebabkan kekurangan budget pada sistem SAP
4. Bantuan management untuk penyampaian kepada pihak owner terkait pembayaran direct payment agar bisa lebih fleksibel</t>
  </si>
  <si>
    <t>https://ptwaskita-my.sharepoint.com/:v:/g/personal/basuki_rahmat_waskita_co_id/Ec-DXhd-7NVNg__7luINJVUBxr_4dfW9_jccsIv1hOtSOA?nav=eyJyZWZlcnJhbEluZm8iOnsicmVmZXJyYWxBcHAiOiJPbmVEcml2ZUZvckJ1c2luZXNzIiwicmVmZXJyYWxBcHBQbGF0Zm9ybSI6IldlYiIsInJlZmVycmFsTW9kZSI6InZpZXciLCJyZWZlcnJhbFZpZXciOiJNeUZpbGVzTGlua0NvcHkifX0&amp;e=GwAcYt</t>
  </si>
  <si>
    <t>https://ptwaskita-my.sharepoint.com/:f:/g/personal/basuki_rahmat_waskita_co_id/ElBxpI6eQGdEjzLWgBUf7QwBEJv_-WqEE3wuxbvGBO45EA?e=Co7uX7</t>
  </si>
  <si>
    <t>https://ptwaskita-my.sharepoint.com/:f:/g/personal/basuki_rahmat_waskita_co_id/EhDcxMWgKS9MveQK3uSoMCoB8RNj4zxnCE4L8EUwFOgj2Q?e=Ojrpbi</t>
  </si>
  <si>
    <t>https://youtu.be/VUaEwmB2Y0Y</t>
  </si>
  <si>
    <t>https://ptwaskita-my.sharepoint.com/personal/fahmi_waskita_co_id/_layouts/15/onedrive.aspx?id=%2Fpersonal%2Ffahmi%5Fwaskita%5Fco%5Fid%2FDocuments%2FBIM%20%2D%20INFRA%202%2FProject%2FWKINF2%20%2D%201323020%20Jalan%20Tol%20Probowangi%2F1%2E%20WIP%2FGIS%2F13%2E%20Update%20Orthophoto&amp;csf=1&amp;web=1&amp;e=hUflvD&amp;CID=a6ebeb1f%2Dbce7%2D4e68%2Db3a9%2Dba77ef03f7ee&amp;FolderCTID=0x0120008AE2C3201DBDD44A93E08450C0DB2828&amp;view=0</t>
  </si>
  <si>
    <t>1. Rest Area 
Saat ini Rest Area sudah dapat dilaksanakan pekerjaan sebatas pematangan lahan, desain bangunan pada Rest Area belum ada finalisasi oleh Owner.
Tindak Lanjut : Koordinasi dengan owner terkait percepatan desain bangunan Rest Area, Bersurat ke owner terkait permintaan desain bangunan Rest Area
2. Lahan Belum Bebas
Dinding Penahan Tanah STA 32+650 : DPT STA 32+650 sudah dilaksanakan pekerjaan sebatas lahan yang sudah bebas sisa pekerjaan menunggu pembebasan lahan oleh owner.
Tanah TKD STA 44+300 – 44+500 : Tanah TKD merupakan tanah sengketa yang sampai dengan saat ini masih proses di pengadilan.
Tindak Lanjut = Koordinasi dengan Owner terkait Proses dan Percepatan Pembebasan Lahan
3. Penambahan Lahan
Terdapat beberapa lokasi pada saluran samping yang belum dapat dilaksanakan karena terkendala kekurangan lahan, saat ini masih dalam proses finalisasi rencana penambahan lahan oleh Owner.
Tindak Lanjut = Koordinasi dengan Owner terkait Proses dan Percepatan Penambahan Lahan.
4. Penambahan Waktu Pelaksanana Pekerjaan
Kontrak Addendum VI berakhir pada 9 Juni 2025, akibat adanya Issue External terkait desain dan lahan akan dilakukan usulan penambahan waktu.
Tindak Lanjut = Sudah dilaksanakan Rapat Penambahan Item Baru dan Penambahan Waktu dengan Papenkon pada 14-16 Mei 2025 dengan hasil akan dilakukan perpanjangan pelaksanaan pekerjaan sampai dengan 9 Desember 2025.</t>
  </si>
  <si>
    <t>https://ptwaskita-my.sharepoint.com/:f:/g/personal/kretek_girijati_waskita_co_id/EhbVXya6tUJGp6pDs5MX978BvByhXkfph8ZFFOmPN51xgg?e=br0MmP</t>
  </si>
  <si>
    <t>https://ptwaskita-my.sharepoint.com/:f:/g/personal/kretek_girijati_waskita_co_id/Eiwm9Qq0nsJIqKMKgKJ0rFkBOlBFz7_c2lX3j_-52jfxGQ?e=9h826o</t>
  </si>
  <si>
    <t>Proses Addendum 4 Masih Berjalan, menunggu keputusan owner</t>
  </si>
  <si>
    <t>https://ptwaskita-my.sharepoint.com/:f:/g/personal/fahmi_waskita_co_id/Eten3vlJWYtEjwcHj0rlB4EBGaTTcxsTD3FOT3HDpaJNYw?e=38dmtR</t>
  </si>
  <si>
    <t>https://ptwaskita-my.sharepoint.com/:f:/g/personal/fahmi_waskita_co_id/ElfQFyqiKmlDuQQhgranL-wBey-J8Tda-JRieGCaKzVYBg?e=JhhGrC</t>
  </si>
  <si>
    <t>https://ptwaskita-my.sharepoint.com/:f:/g/personal/fahmi_waskita_co_id/EgeQp6t2rqFIlB_9HcE_WxkBpE1Onz_l1up1_jGBnSkZJA?e=fYnIb5</t>
  </si>
  <si>
    <t>https://ptwaskita-my.sharepoint.com/:f:/g/personal/fahmi_waskita_co_id/ElGAd9_R_tZDvs3VWI8j23cBNUZZuS7cjw_x-2XdpSLdxg?e=C8Cktj</t>
  </si>
  <si>
    <t>https://ptwaskita-my.sharepoint.com/:v:/g/personal/rio_david_waskita_co_id/EexGdfj51OdFtUYcfB9cQ4wBlF_3-uSwBUB_o5gBvRBbdQ?nav=eyJyZWZlcnJhbEluZm8iOnsicmVmZXJyYWxBcHAiOiJPbmVEcml2ZUZvckJ1c2luZXNzIiwicmVmZXJyYWxBcHBQbGF0Zm9ybSI6IldlYiIsInJlZmVycmFsTW9kZSI6InZpZXciLCJyZWZlcnJhbFZpZXciOiJNeUZpbGVzTGlua0NvcHkifX0&amp;e=SobV24</t>
  </si>
  <si>
    <t>https://ptwaskita-my.sharepoint.com/:f:/g/personal/rio_david_waskita_co_id/EmtA4RJkxxZEjk4DJa9qQDYBR3lbmuW94wcGiQP8Cjmasg?e=X3pWi9</t>
  </si>
  <si>
    <t>https://ptwaskita-my.sharepoint.com/:f:/g/personal/fahmi_waskita_co_id/EsDh_rk0yUVNkpmyqfVyM2YBm1mneXP7jLfOsIOxxC0vzQ?e=PJJkRh</t>
  </si>
  <si>
    <t xml:space="preserve">1. Operasional
    &gt; Pembebasan Lahan :
       - Lahan Bebas  = 88,35%
       - Terdapat beberapa lokasi yang memerlukan tambahan ROW seperti: Sta 26+650~26+950 Sisi L dan Sta 26+750~27+000 Sisi-R
       - Terdapat makam yang berlokasi di area jalan Kabupaten Nagrak sisi Selatan
       - Terdapat lahan dan rumah yang belum bebas pada inlet dan outlet Box Culvert Sta 30+653 dan Box Culvert Sta 30+790 
2. Pelaksanaan Pekerjaan di Lapangan
    &gt; Pekerjaan Tanah
       - Produktivitas pekerjaan tanah masih belum memenuhi target rencana akibat curah hujan tinggi di lingkungan proyek dan kurangnya lahan  disposal
3. Logistik
    &gt; Kontrak Vendor
       - Proses adendum penambahan dana yang masih berjalan menyebabkan kekurangan budget pada sistem SAP
</t>
  </si>
  <si>
    <t>https://ptwaskita-my.sharepoint.com/:v:/g/personal/fahmi_waskita_co_id/ETROEeL68hdLssWqhMzwhbABU44Q4ZhsQuj8iIyOj4i7gw?nav=eyJyZWZlcnJhbEluZm8iOnsicmVmZXJyYWxBcHAiOiJPbmVEcml2ZUZvckJ1c2luZXNzIiwicmVmZXJyYWxBcHBQbGF0Zm9ybSI6IldlYiIsInJlZmVycmFsTW9kZSI6InZpZXciLCJyZWZlcnJhbFZpZXciOiJNeUZpbGVzTGlua0NvcHkifX0&amp;e=Ug9Epa</t>
  </si>
  <si>
    <t>https://ptwaskita-my.sharepoint.com/:f:/g/personal/fahmi_waskita_co_id/Etz4i_CAU6pGubKMuOVQ_fsB2AVYijOECdd4fMaZ9bL-LQ?e=fCfnUD</t>
  </si>
  <si>
    <t xml:space="preserve">Isu Produksi / Operasional
- Pembebasan lahan belum 100% &gt; Bersurat secara berkala, serah terima lahan secara parsial,engirimkan notifikasi dan update program ke owner. Pengajuan klaim perpanjangan waktu dan additional cost ke Owner (Interim s.d Desember 2025). Progress terlambat karena pembebasan lahan sebesar -5.001 %
- Jalan Akses melibatkan 3 pihak ( BBWS, PJT2 dan Pertagas) &gt; Akibat cuaca buruk Pemeliharaan dan perbaikan jalan warga yang digunakan sebagai jalan akses
- Supply Ready Mix membutuhkan Batching Plant Dedicated &gt; Saat ini telah berkontrak dengan Adhimix RMC , Varia usaha beton dan Amanah Beton 
- Harga Cement Treated Base (CTB) di atas budget APP &gt; Tim proyek sudah melakukan negosiasi dengan beberapa vendor namun harga masih di atas budget APP. Perlu support manajemen untuk mendapatkan vendor / supplier CTB
Telah dilakukan negosiasi dengan harga terendah PT. Varia Beton Utama (Rp. 615.000 per m3)
- Supply Common Borrow Material dengan nilai LL &lt; 50 terbatas (untuk top sub grade tebal 30 – 60 cm) &gt;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
- Supply Material Earthwork &gt; Adanya kendala pada Quarry Subkontraktor menyebabkan pengiriman material menurun terhadap target proyek. Sedang dilakukan upaya untuk mencari opsi quarry lain dan tambahan subkontraktor
Isu Kontraktual dan Legal 
- Administrasi Approval Dokumen memakan waktu lama &gt; Proses approval dokumen memakan waktu yang cukup lama (dari Konsultan / Engineer) membutuhkan waktu kurang lebih 14 hari untuk proses approval. Koordinasi terus dilakukan dengan pihak terkait
- Addendum &gt; Proses pengajuan Addendum 4 terkait EOT dan harga item baru (Pancang tipe C, Sand Mat, Geotekstile Stabilitator 50 kN)
Isu K3 dan Lingkungan 
- Pengetesan kondisi lingkungan secara berkala &gt; Dilakukan pengetesan kondisi lingkungan secara berkala. Perlu penambahan water tank untuk mengurangi debu di jalan akses warga yang dilintasi kendaraan proyek.
- Pengecekan Ulang Kelengkapan Dokumen dan kelayakan Kendaraan / Alat Angkut &gt;  Dilakukan pengecekan ulang kelengkapan dokumen dan kelayakan kendaraan / alat angkut secara berkala
Isu Financial 
- IPC &gt; Informasi dari PPK DIPA untuk tahun 2025 sebesar 236 M. Proses Penyusunan IPC 15 dan IPC 16
- Pembayaran Vendor &gt; Perlu proses percepatan pembayaran vendor tanah dan mandor struktur untuk mendukung progress di lapangan.
</t>
  </si>
  <si>
    <t>https://ptwaskita-my.sharepoint.com/:f:/g/personal/lot2blitar_waskita_co_id/EiFw6kDOt6tLgFFlgTt-ir4BgT0hfvXEuN-pPM5me95U1A?e=zBmkTU</t>
  </si>
  <si>
    <t>https://ptwaskita-my.sharepoint.com/:f:/g/personal/lot2blitar_waskita_co_id/EqvP5aDvmklFpWlDb9l1bNUBURb2h_65RTEx3WH2hTPd5g?e=fmHJA6</t>
  </si>
  <si>
    <t>https://ptwaskita-my.sharepoint.com/:f:/g/personal/lot2blitar_waskita_co_id/EmGPE3vyStNNmz9nPOwv7dUB9zVSMXBwTL8w6mcz3Kb1OQ?e=tLEBZb</t>
  </si>
  <si>
    <t>https://ptwaskita-my.sharepoint.com/:f:/g/personal/lot2blitar_waskita_co_id/EpW6CiPBnoBDq9b-Le-8Mi0Bj0sYcxWjEkwQWfewK202Dw?e=dM0mge</t>
  </si>
  <si>
    <t xml:space="preserve">- Potensi kekurangan DIPA T.A 2025 untuk target percepatan penyelesaian pekerjaan proyek tahun 2025
- Terjadi longsoran kembali STA. 5+275R setelah dilakukan pekerjaan sesuai dengan justifikasi teknis dan Shop Drawing </t>
  </si>
  <si>
    <t>https://drive.google.com/file/d/1sSVdDKPfLJKEWazs-LyPXHv4Iqe3xpL9/view?usp=drive_link</t>
  </si>
  <si>
    <t>https://drive.google.com/drive/folders/1OAYTu7GIJNarIIZEeaESpdCyyhHkFoLQ?usp=drive_link</t>
  </si>
  <si>
    <t>https://drive.google.com/file/d/1o-yWYTCvUOUXESODiUQczvWIdZJo4SXn/view?usp=drive_link</t>
  </si>
  <si>
    <t>https://drive.google.com/file/d/1q_pw4bhvAPvgH_Up8W-n-_zg-PxeBGy7/view?usp=drive_link</t>
  </si>
  <si>
    <t xml:space="preserve">1. Terdapat permasalahan lahan yang belum bebas pada lokasi pekerjaan interchange, khusunya pada lokasi Ramp Akses dan Ramp 3
2. Terdapat perbedaan data existing ground pada rencana at grade STA 2+560,30 s/d 2+616,90 Jalan Akses Tol yang menyebabkan tinggi timbunan berubah. Ada beberapa alternatif dalam penanganan timbunan dengan Replacement, Preloading, Soldierpile, Geotextile, Counterweight.
3. Setelah di simulasikan Metode Kerja dan pengukuran tinggi kabel, untuk pengeboran secant pile, alat berat pengeboran terkena bagian andongan SUTT. Rencana penanganan akan menggunakan Slope Stability.
4. Adanya pemangkasan PAGU TA 2025 yang semula 1,2 T menjadi 476 M, pada seluruh paket pekerjaan BBPJN Kaltim
5. Proses Addendum 7 terkait dengan perpanjangan waktu pelaksanaan setelah dilakukan pembahasan di Dir. JBH Bina Marga dengan hasil :
    - Waktu pelaksanaan pekerjaan diperpanjang s/d Desember 2025
    - Setelah adanya ijin perpanjangan MYC, waktu pelaksanaan akan diperpanjang s/d Desember 2026
</t>
  </si>
  <si>
    <t>https://ptwaskita-my.sharepoint.com/:f:/g/personal/fahmi_waskita_co_id/Eten3vlJWYtEjwcHj0rlB4EBGaTTcxsTD3FOT3HDpaJNYw?e=JMoJff</t>
  </si>
  <si>
    <t>https://ptwaskita-my.sharepoint.com/:f:/g/personal/fahmi_waskita_co_id/ElfQFyqiKmlDuQQhgranL-wBey-J8Tda-JRieGCaKzVYBg?e=ubgruw</t>
  </si>
  <si>
    <t>https://ptwaskita-my.sharepoint.com/:f:/g/personal/fahmi_waskita_co_id/EgeQp6t2rqFIlB_9HcE_WxkBpE1Onz_l1up1_jGBnSkZJA?e=S2eoQT</t>
  </si>
  <si>
    <t>https://ptwaskita-my.sharepoint.com/:f:/g/personal/fahmi_waskita_co_id/ElGAd9_R_tZDvs3VWI8j23cBNUZZuS7cjw_x-2XdpSLdxg?e=MhW06J</t>
  </si>
  <si>
    <t>https://youtu.be/NGjyKZUuddQ</t>
  </si>
  <si>
    <t>https://ptwaskita-my.sharepoint.com/personal/banyu_purwita_waskita_co_id/_layouts/15/onedrive.aspx?id=%2Fpersonal%2Fbanyu%5Fpurwita%5Fwaskita%5Fco%5Fid%2FDocuments%2FInfra%202%2FProyek%20Probolinggo%20%2D%20Banyuwangi%20Paket%203%2FDokumentasi&amp;ga=1</t>
  </si>
  <si>
    <t xml:space="preserve">Rest Area 
Saat ini Rest Area sudah dapat dilaksanakan pekerjaan sebatas pematangan lahan, desain bangunan pada Rest Area belum ada finalisasi oleh Owner
TL = Koordinasi dengan owner terkait percepatan desain bangunan Rest AreaBersurat ke owner terkait permintaan desain bangunan Rest Area
Lahan Belum Bebas
Dinding Penahan Tanah STA 32+650 : DPT STA 32+650 sudah dilaksanakan pekerjaan sebatas lahan yang sudah bebas sisa pekerjaan menunggu pembebasan lahan oleh owner.
Lahan STA 44+300 – 44+500 : merupakan tanah sengketa yang sampai dengan saat ini masih proses di pengadilan.
TL = Koordinasi dengan Owner terkait Proses dan Percepatan Pembebasan Lahan
Penambahan Lahan
Terdapat beberapa lokasi pada saluran samping yang belum dapat dilaksanakan karena terkendala kekurangan lahan, saat ini masih dalam proses finalisasi rencana penambahan lahan oleh Owner.
TL = Koordinasi dengan Owner terkait Proses dan Percepatan Penambahan Lahan
</t>
  </si>
  <si>
    <t>https://ptwaskita-my.sharepoint.com/:v:/g/personal/basuki_rahmat_waskita_co_id/ERKVhi6OijFLuGtP4htjfOcBl7wTEtJsy4DUlG8gVmv0lg?nav=eyJyZWZlcnJhbEluZm8iOnsicmVmZXJyYWxBcHAiOiJPbmVEcml2ZUZvckJ1c2luZXNzIiwicmVmZXJyYWxBcHBQbGF0Zm9ybSI6IldlYiIsInJlZmVycmFsTW9kZSI6InZpZXciLCJyZWZlcnJhbFZpZXciOiJNeUZpbGVzTGlua0NvcHkifX0&amp;e=OJYpNS</t>
  </si>
  <si>
    <t>https://ptwaskita-my.sharepoint.com/:f:/g/personal/basuki_rahmat_waskita_co_id/EqDfEFq8ck5GuKVprzwb9dAB-EZTjL2QCtwpWXjvBsCHHg?e=Odwh2n</t>
  </si>
  <si>
    <t>https://ptwaskita-my.sharepoint.com/:f:/g/personal/basuki_rahmat_waskita_co_id/EhZc90QU8bZPum7kvNSuaPkBtjokM0pSDbxOHEY5M9JkXw?e=UvwF8m</t>
  </si>
  <si>
    <t>Peningkatan Jalan Paket D KIPP 1C</t>
  </si>
  <si>
    <t>https://drive.google.com/file/d/1oQHrRXrGEX9qo9jkBkKqbLDmF9AoyO05/view?usp=sharing</t>
  </si>
  <si>
    <t>https://ptwaskita-my.sharepoint.com/:f:/g/personal/fahmi_waskita_co_id/Ejd6gCZyyGhBkuX8brR-eLABxYcXlUM_lA4_pmkayKscvQ?e=8js0gR</t>
  </si>
  <si>
    <t>https://ptwaskita-my.sharepoint.com/shared?id=%2Fpersonal%2Ffahmi%5Fwaskita%5Fco%5Fid%2FDocuments%2FBIM%20%2D%20INFRA%202%2FProject%2FWKINF2%20%2D%201324001%20Jalan%20Tol%20Akses%20Patimban%20Paket%202%2F3%2E%20PUBLISHED&amp;listurl=%2Fpersonal%2Ffahmi%5Fwaskita%5Fco%5Fid%2FDocuments</t>
  </si>
  <si>
    <t>https://ptwaskita-my.sharepoint.com/shared?id=%2Fpersonal%2Ffahmi%5Fwaskita%5Fco%5Fid%2FDocuments%2FBIM%20%2D%20INFRA%202%2FProject%2FWKINF2%20%2D%201324001%20Jalan%20Tol%20Akses%20Patimban%20Paket%202%2F3%2E%20PUBLISHED%2F9%2E%20DOKUMENTASI&amp;listurl=%2Fpersonal%2Ffahmi%5Fwaskita%5Fco%5Fid%2FDocuments</t>
  </si>
  <si>
    <t>https://ptwaskita-my.sharepoint.com/shared?id=%2Fpersonal%2Ffahmi%5Fwaskita%5Fco%5Fid%2FDocuments%2FBIM%20%2D%20INFRA%202%2FProject%2FWKINF2%20%2D%201324001%20Jalan%20Tol%20Akses%20Patimban%20Paket%202%2F2%2E%20SHARED%20%28NEW%29%2F02%2E%20Reality%20Modeling%2F19%2E%20Juli%202025&amp;listurl=%2Fpersonal%2Ffahmi%5Fwaskita%5Fco%5Fid%2FDocuments</t>
  </si>
  <si>
    <t xml:space="preserve">Isu Produksi :
- Pembebasan lahan belum 100% &gt; Bersurat secara berkala, serah terima lahan secara parsial,engirimkan notifikasi dan update program ke owner. 
Pengajuan klaim perpanjangan waktu dan additional cost ke Owner (Interim s.d Desember 2025)
Progress terlambat karena pembebasan lahan sebesar -8.001 % 
- Jalan Akses melibatkan 3 pihak ( BBWS, PJT2 dan Pertagas) &gt; Akibat cuaca buruk Pemeliharaan dan perbaikan jalan warga yang digunakan sebagai jalan akses
- Supply Ready Mix membutuhkan Batching Plant Dedicated &gt; Saat ini telah berkontrak dengan Adhimix RMC , Varia usaha beton dan Amanah Beton 
- Harga Cement Treated Base (CTB) di atas budget APP &gt; Tim proyek sudah melakukan negosiasi dengan beberapa vendor namun harga masih di atas budget APP
Perlu support manajemen untuk mendapatkan vendor / supplier CTB
Telah dilakukan negosiasi dengan harga terendah PT. Varia Beton Utama (Rp. 615.000 per m3)
- Supply Common Borrow Material dengan nilai LL &lt; 50 terbatas (untuk top sub grade tebal 30 – 60 cm) &gt;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
- Supply Material Earthwork &gt; Adanya kendala pada Quarry Subkontraktor menyebabkan pengiriman material menurun terhadap target proyek. Sedang dilakukan upaya untuk mencari opsi quarry lain dan tambahan subkontraktor
Isu Kontraktual dan Legal
- Addendum &gt; Proses pengajuan Addendum 4 terkait EOT dan harga item baru (Pancang tipe C, Sand Mat, Geotekstile Stabilitator 50 kN)
Pembebasan lahan belum 100% &gt; Bersurat secara berkala, serah terima lahan secara parsial,engirimkan notifikasi dan update program ke owner. 
Pengajuan klaim perpanjangan waktu dan additional cost ke Owner (Interim s.d Desember 2025)
Progress terlambat karena pembebasan lahan sebesar -8.001 % 
Jalan Akses melibatkan 3 pihak ( BBWS, PJT2 dan Pertagas)
Supply Ready Mix membutuhkan Batching Plant Dedicated &gt; Akibat cuaca buruk Pemeliharaan dan perbaikan jalan warga yang digunakan sebagai jalan akses
Harga Cement Treated Base (CTB) di atas budget APP &gt; Saat ini telah berkontrak dengan Adhimix RMC , Varia usaha beton dan Amanah Beton 
Supply Common Borrow Material dengan nilai LL &lt; 50 terbatas (untuk top sub grade tebal 30 – 60 cm) &gt; Tim proyek sudah melakukan negosiasi dengan beberapa vendor namun harga masih di atas budget APP
Perlu support manajemen untuk mendapatkan vendor / supplier CTB
Telah dilakukan negosiasi dengan harga terendah PT. Varia Beton Utama (Rp. 615.000 per m3)
Supply Material Earthwork &gt;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treatmentAdanya kendala pada Quarry Subkontraktor menyebabkan pengiriman material menurun terhadap target proyek. Sedang dilakukan upaya untuk mencari opsi quarry lain dan tambahan subkontraktor
</t>
  </si>
  <si>
    <t>https://drive.google.com/file/d/10qegnh2Z3sbCp9lQF2oLZgA_Wuoz1TjW/view?usp=drive_link</t>
  </si>
  <si>
    <t>https://drive.google.com/drive/folders/1wyu0XKm9XQNB5ULwIn9s6rtw5wrTrqOv?usp=drive_link</t>
  </si>
  <si>
    <t>https://ptwaskita-my.sharepoint.com/:u:/g/personal/rezky_yudhaseno_waskita_co_id/EcQ6tqsHER1LoEInRFH2bTQBcagWBrANxULuI8deFSb5nw?e=zEy0D2</t>
  </si>
  <si>
    <t>https://ptwaskita-my.sharepoint.com/:u:/g/personal/rezky_yudhaseno_waskita_co_id/ER1fbM9Bkg5JsFVcUQNBoo0Bs93-IsZWUBLC3l1q3qdYdg?e=4zaune</t>
  </si>
  <si>
    <t>1. Terdapat permasalahan lahan yang belum bebas pada lokasi pekerjaan interchange, khusunya pada lokasi Ramp Akses dan Ramp 3
2. Terdapat perbedaan data existing ground pada rencana at grade STA 2+560,30 s/d 2+616,90 Jalan Akses Tol yang menyebabkan tinggi timbunan berubah.
3. Setelah di simulasikan Metode Kerja dan pengukuran tinggi kabel, untuk pengeboran secant pile, alat berat pengeboran terkena bagian andongan SUTT.
4. Adanya pemangkasan PAGU TA 2025 yang semula 1,2 T menjadi 639 M, pada seluruh paket pekerjaan BBPJN Kaltim</t>
  </si>
  <si>
    <t>https://youtu.be/k_8xtlQsFlw</t>
  </si>
  <si>
    <t>https://ptwaskita-my.sharepoint.com/personal/fahmi_waskita_co_id/_layouts/15/onedrive.aspx?csf=1&amp;web=1&amp;e=hUflvD&amp;CID=3a5f9cf3%2D0b69%2D46b4%2D962e%2D74d852bb0306&amp;id=%2Fpersonal%2Ffahmi%5Fwaskita%5Fco%5Fid%2FDocuments%2FBIM%20%2D%20INFRA%202%2FProject%2FWKINF2%20%2D%201323020%20Jalan%20Tol%20Probowangi%2F1%2E%20WIP%2FGIS%2F13%2E%20Update%20Orthophoto&amp;FolderCTID=0x0120008AE2C3201DBDD44A93E08450C0DB2828&amp;view=0</t>
  </si>
  <si>
    <t>Rest Area 
Saat ini Rest Area sudah dapat dilaksanakan pekerjaan sebatas pematangan lahan, desain bangunan pada Rest Area Sudah diserahkan secara parsial dan saat ini proses perhitungan MC-0 untuk bangunan rest area.
TL = Koordinasi dengan owner terkait Perubahan dan Hasil Perhitungan MC-0.
Bersurat ke owner terkait adanya pekerjaan tambah dan kurang terhadap perhitungan MC-0 Bangunan Rest Area.
Pekerjaan Beton Readymix (Rigid dan Struktur)
Saat ini BP yang supply hanya WBP dan WBP mengalami kendala Supply Material Semen karena dampak dari keterlambatan pembayaran vendor.
TL = Koordinasi dengan UB terkait prioritas pembayaran WBP agar Material Semen bisa Kontinue.</t>
  </si>
  <si>
    <t>https://drive.google.com/drive/folders/1dFOIWtKnAmDRchKtqzXRqiymHlQh9yS2?usp=sharing</t>
  </si>
  <si>
    <t>https://ptwaskita-my.sharepoint.com/:f:/g/personal/fahmi_waskita_co_id/Ejd6gCZyyGhBkuX8brR-eLABb7Iwpu1tJiECLNH3aHe54g?e=c0MRb0</t>
  </si>
  <si>
    <t>Pemindahan pipa gas desain oleh Owner yang awalnya berada dibawah DS-6, digeser ke area pedestrian</t>
  </si>
  <si>
    <t>https://ptwaskita-my.sharepoint.com/:v:/g/personal/basuki_rahmat_waskita_co_id/ER8c6FTncqpGsBdpPqDW5jYBpuUekw0qf8j5tV6jc8dS9A?e=uyRFIL</t>
  </si>
  <si>
    <t>https://ptwaskita-my.sharepoint.com/:f:/g/personal/basuki_rahmat_waskita_co_id/EiMaP9ALvdZHpOff68d9BbQBicX_mVt4_dt4cuU4HIf0Jg?e=88InRK</t>
  </si>
  <si>
    <t>https://ptwaskita-my.sharepoint.com/:f:/g/personal/basuki_rahmat_waskita_co_id/Eo6iS7yTf89BttivS_28hPwBmMkz6RdZVzifI5HJc3IMQw?e=B6gbyG</t>
  </si>
  <si>
    <t>- Terdapat beberapa lokasi yang memerlukan pembebasan ROW &amp; lahan di area jembatan
- Quarry tanah. Ada 2 cijanakar &amp; Duta Limas, cijanakar kurang excavator rencana intervensi vendor tambah excavator, duta limas permasalahan perijinan, rencana pengajuan ijin atas nama CV. Mitra Langgeng Abadi, penambahan quarry baru rencana (BGS, Renso, Hexa, gunung guruh) proses pengajuan perijinan dan pengujian material di lab. Pek.
- Cuaca (setiap hari hujan, pekerjaan tanah tidak maksimal, supplai beton kelokasi terkendala)</t>
  </si>
  <si>
    <t>https://ptwaskita-my.sharepoint.com/:v:/g/personal/lot2blitar_waskita_co_id/EaAFro_cO6FCrTZ0po3gPhMBVpXq-71D4bTq9xDAIGEtXA?nav=eyJyZWZlcnJhbEluZm8iOnsicmVmZXJyYWxBcHAiOiJPbmVEcml2ZUZvckJ1c2luZXNzIiwicmVmZXJyYWxBcHBQbGF0Zm9ybSI6IldlYiIsInJlZmVycmFsTW9kZSI6InZpZXciLCJyZWZlcnJhbFZpZXciOiJNeUZpbGVzTGlua0NvcHkifX0&amp;e=HkVYRy</t>
  </si>
  <si>
    <t>https://ptwaskita-my.sharepoint.com/:f:/g/personal/lot2blitar_waskita_co_id/Ej4j3dCHKyxGoJ-vFXvVtEoBLpjs22m5ooDClkBA16y0ZA?e=dH1Xzl</t>
  </si>
  <si>
    <t>https://ptwaskita-my.sharepoint.com/:i:/g/personal/lot2blitar_waskita_co_id/Ece6Wta0rplHgOwCnwQWF1ABpwPBah30opAOaLlJaJaXAQ?e=vfwUoV</t>
  </si>
  <si>
    <t>https://ptwaskita-my.sharepoint.com/:u:/g/personal/lot2blitar_waskita_co_id/EZnMXX2WbppGjVEZDDpAbfYB0HicgV1OyCL7vaqxpz16PA?e=purf1N</t>
  </si>
  <si>
    <t>kretek.girijati@waskita.co.id</t>
  </si>
  <si>
    <t>https://ptwaskita-my.sharepoint.com/:f:/g/personal/kretek_girijati_waskita_co_id/EqcZG-9EEiZNvWohyc-joy0BPxzuPsB2kxzexXAbayKi4w?e=o3hjxO</t>
  </si>
  <si>
    <t>https://ptwaskita-my.sharepoint.com/:f:/g/personal/kretek_girijati_waskita_co_id/EqcZG-9EEiZNvWohyc-joy0BPxzuPsB2kxzexXAbayKi4w?e=3TEB6b</t>
  </si>
  <si>
    <t>https://ptwaskita-my.sharepoint.com/:f:/g/personal/kretek_girijati_waskita_co_id/Er7NtelwhmBMjZlSwtgR6b4BEwHy1WGf2phHxiTucqpgvA?e=proS96</t>
  </si>
  <si>
    <t xml:space="preserve">1. Proses pengesahan Addendum Kontrak No. 4
</t>
  </si>
  <si>
    <t>https://ptwaskita-my.sharepoint.com/:v:/g/personal/rio_david_waskita_co_id/EVK5Qr7GIYVJnfUjMBeK7nMBTNZ3QzWwEDYL8UQ-jZVleg?nav=eyJyZWZlcnJhbEluZm8iOnsicmVmZXJyYWxBcHAiOiJPbmVEcml2ZUZvckJ1c2luZXNzIiwicmVmZXJyYWxBcHBQbGF0Zm9ybSI6IldlYiIsInJlZmVycmFsTW9kZSI6InZpZXciLCJyZWZlcnJhbFZpZXciOiJNeUZpbGVzTGlua0NvcHkifX0&amp;e=5k0qUE</t>
  </si>
  <si>
    <t>https://ptwaskita-my.sharepoint.com/:f:/g/personal/rio_david_waskita_co_id/EnMyxtqqYR1GqOOHZoIqIVwB9TtiPhZ4pLMbSsXxS3yWPw?e=M2s0pg</t>
  </si>
  <si>
    <t>https://ptwaskita-my.sharepoint.com/:f:/g/personal/fahmi_waskita_co_id/EuoJbdIc_8tDrudmVAw-0AIBlReY_fswGnJezBe6lGMjww?e=gLURwy</t>
  </si>
  <si>
    <t>1. Operasional
    Pembebasan Lahan :
    - Lahan Bebas  = 88,35%
    - Terdapat beberapa lokasi yang memerlukan tambahan ROW seperti: Sta 26+650~26+950 Sisi L dan 
       Sta 26+750~27+000 Sisi-R
    - Terdapat lahan dan rumah yang belum bebas pada inlet dan outlet Box Culvert Sta 30+653 dan Box  
       Culvert Sta 30+790 
2. Pelaksanaan Pekerjaan di Lapangan
    Pekerjaan Tanah
    - Progress pekerjaan tanah masih belum memenuhi target rencana akibat curah hujan tinggi di
       lingkungan proyek</t>
  </si>
  <si>
    <t>https://ptwaskita-my.sharepoint.com/:f:/g/personal/fahmi_waskita_co_id/EuslJIGICeJPm008dyNYn4MBVnzmPKOlv_qMot0ndlKDEQ?e=BOF9zu</t>
  </si>
  <si>
    <t>https://ptwaskita-my.sharepoint.com/:f:/g/personal/fahmi_waskita_co_id/EtSAN_QLwG1LlhRJ1c6n4-QBtf4yIiEjOVMxoNKqfz-waw?e=4tyuKG</t>
  </si>
  <si>
    <t xml:space="preserve">Isu Produksi : 
- Pembebasan lahan belum 100% &gt; Bersurat secara berkala, serah terima lahan secara parsial,engirimkan notifikasi dan update program ke owner. 
Pengajuan klaim perpanjangan waktu dan additional cost ke Owner (Interim s.d Desember 2025)
Progress terlambat karena pembebasan lahan sebesar -8.001 % 
- Jalan Akses melibatkan 3 pihak ( BBWS, PJT2 dan Pertagas) &gt; Akibat cuaca buruk Pemeliharaan dan perbaikan jalan warga yang digunakan sebagai jalan akses
- Supply Ready Mix membutuhkan Batching Plant Dedicated &gt; Saat ini telah berkontrak dengan Adhimix RMC , Varia usaha beton dan Amanah Beton 
- Harga Cement Treated Base (CTB) di atas budget APP &gt; Tim proyek sudah melakukan negosiasi dengan beberapa vendor namun harga masih di atas budget APP
Perlu support manajemen untuk mendapatkan vendor / supplier CTB
Telah dilakukan negosiasi dengan harga terendah PT. Varia Beton Utama (Rp. 615.000 per m3)
- Supply Common Borrow Material dengan nilai LL &lt; 50 terbatas (untuk top sub grade tebal 30 – 60 cm) &gt;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
- Supply Material Earthwork &gt; Adanya kendala pada Quarry Subkontraktor menyebabkan pengiriman material menurun terhadap target proyek. Sedang dilakukan upaya untuk mencari opsi quarry lain dan tambahan subkontraktor
Isu Kontraktual dan legal
- Administrasi Approval Dokumen memakan waktu lama &gt; Proses approval dokumen memakan waktu yang cukup lama (dari Konsultan / Engineer) membutuhkan waktu kurang lebih 14 hari untuk proses approval. Koordinasi terus dilakukan dengan pihak terkait
- Addendum &gt; Proses pengajuan Addendum 4 terkait EOT dan harga item baru (Pancang tipe C, Sand Mat, Geotekstile Stabilitator 50 kN)
</t>
  </si>
  <si>
    <t>https://ptwaskita-my.sharepoint.com/:f:/g/personal/lot2blitar_waskita_co_id/Eo8GBPV6Kg5Ir1lU-94dBGcByItLzWlsqigmRSIrJhXjJQ?e=8SttiY</t>
  </si>
  <si>
    <t>https://ptwaskita-my.sharepoint.com/:f:/g/personal/lot2blitar_waskita_co_id/EmGPE3vyStNNmz9nPOwv7dUB9zVSMXBwTL8w6mcz3Kb1OQ?e=twwuLk</t>
  </si>
  <si>
    <t>https://ptwaskita-my.sharepoint.com/:f:/g/personal/lot2blitar_waskita_co_id/EpW6CiPBnoBDq9b-Le-8Mi0Bj0sYcxWjEkwQWfewK202Dw?e=nis5eg</t>
  </si>
  <si>
    <t>https://ptwaskita-my.sharepoint.com/:v:/g/personal/rio_david_waskita_co_id/ER4SRc71QsZJpGutmLVZQX0BpJfMpbenZGTb2I7PrLkRYA?nav=eyJyZWZlcnJhbEluZm8iOnsicmVmZXJyYWxBcHAiOiJPbmVEcml2ZUZvckJ1c2luZXNzIiwicmVmZXJyYWxBcHBQbGF0Zm9ybSI6IldlYiIsInJlZmVycmFsTW9kZSI6InZpZXciLCJyZWZlcnJhbFZpZXciOiJNeUZpbGVzTGlua0NvcHkifX0&amp;e=x2aml1</t>
  </si>
  <si>
    <t>https://ptwaskita-my.sharepoint.com/:f:/g/personal/rio_david_waskita_co_id/ElecCz-OpDRArqiAdk2mYfcBmIEUmrI7eP-L63YC6rnDfg?e=iGTTGM</t>
  </si>
  <si>
    <t>https://ptwaskita-my.sharepoint.com/:f:/g/personal/rio_david_waskita_co_id/EjdndtHWGitDtXTiK2ng9YcBi6FvUybnI_pOIC4JsmO5ng?e=tnSaIW</t>
  </si>
  <si>
    <t xml:space="preserve">1. Operasional
    Pembebasan Lahan :
    - Lahan Bebas  = 88,35%
    - Terdapat beberapa lokasi yang memerlukan tambahan ROW
2. Pelaksanaan Pekerjaan di Lapangan
    Pekerjaan Tanah
    - Progress pekerjaan tanah masih belum memenuhi target rencana akibat curah hujan tinggi di lingkungan proyek
    - Tanah gali timbun tidak dapat digunakan sebagai timbunan, TJT masih belum menyetujui tanah borrow
3. Addendum Kontrak
    Addendum Harga Timpang
    - Proses adendum harga timpang yang masih berjalan menyebabkan kekurangan budget pada sistem SAP
4. Relokasi Utilitas 
    Relokasi utilitas PDAM, PLN pada JOP
    - Proses kontrak langsung kepada pemilik utilitas, sehingga prosesnya lebih lama
</t>
  </si>
  <si>
    <t>https://ptwaskita-my.sharepoint.com/:f:/g/personal/basuki_rahmat_waskita_co_id/Ev_1eAPLutJPn-qeZPJ6IjYBifjfALWWXgGxOl1zQcfxjw?e=BtGuTX</t>
  </si>
  <si>
    <t>https://ptwaskita-my.sharepoint.com/:f:/g/personal/basuki_rahmat_waskita_co_id/ErtrIeuMNVhHuCt_ixs-vngBVZnXmwC10_okN5o9izgfZA?e=4P6QRE</t>
  </si>
  <si>
    <t>https://ptwaskita-my.sharepoint.com/:f:/g/personal/basuki_rahmat_waskita_co_id/EidVg3iAZDFPtBcR3ZNUwFgBscn8yKk3UiQc7R986_cnUw?e=rtEXGe</t>
  </si>
  <si>
    <t>https://ptwaskita-my.sharepoint.com/:f:/g/personal/basuki_rahmat_waskita_co_id/Ejap-OChktRBt0LaLnVvhjYBWTPIG32RAddMckXzMSWt5g?e=7mHt0Z</t>
  </si>
  <si>
    <t>- Terdapat beberapa lokasi yang memerlukan pembebasan
- Cuaca ekstrim yang berakibat pada terhambatnya progress pekerjaan</t>
  </si>
  <si>
    <t>https://drive.google.com/file/d/1eSYQc0dinX5GefBmoEFcAPgED9aKbM1v/view?usp=sharing</t>
  </si>
  <si>
    <t>https://drive.google.com/drive/folders/1JRtQ07W2P52kIlqoeUzZ0e7hz1-A5Inp?usp=sharing</t>
  </si>
  <si>
    <t>https://drive.google.com/drive/folders/1TBl8sKe5NvqoO4tFBcjMS6UJU16VAYjp?usp=sharing</t>
  </si>
  <si>
    <t>Finalisasi Desain Street Furniture &amp; Lansekap, sebagai dasar ADD II Kontrak</t>
  </si>
  <si>
    <t>https://ptwaskita-my.sharepoint.com/:f:/g/personal/kretek_girijati_waskita_co_id/ErnpSvtnngRNkn01ZVEg67EBbJE9EuLQSdvMVWDCNVQLpg?e=2O5GKb</t>
  </si>
  <si>
    <t>https://ptwaskita-my.sharepoint.com/:f:/g/personal/kretek_girijati_waskita_co_id/Egkbsq3gcfBGmWQAlF2COkkBfA_VqwAKkEVaWs5Re7Qi0w?e=72kTkF</t>
  </si>
  <si>
    <t>https://ptwaskita-my.sharepoint.com/:f:/g/personal/kretek_girijati_waskita_co_id/EhvVu_IzjHVKtyvK0c-RgoYBAZIUi99Kz1N67Edgpoto0A?e=iC6KoN</t>
  </si>
  <si>
    <t xml:space="preserve">1. Menunggu pengesahan Add4
</t>
  </si>
  <si>
    <t>https://drive.google.com/file/d/1L7p5Ph-kOqgGwMLczpkezSPCQjMd-8BF/view?usp=sharing</t>
  </si>
  <si>
    <t>https://drive.google.com/drive/folders/1fzASNASaqlf3ym1Lwju8OK8ezJljLu5J?usp=sharing</t>
  </si>
  <si>
    <t>https://drive.google.com/file/d/10w7yhGByoo7rwC-UcGP5n5-E7bKttbe4/view?usp=drivesdk</t>
  </si>
  <si>
    <t>https://ptwaskita-my.sharepoint.com/:u:/g/personal/rezky_yudhaseno_waskita_co_id/EcDPQa_2wgJKgAnOaqpYackBHC1knNPpzs0RFpHl6wVTCQ?e=OWoEzt</t>
  </si>
  <si>
    <t>1.  Lahan yang belum bebas pada area Interchange ± 21,76 Ha dari kebutuhan lahan 37,96 Ha, lahan yang baru bebas 16,20Ha.
2.  Terdapat aset berupa tiang listrik, tiang telkom serta aset negara berupa jalan yang perlu diidentifikasi sebelum pekerjaan jalan nasional dimulai.
3.  Ketersediaan DIPA yang belum blokir untuk Tahun Anggaran 2025.</t>
  </si>
  <si>
    <t>https://youtu.be/Iv64ufqADqw</t>
  </si>
  <si>
    <t>1. REST AREA
Saat ini Rest Area sudah dapat dilaksanakan pekerjaan pematangan lahan, pekerjaan Bangunan rest area proses perhitungan Quantity.
Item Pembayaran Rest Area dilakukan secara menyeluruh sehingga tidak dapat ditagihkan menjadi termin, saat ini Rest Area yang belum dapat ditagihan sebesar 58 Milyar.
Tindak Lanjut : Proses Pembahasan volume dan Harga Satuan Bangunan Struktur Rest Area (TIP A senilai 188 M) dengan Konsultan Perencana dan JPB pada Kamis 7/8/25, Berkoordinasi dengan KSO dan JPB terkait usulan perubahan tersebut.
2. PEKERJAAN TANAH
Galian Batu Mekanik diluar badan jalan Menunggu Justifikasi Teknik untuk dapat Pengakuan Progres Pekerjaan, sehingga saat ini terdapat 3,530% progres tertahan pada pekerjaan tersebut.
Tindak Lanjut : Percepatan Proses Pengajuan dan Approval Justifikasi Teknis Pekerjaan Tanah.
3. PEKERJAAN STRUKTUR
Pemenuhan Besi untuk Bulan September 2025 : Kebutuhan Besi :  600 Ton
Pemenuhan Besi oleh Vendor agar bisa Kontinue 	mengikuti kebutuhan dilapangan.
Saat ini BP yang supply hanya WBP, perlu menjaga kontinuitas pengiriman semen agar pelaksanaan pekerjaan beton dapat berjalan lancar.
Tindak Lanjut : Koordinasi dengan UB dan SCM terkait pemenuhan kebutuhan Besi Bulan  September 2025, Koordinasi dengan UB dan WBP terkait proses Supply Material Semen WBP, Koordinasi dengan UB terkait prioritas pembayaran WBP agar Material Semen bisa Kontinue.
4. SISA PEKERJAAN MAYOR
Galian Batu	 = 97.611 m3
Rigid 		 = 7.707 m3
Besi Struktur	 = 832 Ton
Beton Struktur  = 5.691 m3
Barrier 		 = 4.110 m’
Guardrail		 = 7.449 m’
Saluran 		 = 6.881 m’
Tindak Lanjut : Koordinasi dengan WBP terkait Kontinuitas Pengiriman Material Beton (Semen &amp; Pasir), Percepatan Pendatangan Besi Beton (Percepatan Pembayaran WKI-KBK &amp; Hanil), Dukungan Percepatan  Realisasi Pembayaran Tagihan Vendor (CPM, WBP, BKM, Pancang Sakti, Mandor, Gorga, Indotama &amp; Sarinah)</t>
  </si>
  <si>
    <t>https://ptwaskita-my.sharepoint.com/:f:/g/personal/fahmi_waskita_co_id/EuslJIGICeJPm008dyNYn4MBVnzmPKOlv_qMot0ndlKDEQ?e=xwjnrB</t>
  </si>
  <si>
    <t>https://ptwaskita-my.sharepoint.com/:f:/g/personal/fahmi_waskita_co_id/EuLiARhsmVZMtP3PSifPAJ8BHgXCGyIkQP7lWq83qsL-0g?e=g4TpYd</t>
  </si>
  <si>
    <t>https://ptwaskita-my.sharepoint.com/:f:/g/personal/fahmi_waskita_co_id/EkzBmqN4xjxPnS0MLtkVsHsBzAg3cCnoIXMD_33hBPkrpA?e=9yK7bV</t>
  </si>
  <si>
    <t xml:space="preserve">Isu Produksi :
- Pembebasan lahan belum 100% &gt; Bersurat secara berkala, serah terima lahan secara parsial,engirimkan notifikasi dan update program ke owner. 
Pengajuan klaim perpanjangan waktu dan additional cost ke Owner (Interim s.d Desember 2025)
Progress terlambat karena pembebasan lahan sebesar -8.001 % 
- Jalan Akses melibatkan 3 pihak ( BBWS, PJT2 dan Pertagas) &gt; Akibat cuaca buruk Pemeliharaan dan perbaikan jalan warga yang digunakan sebagai jalan akses
- Supply Ready Mix membutuhkan Batching Plant Dedicated &gt; Saat ini telah berkontrak dengan Adhimix RMC , Varia usaha beton dan Amanah Beton 
- Harga Cement Treated Base (CTB) di atas budget APP &gt; Tim proyek sudah melakukan negosiasi dengan beberapa vendor namun harga masih di atas budget APP
Perlu support manajemen untuk mendapatkan vendor / supplier CTB
Telah dilakukan negosiasi dengan harga terendah PT. Varia Beton Utama (Rp. 615.000 per m3)
- Supply Common Borrow Material dengan nilai LL &lt; 50 terbatas (untuk top sub grade tebal 30 – 60 cm) &gt;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
- Supply Material Earthwork &gt; Adanya kendala pada Quarry Subkontraktor menyebabkan pengiriman material menurun terhadap target proyek. Sedang dilakukan upaya untuk mencari opsi quarry lain dan tambahan subkontraktor
Isu Kontraktual dan Legal
- Addendum &gt; Proses pengajuan Addendum 4 terkait EOT dan harga item baru (Pancang tipe C, Sand Mat, Geotekstile Stabilitator 50 kN)
</t>
  </si>
  <si>
    <t>https://ptwaskita-my.sharepoint.com/:v:/g/personal/basuki_rahmat_waskita_co_id/EQ70k4uFugJJki93zGdJUVkB87LAMUfuM3GgPWXvbCYm0Q?e=O18Enu</t>
  </si>
  <si>
    <t>https://ptwaskita-my.sharepoint.com/:f:/g/personal/basuki_rahmat_waskita_co_id/EpxxNlZtQilHprm-m-KK_bYBaRLiS6zf1TLY6YsipuzeLA?e=G7LbQp</t>
  </si>
  <si>
    <t>https://ptwaskita-my.sharepoint.com/:f:/g/personal/basuki_rahmat_waskita_co_id/EhdgB84pzh5IgBjBqx4Tx74B8BH81yIEwr5nFb1e2fQUjQ?e=fUs9FT</t>
  </si>
  <si>
    <t>https://ptwaskita-my.sharepoint.com/:f:/g/personal/basuki_rahmat_waskita_co_id/Eh2RmmEe759IgalMA3t2jMYB8so3jiOdnkn5HciMJ2v_Yg?e=goxXTg</t>
  </si>
  <si>
    <t xml:space="preserve">1. Kondisi Cuaca Hujan - Memaksimalkan jam kerja lembur pada kondisi cuaca baik
2. Produktifitas Vendor - Mengoptimal kan produktifitas vendor at grade dan suplai beton dengan support terhadap pembayaran vendor 
</t>
  </si>
  <si>
    <t>https://drive.google.com/file/d/134gnntgmV_1m-k4I8ygkq2igoLDPRnrh/view?usp=sharing</t>
  </si>
  <si>
    <t>https://drive.google.com/drive/folders/1RzOHec2oiNFBkGbrJMogvVxPs8XPTweX?usp=sharing</t>
  </si>
  <si>
    <t>https://ptwaskita-my.sharepoint.com/:f:/g/personal/fahmi_waskita_co_id/Ejd6gCZyyGhBkuX8brR-eLABb7Iwpu1tJiECLNH3aHe54g?e=MGgc5g</t>
  </si>
  <si>
    <t>proses finalisasi desain lanskap</t>
  </si>
  <si>
    <t>https://drive.google.com/file/d/1FRvERC6iHAvjBkszkikOwJO3dKwZqFFK/view?usp=sharing</t>
  </si>
  <si>
    <t>https://drive.google.com/drive/folders/1Zszcy3QjZNDzgCsmcqo0KwM8IBZeWzAn?usp=sharing</t>
  </si>
  <si>
    <t>https://drive.google.com/file/d/15s67DDSQt8FTk2x7_l1w8HckYeDEjvEo/view?usp=sharing</t>
  </si>
  <si>
    <t xml:space="preserve">1. Terdapat permasalahan lahan yang belum bebas pada lokasi pekerjaan interchange, khusunya pada lokasi Ramp Akses dan Ramp 3.
2. Adanya pemangkasan PAGU TA 2025 yang semula 1,2 T menjadi 639 M, pada seluruh paket pekerjaan BBPJN Kaltim.
3. Proses pengajuan perpanjangan izin MYC tahun 2026
</t>
  </si>
  <si>
    <t>https://ptwaskita-my.sharepoint.com/:v:/g/personal/lot2blitar_waskita_co_id/EUxJNyFsdrpOrMYQI16uxyMBiQv0vsHgsfnrCcVOTpKlFQ?nav=eyJyZWZlcnJhbEluZm8iOnsicmVmZXJyYWxBcHAiOiJPbmVEcml2ZUZvckJ1c2luZXNzIiwicmVmZXJyYWxBcHBQbGF0Zm9ybSI6IldlYiIsInJlZmVycmFsTW9kZSI6InZpZXciLCJyZWZlcnJhbFZpZXciOiJNeUZpbGVzTGlua0NvcHkifX0&amp;e=8PYC3A</t>
  </si>
  <si>
    <t>https://ptwaskita-my.sharepoint.com/:f:/g/personal/lot2blitar_waskita_co_id/EltY4NxwtutOue-cBMKMclkBOQBD3DVDAAHVq0nO9LP6tg?e=Da8xnO</t>
  </si>
  <si>
    <t>https://ptwaskita-my.sharepoint.com/:i:/g/personal/lot2blitar_waskita_co_id/Ece6Wta0rplHgOwCnwQWF1ABpwPBah30opAOaLlJaJaXAQ?e=ZYRWrj</t>
  </si>
  <si>
    <t>https://ptwaskita-my.sharepoint.com/:u:/g/personal/lot2blitar_waskita_co_id/EZnMXX2WbppGjVEZDDpAbfYB0HicgV1OyCL7vaqxpz16PA?e=Cqi2a9</t>
  </si>
  <si>
    <t>https://ptwaskita-my.sharepoint.com/:f:/g/personal/kretek_girijati_waskita_co_id/Ek_X_Eva9fZLmgBfdc1TAd8B9nn-JfiFKwzJI0azwaLsoA?e=vNlBEz</t>
  </si>
  <si>
    <t>https://ptwaskita-my.sharepoint.com/:f:/g/personal/kretek_girijati_waskita_co_id/Ek_X_Eva9fZLmgBfdc1TAd8B9nn-JfiFKwzJI0azwaLsoA?e=0fJeQP</t>
  </si>
  <si>
    <t>https://ptwaskita-my.sharepoint.com/:f:/g/personal/kretek_girijati_waskita_co_id/EhvVu_IzjHVKtyvK0c-RgoYBAZIUi99Kz1N67Edgpoto0A?e=2ZBa0A</t>
  </si>
  <si>
    <t>Menunggu pengesahan add 4</t>
  </si>
  <si>
    <t>https://youtu.be/CDN7ItbGyZ4</t>
  </si>
  <si>
    <t>Rest Area 
Saat ini Rest Area sudah dapat dilaksanakan pekerjaan pematangan lahan, pekerjaan Bangunan rest area proses perhitungan Quantity.
Item Pembayaran Rest Area dilakukan secara menyeluruh sehingga tidak dapat ditagihkan menjadi termin, saat ini Rest Area yang belum dapat ditagihan sebesar 58 Milyar.
TL = Proses Pengajuan Harga Satuan Baru Tambah Kurang Volume Rest Area, akan dilakukan Negosiasi dan Klarfikasi dengan Papenkon.
Berkoordinasi dengan KSO dan JPB terkait hal tersebut diatas.
Galian Batu Untuk Timbunan
Galian Batu Mekanik diluar badan jalan Menunggu Justifikasi Teknik untuk dapat Pengakuan Progres Pekerjaan, sehingga saat ini terdapat 3,973% progres tertahan pada pekerjaan tersebut.
TL = Volume Pekerjaan Galian Batu mekanik diluar badan jalan akan dialihkan ke Galian Batu untuk dibuang, dan akan masuk kedalam Addendum-08, Koordinasi dengan Owner terkait percepatan Addendum 08.
PEKERJAAN STRUKTUR
Pemenuhan Besi untuk Bulan Oktober 2025 :
Kebutuhan Besi :  517Ton
Pemenuhan Besi oleh Vendor agar bisa Kontinue 	mengikuti kebutuhan dilapangan, Menjaga Kontinuitas Pengiriman Material Semen dan Pasir untuk BP WBP, agar pekerjaan beton dapat Kontinue.
TL = Koordinasi dengan UB dan SCM terkait pemenuhan kebutuhan Besi Bulan  Oktober 2025, Koordinasi dengan UB terkait prioritas pembayaran Vendor Beton, Besi dan Mandor</t>
  </si>
  <si>
    <t>https://drive.google.com/file/d/1MPbseFRo3PAe3udNE87mlQYiT_PLNvAo/view?usp=sharing</t>
  </si>
  <si>
    <t>https://ptwaskita-my.sharepoint.com/:f:/g/personal/rio_david_waskita_co_id/EilVpeRE5ytHnd8hMr2iYE4B0P4CQdIqt9sZ5Txe0CQEow?e=c58Hkm</t>
  </si>
  <si>
    <t>https://ptwaskita-my.sharepoint.com/:f:/g/personal/rio_david_waskita_co_id/EunDpC_kLaVAvNZn2Z5zFaQBPJe8hpTwJrdY7XghQZ8otg?e=kWiP5K</t>
  </si>
  <si>
    <t>https://wkgeosurvey.com/map/project/702/</t>
  </si>
  <si>
    <t>1. Operasional
    &gt; Pembebasan Lahan :
       - Lahan Bebas  = 85.76%
       - Terdapat beberapa lokasi yang memerlukan tambahan ROW
2. Pelaksanaan Pekerjaan di Lapangan
    &gt; Pekerjaan Tanah
       - Progress pekerjaan tanah masih belum memenuhi target rencana akibat curah hujan tinggi di  lingkungan proyek
       - Tanah gali timbun tidak dapat digunakan sebagai timbunan, TJT masih belum menyetujui tanah borrow
3. Addendum Kontrak
   &gt; Addendum Harga Timpang
      - Proses adendum harga timpang yang masih berjalan menyebabkan kekurangan budget pada sistem SAP</t>
  </si>
  <si>
    <t>https://ptwaskita-my.sharepoint.com/:f:/g/personal/fahmi_waskita_co_id/Eonpdf6p0eBDnibeEwpDOwMBY0i2qJWneCIZ28O-SLkTBA?e=Ey0a3z</t>
  </si>
  <si>
    <t>https://drive.google.com/drive/folders/1xvvD53dK3E3Lkm1NWEbSHkzPqNywvTrO?usp=sharing</t>
  </si>
  <si>
    <t>https://ptwaskita-my.sharepoint.com/:f:/g/personal/fahmi_waskita_co_id/Ejd6gCZyyGhBkuX8brR-eLABb7Iwpu1tJiECLNH3aHe54g?e=HGAXwS</t>
  </si>
  <si>
    <t>no external issue</t>
  </si>
  <si>
    <t>https://ptwaskita-my.sharepoint.com/:v:/g/personal/fahmi_waskita_co_id/EbTuXY9IdmJKoWgfFJMDqQUB7kLtITF3YSKxmDoo4qi-ig?nav=eyJyZWZlcnJhbEluZm8iOnsicmVmZXJyYWxBcHAiOiJPbmVEcml2ZUZvckJ1c2luZXNzIiwicmVmZXJyYWxBcHBQbGF0Zm9ybSI6IldlYiIsInJlZmVycmFsTW9kZSI6InZpZXciLCJyZWZlcnJhbFZpZXciOiJNeUZpbGVzTGlua0NvcHkifX0&amp;e=vmpuUh</t>
  </si>
  <si>
    <t>https://ptwaskita-my.sharepoint.com/:f:/g/personal/fahmi_waskita_co_id/EpnWwCzvvjNPt1u0UTzNZkUBST3OK8KFqSJ_LFS92UHtmA?e=JcEXnJ</t>
  </si>
  <si>
    <t>- Pembebasan Lahan = Saat ini keterlambatan Penyelesaian Proyek karena keterlambatan pembebasan lahan &gt; Notifikasi ke engineer terkait keterlambatan pembebasan lahan, update program terhadap mundurnya pembebasan lahan untuk pengajuan klaim extension of time (EOT) dan kompensasi biaya.
- Potensi Kenaikan BKPU = Terbatasan quarry yang berizin dan dipakai 5 paket, supplier mengajukan kenaikan harga &gt; Negosiasi atas kenaikan harga subkon, mencari item baru untuk memperbaiki BKPU
- Pekerjaan Tanah = Kendala supply material akibat surat edaran gubernur jawa barat perihal penghentian sementara penerbitan perizinan usaha dan non usaha dalam upaya perlindungan lingkungan &gt; Notice dan klaim ke employer terkait perubahan peraturan, sedang dilakukan upaya untuk perizinan perizinan ke gurbernur</t>
  </si>
  <si>
    <t>https://ptwaskita-my.sharepoint.com/:f:/g/personal/basuki_rahmat_waskita_co_id/EhGUOzpPqLJJlfxZqGlfaccBhGdxk9cMWR6kD4dBnIjmAg?e=8Whp9k</t>
  </si>
  <si>
    <t>https://ptwaskita-my.sharepoint.com/:f:/g/personal/basuki_rahmat_waskita_co_id/EtyLqM3wa_BHkSFtk7x4UUABWjNf7ehOoOg0DsXM18k9Mw?e=eo5KBo</t>
  </si>
  <si>
    <t>https://ptwaskita-my.sharepoint.com/:f:/g/personal/basuki_rahmat_waskita_co_id/Evaqe2laNyVElyDAAAJtGdIB1atIR1lL9ZXsW7ZgY7IUEA?e=MLeb5f</t>
  </si>
  <si>
    <t>https://ptwaskita-my.sharepoint.com/:f:/g/personal/basuki_rahmat_waskita_co_id/Eox6mSbDeVtMstirO7QJflcBRG2owGQ1-fJT69pg4sWMyw?e=4xayrX</t>
  </si>
  <si>
    <t xml:space="preserve">1. Kondisi Cuaca Hujan - Memaksimalkan jam kerja lembur pada kondisi cuaca baik
2. Produktifitas Vendor dan Suplai material - Mengoptimal kan produktifitas vendor at grade dan suplai beton dengan support terhadap
pembayaran vendor. Serta mencari alternatif sumber material vendor agar produktifitas tidak
terhambat.
3. Perijinan Quary - Menjembatani proses perijinan quary antara pemilik quary, vendor at grade, dan Dinas Provinsi Jabar </t>
  </si>
  <si>
    <t>https://youtu.be/FqbM4jzdmx8</t>
  </si>
  <si>
    <t>REST AREA
Saat ini Rest Area sudah dapat dilaksanakan pekerjaan pematangan lahan, pekerjaan Bangunan rest area proses perhitungan Quantity. Item Pembayaran Rest Area dilakukan secara menyeluruh sehingga tidak dapat ditagihkan menjadi termin, saat ini Rest Area yang belum dapat ditagihan sebesar 58 Milyar.
Tindak Lanjut : Proses Pengajuan Harga Satuan Baru Tambah Kurang Volume Rest Area, akan dilakukan Negosiasi dan Klarfikasi dengan Papenkon, Berkoordinasi dengan KSO dan JPB terkait hal tersebut diatas.
BETON READY MIX
Saat ini BP yang supply WBP &amp; MJB, perlu menjaga kontinuitas pengiriman semen dan Pasir agar pelaksanana pekerjaan beton dapat berjalan lancar.
Tindak Lanjut : Koordinasi dengan UB dan WBP terkait proses Supply Material Semen WBP.
PEKERJAAN TANAH
Galian Batu Mekanik diluar badan jalan Menunggu Justifikasi Teknik untuk dapat Pengakuan Progres Pekerjaan, sehingga saat ini terdapat 3,973% progres tertahan pada pekerjaan tersebut.
Tindak Lanjut : Volume Pekerjaan Galian Batu mekanik diluar badan jalan akan dialihkan ke Galian Batu untuk dibuang, dan dapat diprogreskan ketika Addendum-08 sudah legal, Koordinasi dengan Owner terkait percepatan Addendum 08.</t>
  </si>
  <si>
    <t>https://ptwaskita-my.sharepoint.com/:v:/g/personal/rio_david_waskita_co_id/EZboiHZE9ExNooS97IRIgZwBnu9fRRbrFRHejT0XRN8u6w?nav=eyJyZWZlcnJhbEluZm8iOnsicmVmZXJyYWxBcHAiOiJPbmVEcml2ZUZvckJ1c2luZXNzIiwicmVmZXJyYWxBcHBQbGF0Zm9ybSI6IldlYiIsInJlZmVycmFsTW9kZSI6InZpZXciLCJyZWZlcnJhbFZpZXciOiJNeUZpbGVzTGlua0NvcHkifX0&amp;e=NZ1G9Z</t>
  </si>
  <si>
    <t>https://ptwaskita-my.sharepoint.com/:f:/g/personal/rio_david_waskita_co_id/EkII-x9IEb9FtaBmLkRHkG4B1OKP322p9iYhfOUlf2qE2Q?e=g7yl9K</t>
  </si>
  <si>
    <t>https://ptwaskita-my.sharepoint.com/:f:/g/personal/rio_david_waskita_co_id/Ejsk_I4h3gJLumQew6G2pgYB6lrDSaZv70fdrOdCMc_Smg?e=QeK6FY</t>
  </si>
  <si>
    <t>https://wkgeosurvey.com/map/project/739/</t>
  </si>
  <si>
    <t>1. Operasional
    - Pembebasan Lahan :
       1. Lahan Bebas  = 85.76%
       2. Terdapat beberapa lokasi yang memerlukan tambahan ROW
2. Pelaksanaan Pekerjaan di Lapangan
    - Pekerjaan Tanah
      1. Progress pekerjaan tanah masih belum memenuhi target rencana akibat curah hujan tinggi di lingkungan proyek
      2. Tanah gali timbun tidak dapat digunakan sebagai timbunan, TJT masih belum menyetujui tanah borrow
3. Addendum Kontrak
    - Addendum Harga Timpang
       Proses adendum harga timpang yang masih berjalan menyebabkan kekurangan budget pada sistem SAP</t>
  </si>
  <si>
    <t>https://drive.google.com/file/d/1ZY9JjdhwzdxLLqfP5zhAuLC3xVWIwsOw/view?usp=sharing</t>
  </si>
  <si>
    <t>https://drive.google.com/drive/folders/1mpzchyFZV9gCQ4XhK8HrlM6f65q-by8K?usp=sharing</t>
  </si>
  <si>
    <t>https://drive.google.com/file/d/1HiHmK_mVZRCXioCtdQiGYi9ZaLRY9efR/view?usp=sharing</t>
  </si>
  <si>
    <t>https://ptwaskita-my.sharepoint.com/:u:/g/personal/rezky_yudhaseno_waskita_co_id/Eew390xxvkJJi76kj_q2K5QBUT4OoTtmxIcSYrtqt7qFvA?e=7JOyqt</t>
  </si>
  <si>
    <t xml:space="preserve">1. Terdapat permasalahan lahan yang belum bebas pada lokasi pekerjaan interchange, khusunya pada lokasi Ramp Akses dan Ramp 3
2. Proses pengajuan perpanjangan izin MYC tahun 2026
3. Terdapat perbedaan data existing ground pada rencana at grade STA 2+560,30 s/d 2+616,90 Jalan Akses Tol yang menyebabkan tinggi timbunan berubah.
4. Setelah di simulasikan Metode Kerja dan pengukuran tinggi kabel, untuk pengeboran secant pile, alat berat pengeboran terkena bagian andongan SUTT.
5. Desain transisi (tapper) pada ramp in dan ramp out dari dan atau ke arah mainroad
6. Terdapat aset berupa tiang listrik, tiang telkom serta aset negara berupa jalan yang perlu di identifikasi sebelum pekerjaan jalan nasional dimulai.
</t>
  </si>
  <si>
    <t>https://ptwaskita-my.sharepoint.com/:v:/g/personal/lot2blitar_waskita_co_id/Ef8pZklHNlNMpSEKk5Nz9f4Bfd-xfnT_KDjW1SsaGzZLmg?nav=eyJyZWZlcnJhbEluZm8iOnsicmVmZXJyYWxBcHAiOiJPbmVEcml2ZUZvckJ1c2luZXNzIiwicmVmZXJyYWxBcHBQbGF0Zm9ybSI6IldlYiIsInJlZmVycmFsTW9kZSI6InZpZXciLCJyZWZlcnJhbFZpZXciOiJNeUZpbGVzTGlua0NvcHkifX0&amp;e=KP70m8</t>
  </si>
  <si>
    <t>https://ptwaskita-my.sharepoint.com/:f:/g/personal/lot2blitar_waskita_co_id/EmZ0htdn3jhCvHaMeMvtLEwBKAeRSkCZcIGuTJcgL2b0ew?e=L1bkdB</t>
  </si>
  <si>
    <t>https://ptwaskita-my.sharepoint.com/:f:/g/personal/lot2blitar_waskita_co_id/EmGPE3vyStNNmz9nPOwv7dUB9zVSMXBwTL8w6mcz3Kb1OQ?e=HaipLp</t>
  </si>
  <si>
    <t>https://ptwaskita-my.sharepoint.com/:f:/g/personal/lot2blitar_waskita_co_id/EpW6CiPBnoBDq9b-Le-8Mi0Bj0sYcxWjEkwQWfewK202Dw?e=5D39OM</t>
  </si>
  <si>
    <t xml:space="preserve">- Potensi kekurangan DIPA T.A 2025 untuk percepatan penyelesaian proyek pada tahun 2025
- Berdasarkan ADD 2 yang sudah disepekati terdapat beberapa item pekerjaan yang melebihi volume pekerjaan dikarenakan adanya penambahan kebutuhan pekerjaan di lapangan. </t>
  </si>
  <si>
    <t>https://drive.google.com/file/d/1IJYWhNt0WbNJ0xdPSsfbTWyDv08lGcFD/view?usp=sharing</t>
  </si>
  <si>
    <t>https://drive.google.com/drive/folders/1ptMFFfS038CG7QDGlMKjEwo1re9BMiX5?usp=sharing</t>
  </si>
  <si>
    <t>https://ptwaskita-my.sharepoint.com/:f:/g/personal/fahmi_waskita_co_id/EqH1LDtz5sVFmoWVJ1Uck2cBgf5-o62b7q8I2maXYIZ2jA?e=mWZeEq</t>
  </si>
  <si>
    <t>Proses finalisasi penyesuain jumlah dan jenis pohon pada RTH-1 dan simpang</t>
  </si>
  <si>
    <t>https://ptwaskita-my.sharepoint.com/:f:/g/personal/kretek_girijati_waskita_co_id/Ev2WNezcXYpJqkXFU8WYLAgBIbIAygCapEnl_TY54RL1rA?e=YvzJRD</t>
  </si>
  <si>
    <t xml:space="preserve">1. Sudah Mulai musim hujan, produktifitas pekerjaan turun
</t>
  </si>
  <si>
    <t>https://ptwaskita-my.sharepoint.com/:v:/g/personal/lot2blitar_waskita_co_id/IQAunCVQvyA4SrCIukcHhsRHAYyRczXe7TBr_M0EY2D9DLM?nav=eyJyZWZlcnJhbEluZm8iOnsicmVmZXJyYWxBcHAiOiJPbmVEcml2ZUZvckJ1c2luZXNzIiwicmVmZXJyYWxBcHBQbGF0Zm9ybSI6IldlYiIsInJlZmVycmFsTW9kZSI6InZpZXciLCJyZWZlcnJhbFZpZXciOiJNeUZpbGVzTGlua0NvcHkifX0&amp;e=mALdCv</t>
  </si>
  <si>
    <t>https://ptwaskita-my.sharepoint.com/:f:/g/personal/lot2blitar_waskita_co_id/IgAmfBLFFt8tT7-0CGNzMAlHAYVJJUrs-IeUJ9IU8ZZpDlM?e=1Ix0Cs</t>
  </si>
  <si>
    <t>https://ptwaskita-my.sharepoint.com/:f:/g/personal/lot2blitar_waskita_co_id/IgBhjxN78krTTZs_ZzzsL-3VAfc1UjFwcEy_MOpnM9ym9Tk?e=hUgO47</t>
  </si>
  <si>
    <t>https://ptwaskita-my.sharepoint.com/:f:/g/personal/lot2blitar_waskita_co_id/IgCVugojwZ6AQ6vW_i3vvDItAY9LGHMVoxJMEFn3sCttNg8?e=W5SLAB</t>
  </si>
  <si>
    <t>- Potensi kekurangan DIPA T.A 2025 untuk percepatan penyelesaian proyek di tahun 2025
- Bedasarkan volume dalam Addendum 02 yang sudah disepakati, terdapat beberapa item pekerjaan yang melebihi volume pekerjaan dikarenakan adanya penambahan pekerjaan sesuai kebutuhan lapangan.</t>
  </si>
  <si>
    <t>https://drive.google.com/file/d/1aUnhwCp4M0yLxo2cGntkn3xzH1nkPP46/view?usp=sharing</t>
  </si>
  <si>
    <t>https://drive.google.com/drive/folders/1HVMoPOio0Ow3lRWv0BcWg3rggSCuYOjF?usp=sharing</t>
  </si>
  <si>
    <t>https://ptwaskita-my.sharepoint.com/:f:/g/personal/fahmi_waskita_co_id/IgA4dnr8ash4TLtvbxHKrEqRAd6LnKqlwbADwTNEYsdtMpU?e=99IHTd</t>
  </si>
  <si>
    <t>finalisasi pekerjaan tanah untuk pemasangan terakhir geomat pada lereng dan timbunan</t>
  </si>
  <si>
    <t>https://ptwaskita-my.sharepoint.com/:v:/g/personal/fahmi_waskita_co_id/IQDNpeDSM9w3TY74yv8YAw5qAZhvGV1aRmOfL25vagF4RWo?nav=eyJyZWZlcnJhbEluZm8iOnsicmVmZXJyYWxBcHAiOiJPbmVEcml2ZUZvckJ1c2luZXNzIiwicmVmZXJyYWxBcHBQbGF0Zm9ybSI6IldlYiIsInJlZmVycmFsTW9kZSI6InZpZXciLCJyZWZlcnJhbFZpZXciOiJNeUZpbGVzTGlua0NvcHkifX0&amp;e=oGm6Ok</t>
  </si>
  <si>
    <t>https://ptwaskita-my.sharepoint.com/:f:/g/personal/fahmi_waskita_co_id/IgCIFcJxol4iSbShJS3zAU3BAdWewoxy-qSNU_xsqZFh6pU?e=UrsSU5</t>
  </si>
  <si>
    <t xml:space="preserve">Isu Produksi : 
- Pembebasan lahan belum 100% &gt; Bersurat secara berkala, serah terima lahan secara parsial,engirimkan notifikasi dan update program ke owner. 
Pengajuan klaim perpanjangan waktu dan additional cost ke Owner (Interim s.d Desember 2025)
Progress terlambat karena pembebasan lahan sebesar -8.001 % 
- Jalan Akses melibatkan 3 pihak ( BBWS, PJT2 dan Pertagas) &gt; Akibat cuaca buruk Pemeliharaan dan perbaikan jalan warga yang digunakan sebagai jalan akses
- Supply Ready Mix membutuhkan Batching Plant Dedicated &gt; Saat ini telah berkontrak dengan Adhimix RMC , Varia usaha beton dan Amanah Beton 
- Harga Cement Treated Base (CTB) di atas budget APP &gt; Tim proyek sudah melakukan negosiasi dengan beberapa vendor namun harga masih di atas budget APP
Perlu support manajemen untuk mendapatkan vendor / supplier CTB
Telah dilakukan negosiasi dengan harga terendah PT. Varia Beton Utama (Rp. 615.000 per m3)
- Supply Common Borrow Material dengan nilai LL &lt; 50 terbatas (untuk top sub grade tebal 30 – 60 cm) &gt;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
- Supply Material Earthwork &gt; Adanya kendala pada Quarry Subkontraktor menyebabkan pengiriman material menurun terhadap target proyek. Sedang dilakukan upaya untuk mencari opsi quarry lain dan tambahan subkontraktor
Isu Kontraktual dan legal
- Administrasi Approval Dokumen memakan waktu lama &gt; Proses approval dokumen memakan waktu yang cukup lama (dari Konsultan / Engineer) membutuhkan waktu kurang lebih 14 hari untuk proses approval. Koordinasi terus dilakukan dengan pihak terkait
- Addendum &gt; Proses pengajuan Addendum 4 terkait EOT dan harga item baru (Pancang tipe C, Sand Mat, Geotekstile Stabilitator 50 kN)
</t>
  </si>
  <si>
    <t>https://ptwaskita-my.sharepoint.com/:f:/g/personal/basuki_rahmat_waskita_co_id/IgCl-I6lwgnUQaLeg9CB9YpTAQMB2Q06yDuPDcdG5b6cBaM?e=i8ecej</t>
  </si>
  <si>
    <t>https://ptwaskita-my.sharepoint.com/:f:/g/personal/basuki_rahmat_waskita_co_id/IgAO1lKuYr5HSplpkvAQ5wo3AXKlDBBAnTTTwUlnwzRWXlg?e=mrJ6Ys</t>
  </si>
  <si>
    <t>https://ptwaskita-my.sharepoint.com/:f:/g/personal/basuki_rahmat_waskita_co_id/IgDu7HH-VFzMQYWBBxxVmPfBAZQxDm_HJ_IpmVNP5FAABdk?e=ZOByMb</t>
  </si>
  <si>
    <t>https://wkgeosurvey.com/public/task/5d20c84c-fcfa-455e-ac30-08cf65d38486/3d/</t>
  </si>
  <si>
    <t>1. Terbatasnya pengiriman material alam (Selected Layer, Drainage Layer, Granular, FDG) dikarenakan beberapa quarry ditutup)
2. Terdapat 5 quarry CBM yang sedang proses perizinan, sehingga pekerjaan CBM kurang maksimal
3. Progress pekerjaan tanah masih belum memenuhi target rencana akibat curah hujan tinggi di lingkungan proyek
4. Keterbatasan material split akibat pemberhentian produksi quarry dan overdemand, sehingga volume beton yang tersedia sangat terbatas</t>
  </si>
  <si>
    <t>https://drive.google.com/file/d/1dS70ilco9if_B08-MUXdYU6lYh9U2M85/view?usp=sharing</t>
  </si>
  <si>
    <t>https://drive.google.com/drive/folders/1YGDL3mme0pmsa9o34i0kBm2En-0tIY6B?usp=sharing</t>
  </si>
  <si>
    <t>https://drive.google.com/file/d/1HTkEuszpnVXKQsJOEOkJcjla2UPe6wuB/view?usp=sharing</t>
  </si>
  <si>
    <t>https://drive.google.com/file/d/1_JPt3Fnt1IXlXqxaBVRqkhn-fgRo_sNG/view?usp=sharing</t>
  </si>
  <si>
    <t>1.  Terdapatpermasalahanlahanyang belum bebas pada lokasi pekerjaan interchange, khusunya pada lokasi Ramp Akses dan Ramp 3.
2. Proses pengajuan perpanjangan izin MYC tahun2026.
3. Terdapat perbedaan data existing ground pada rencana at grade STA 2+560,30 s/d 2+616,90 Jalan Akses Tol yang menyebabkan tinggi  timbunan berubah.
4. Desain transisi (tapper) pada ramp in dan ramp out dari dan atau kearah mainroad.
5. Terdapat aset berupa tiang listrik, tiang telkom serta aset negara berupa jalan yang perlu diidentifikasi sebelum pekerjaan jalan nasional dimulai.</t>
  </si>
  <si>
    <t>https://youtu.be/-Tc_ReH4OVQ?si=7OyTUTnfXO1yb-Vg</t>
  </si>
  <si>
    <t>REST AREA
Saat ini Rest Area sudah dapat dilaksanakan pekerjaan pematangan lahan, pekerjaan pekerjaan Bangunan rest area menunggu finalisasi Desain dan Kontrak.
Terdapat Progres sebesar 4,2% belum terserap &amp; Item Pembayaran Rest Area dilakukan secara menyeluruh sehingga tidak dapat ditagihkan menjadi termin, termin belum dapat ditagihan sebesar 58 Milyar.
TL = Saat ini Rest Area Proses Pengajuan Harga Satuan Baru Tambah Kurang Volume Rest Area &amp; akan dilakukan Negosiasi dan Klarfikasi dengan Papenkon, Berkoordinasi dengan KSO dan JPB terkait hal tersebut diatas.
PEKERJAAN TERKENDALA
Total NK Kontrak Add-08		 = Rp. 996.821.538.317
Pekerjaan Terkendala			 = Rp. 51.705.948.350
Bangunan Rest Area			 = Rp. 43.050.932.428
Galian Rest Area (Lahan)	                 = Rp. 3.434.740.000
Balance Budget Add-08		         = Rp. 5.220.275.922
Total Pekerjaan tdk Terkendala       = Rp. 945.115.589.966
TL = Percepatan finalisasi Nilai Pekerjaan tambah untuk bangunan Rest Area, Koordinasi dengan owner skema dalam Addendum 9 terkait penambahan Nilai Pekerjaan Bangunan Rest Area &amp; Penambahan Waktu pelaksanaan Pekerjaan tersebut.
PENYELESAIAN SISA PEKERJAAN
Nilai Kontrak 				        = Rp. 996.821.538.317
Pekerjaan Terkendala             		= Rp.   51.705.948.350
Progres s.d M-129 				= Rp. 897.600.105.677
Sisa Pekerjaan					= Rp.   47.515.484.288 
Sisa Pekerjaan Mayor
Besi Struktur	 = 93 Ton
Beton Struktur  = 840 m3
Barrier 		 = 1.038 m’
Guardrail		 = 629 m’
Pagar 		 = 4.987 m’
Marka 		 = 4.818 m2
Bronjong 	 = 2.907 m3
Solid Soding 	 = 81.634 m2
TL = Dukungan Percepatan Koreksi &amp; Pembayaran Tagihan Vendor, Percepatan proses Korkesi &amp; pembayaran Tagihan vendor diharapkan dapat berdampak langsung pada kelancaran pelaksanaan pekerjaan di lapangan dan membantu tercapainya target penyelesaian proyek.</t>
  </si>
  <si>
    <t>https://ptwaskita-my.sharepoint.com/:f:/g/personal/kretek_girijati_waskita_co_id/IgBpuL75e1k9Srv4YD_4QP59Achz9cGyTAbcKL9SSixeJZI?e=Q4a8kl</t>
  </si>
  <si>
    <t>https://ptwaskita-my.sharepoint.com/:f:/g/personal/kretek_girijati_waskita_co_id/IgBpuL75e1k9Srv4YD_4QP59Achz9cGyTAbcKL9SSixeJZI?e=iKzxrz</t>
  </si>
  <si>
    <t>https://ptwaskita-my.sharepoint.com/:f:/g/personal/kretek_girijati_waskita_co_id/IgD8HdP1aEKJQ58GQuEdnfwAAaU9q7BOTJ_FLBlk4bWnP1M?e=ObBu0U</t>
  </si>
  <si>
    <t>1. Cuaca hujan menyebabkan produktifitas menurun</t>
  </si>
  <si>
    <t>https://ptwaskita-my.sharepoint.com/:v:/g/personal/rio_david_waskita_co_id/IQBxw4HPtK-6SqoxOZTvOQvbASm808fpDY5ZiL5FlYHV0W4?nav=eyJyZWZlcnJhbEluZm8iOnsicmVmZXJyYWxBcHAiOiJPbmVEcml2ZUZvckJ1c2luZXNzIiwicmVmZXJyYWxBcHBQbGF0Zm9ybSI6IldlYiIsInJlZmVycmFsTW9kZSI6InZpZXciLCJyZWZlcnJhbFZpZXciOiJNeUZpbGVzTGlua0NvcHkifX0&amp;e=ZoeAui</t>
  </si>
  <si>
    <t>https://ptwaskita-my.sharepoint.com/:f:/g/personal/rio_david_waskita_co_id/IgDzoSwRnf_pRr3ABwsIWIwHAfBrCJ7A5gjTCJ8oFF6Jrc0?e=M1xRoM</t>
  </si>
  <si>
    <t>https://ptwaskita-my.sharepoint.com/:f:/g/personal/rio_david_waskita_co_id/IgA5Vt6vRNVqRJutiooxkGF1AQJtkbjY_fwPPrLreZsvgpA?e=vQ7diZ</t>
  </si>
  <si>
    <t>1. Operasional
    - Pembebasan Lahan :
      1. Lahan Bebas  = 85.76%
      2. Terdapat beberapa lokasi yang memerlukan tambahan ROW
2. Pelaksanaan Pekerjaan di Lapangan
    - Pekerjaan Tanah
      1. Terbatasnya pengiriman material alam (Selected Layer, Drainage Layer, Granular, FDG) dikarenakan       beberapa quarry ditutup
      2. Terdapat 5 quarry CBM yang sedang proses perizinan, sehingga pekerjaan CBM kurang maksimal
      3. Progress pekerjaan tanah masih belum memenuhi target rencana akibat curah hujan tinggi di lingkungan proyek
    - Pekerjaan Beton
      1. Keterbatasan material split akibat pemberhentian produksi quarry dan overdemand, sehingga volume beton yang tersedia sangat terbatas
3. Addendum Kontrak
    - Addendum Harga Timpang
      1. Proses negosiasi addendum harga timpang dan COO</t>
  </si>
  <si>
    <t>https://ptwaskita-my.sharepoint.com/:f:/g/personal/fahmi_waskita_co_id/IgDrJSSBiAniT5tNPHcjWJ-DAVZ85jyjpb_6jKLdJ3ZSgxE?e=6MmhWT</t>
  </si>
  <si>
    <t>https://ptwaskita-my.sharepoint.com/:f:/g/personal/fahmi_waskita_co_id/IgBjGsJV944MSbeGi3lFMQhcAf_iJdTPJ-_aEOq_hsJdHYk?e=8VdxkU</t>
  </si>
  <si>
    <t>https://drive.google.com/file/d/1JLRRyVqx0IlMuG7Qd7TGEvu81ZY-F3-_/view?usp=sharing</t>
  </si>
  <si>
    <t>https://drive.google.com/drive/folders/1AroHSBI-5YuMqG4-o6GfliKDwY5PKUw8?usp=sharing</t>
  </si>
  <si>
    <t>https://ptwaskita-my.sharepoint.com/:f:/g/personal/fahmi_waskita_co_id/IgA3eoAmcshoQZLl_G60fniwAW-yMKbtbSYhAizR92h3ueI?e=jq8rRg</t>
  </si>
  <si>
    <t>penanganan beberapa defect list sebelum PHO</t>
  </si>
  <si>
    <t>https://drive.google.com/file/d/1gGFvFTcFFp4NhLiXTdLIiMVGsdGGqnd_/view?usp=sharing</t>
  </si>
  <si>
    <t>https://drive.google.com/drive/folders/1arOF-yO1lfj5-SdhUW-InPcbqSVisxlh?usp=sharing</t>
  </si>
  <si>
    <t>https://drive.google.com/file/d/1YF-Y7CSkmF-pLWiTIDC6MrTWxjII0Sex/view?usp=drive_link</t>
  </si>
  <si>
    <t>https://drive.google.com/file/d/1_JPt3Fnt1IXlXqxaBVRqkhn-fgRo_sNG/view?usp=drive_link</t>
  </si>
  <si>
    <t xml:space="preserve">1. Terdapat permasalahan lahan yang belum bebas pada lokasi pekerjaan interchange, khusunya pada lokasi Ramp Akses dan Ramp 3
2. Terdapat perbedaan data existing ground pada rencana at grade STA 2+560,30 s/d 2+616,90 Jalan Akses Tol yang menyebabkan tinggi timbunan berubah.
3. Desain transisi (tapper) pada ramp in dan ramp out dari dan atau ke arah mainroad
4. Terdapat aset berupa tiang listrik, tiang telkom serta aset negara berupa jalan yang perlu di identifikasi sebelum pekerjaan jalan nasional dimulai.
</t>
  </si>
  <si>
    <t>https://ptwaskita-my.sharepoint.com/:f:/g/personal/basuki_rahmat_waskita_co_id/IgBlxaXW2knMQZx9jW_CAqQWAVnV4v_sxvPJI6S4O5YfmMo?e=zMH9Ge</t>
  </si>
  <si>
    <t>https://ptwaskita-my.sharepoint.com/:f:/g/personal/basuki_rahmat_waskita_co_id/IgB-GEb9dicCRJY-Sy1CiS8qASkBxRIYBfkqVEDyjql3isE?e=xNmPFf</t>
  </si>
  <si>
    <t>1. Kontraktual:
- Adanya kenaikan PU nilai biaya konstruksi antara perhitungan perjanjian biaya awal dengan update konsinyering MC 100, karena jika ada penambahan biaya konstruksi/investasi maka perlu ada pembahasan melalui mekanisme Rapat Direksi, Rapat Dewan Komisaris maupun RUPS
2. Operasional:
- Terdapat beberapa lokasi yang memerlukan tambahan ROW
3. Pelaksanaan Pekerjaan di Lapangan 
Dampak atas kebijakan Gubernur Jawa Barat terkait perizinan quarry:
a. Pekerjaan Tanah:
- Terbatasnya pengiriman material alam (Selected Layer, Drainage Layer, Granular, FDG) dikarenakan beberapa quarry ditutup
- Dari 5 quarry CBM ada 4 quarry yang sedang proses perizinan, sehingga pekerjaan CBM kurang maksimal
- Progress pekerjaan tanah masih belum memenuhi target rencana akibat curah hujan tinggi di lingkungan proyek
b. Pekerjaan Beton:
- Keterbatasan material split akibat pemberhentian produksi quarry dan overdemand, sehingga volume beton yang tersedia sangat terbatas</t>
  </si>
  <si>
    <t>https://ptwaskita-my.sharepoint.com/:v:/g/personal/lot2blitar_waskita_co_id/IQCMPGdkJSt4T4IFuT082Lq_ATMCMf8kOw3fNm842tsJF90?nav=eyJyZWZlcnJhbEluZm8iOnsicmVmZXJyYWxBcHAiOiJPbmVEcml2ZUZvckJ1c2luZXNzIiwicmVmZXJyYWxBcHBQbGF0Zm9ybSI6IldlYiIsInJlZmVycmFsTW9kZSI6InZpZXciLCJyZWZlcnJhbFZpZXciOiJNeUZpbGVzTGlua0NvcHkifX0&amp;e=tAymhb</t>
  </si>
  <si>
    <t>https://drive.google.com/drive/folders/1F_GGb-p7H55mjG0aqQxn3VzUz4HyTErW?usp=sharing</t>
  </si>
  <si>
    <t>https://ptwaskita-my.sharepoint.com/:i:/g/personal/lot2blitar_waskita_co_id/IQCxl6xI58WPS7NhOx1yGrAsAYY_66fVfXTBeNY-EAdSNBE?e=qhFIHe</t>
  </si>
  <si>
    <t>https://ptwaskita-my.sharepoint.com/:u:/g/personal/lot2blitar_waskita_co_id/IQBgA2RWGh0nR5Sp4QxjRpi3AYKsa1JwPJqmbZdcQrrRPx0?e=xYNbEf</t>
  </si>
  <si>
    <t xml:space="preserve">1. Infiltrasi Mainroad pada STA. 5+100 &amp; 12+825 </t>
  </si>
  <si>
    <t>https://youtu.be/RFdmWkQxzGw</t>
  </si>
  <si>
    <t>Finalisasi Desain dan Kontrak Pekerjaan Rest Area
Saat ini Rest Area sudah dapat dilaksanakan pekerjaan sebatas pematangan lahan, pekerjaan Bangunan rest area menunggu finalisasi Desain dan Kontrak,  terdapat Progres sebesar 4,2% belum terserap &amp; Item Pembayaran Rest Area dilakukan secara menyeluruh sehingga tidak dapat ditagihkan menjadi termin, termin belum dapat ditagihan sebesar 58 Milyar.
TL = Negosiasi Volume dan Harga Satuan dengan Papenkon telah dilaksanakan, Saat ini Rest Area dalam proses persiapan (Shopdrawing, Join Survey &amp; Tender untuk Bangunan Rest Area)
Penyelesaian Sisa Pekerjaan s.d M-133 = Sisa Progres 7,72 %
Pekerjaan terkendala sebesar 5,19% (Bangunan Rest Area &amp; Galian Batu Akibat Lahan &amp; Balance Budget NK Add-08), 
Tidak terkedala sebesar 2,53% (Pek. Saluran, Barrier, Marka, Guardrail &amp; Pek Pendukung / Aksesoris (Bab Lain-Lain)
TL = Dukungan Percepatan Koreksi &amp; Pembayaran Tagihan Vendor
Percepatan proses Korkesi &amp; pembayaran Tagihan vendor diharapkan dapat berdampak langsung pada kelancaran pelaksanaan pekerjaan di lapangan dan membantu tercapainya target penyelesaian proyek</t>
  </si>
  <si>
    <t>https://ptwaskita-my.sharepoint.com/:f:/g/personal/kretek_girijati_waskita_co_id/IgCjH34Wc_lTRrmGhoauJrtQAVxSxLhyH2TGNcM3wI1rz2w?e=u8Mqwo</t>
  </si>
  <si>
    <t>https://ptwaskita-my.sharepoint.com/:f:/g/personal/kretek_girijati_waskita_co_id/IgCG4ZCVM6eCQY8NllTF6BAYAbZRcvs4cORGyEas44HE7QA?e=wikEvU</t>
  </si>
  <si>
    <t>https://ptwaskita-my.sharepoint.com/:f:/g/personal/kretek_girijati_waskita_co_id/IgD8HdP1aEKJQ58GQuEdnfwAAaU9q7BOTJ_FLBlk4bWnP1M?e=nD2Ryt</t>
  </si>
  <si>
    <t>1. Kondisi Cuaca Buruk Menghambat Produksi</t>
  </si>
  <si>
    <t>https://ptwaskita-my.sharepoint.com/:v:/g/personal/rio_david_waskita_co_id/IQAeyvioE-poQ6ROcX3Hcbj7AUnmt5uODRuFTUPib86DuxQ?nav=eyJyZWZlcnJhbEluZm8iOnsicmVmZXJyYWxBcHAiOiJPbmVEcml2ZUZvckJ1c2luZXNzIiwicmVmZXJyYWxBcHBQbGF0Zm9ybSI6IldlYiIsInJlZmVycmFsTW9kZSI6InZpZXciLCJyZWZlcnJhbFZpZXciOiJNeUZpbGVzTGlua0NvcHkifX0&amp;e=VWxrGU</t>
  </si>
  <si>
    <t>https://ptwaskita-my.sharepoint.com/:f:/g/personal/rio_david_waskita_co_id/IgAq6-J2I4pFSomyipV_YKQTAUjFUiIRfQWcw_XOWJWRecw?e=5yGibd</t>
  </si>
  <si>
    <t>https://ptwaskita-my.sharepoint.com/:f:/g/personal/rio_david_waskita_co_id/IgBSFR4pBEk5RI_4xrKbDozAAQMCNp3usQuPNCkDDH5cWv8?e=tycigN</t>
  </si>
  <si>
    <t>1. Operasional
   - Pembebasan Lahan :
     1. Lahan Bebas  = 85.76%
     2. Terdapat beberapa lokasi yang memerlukan tambahan ROW
2. Pelaksanaan Pekerjaan di Lapangan
    - Pekerjaan Tanah
      1. Terbatasnya pengiriman material alam (Selected Layer, Drainage Layer, Granular, FDG) dikarenakan  beberapa quarry ditutup
      2. Terdapat 5 quarry CBM yang sedang proses perizinan, sehingga pekerjaan CBM kurang maksimal
      3. Progress pekerjaan tanah masih belum memenuhi target rencana akibat curah hujan tinggi di lingkungan proyek
    - Pekerjaan Beton
       1. Keterbatasan material split akibat pemberhentian produksi quarry dan overdemand, sehingga volume beton yang tersedia sangat terbatas
3. Addendum Kontrak
   - Addendum Harga Timpang
     1. Proses negosiasi addendum harga timpang dan COO</t>
  </si>
  <si>
    <t>https://ptwaskita-my.sharepoint.com/:f:/g/personal/basuki_rahmat_waskita_co_id/IgADGA_jjzVvS5tfRGGiHPumAYV2YusI3G6F0XAqVIYIH_k?e=5zPIN9</t>
  </si>
  <si>
    <t>https://ptwaskita-my.sharepoint.com/:f:/g/personal/fahmi_waskita_co_id/IgDrJSSBiAniT5tNPHcjWJ-DAVZ85jyjpb_6jKLdJ3ZSgxE?e=Pl01tg</t>
  </si>
  <si>
    <t>https://ptwaskita-my.sharepoint.com/:f:/g/personal/fahmi_waskita_co_id/IgDi4gEYbJlWTLT9z0onzwCfAR4FwhsiJED-5VqvN6rC_tI?e=A7DjvM</t>
  </si>
  <si>
    <t>https://ptwaskita-my.sharepoint.com/:f:/g/personal/fahmi_waskita_co_id/IgAGQNHKHERnRpfE8NEwlLrtAW6PpyNbLAGeUmAxwKKw-Ak?e=1DH5Cu</t>
  </si>
  <si>
    <t xml:space="preserve">Isu Produksi : 
- Pembebasan lahan belum 100% &gt; Bersurat secara berkala, serah terima lahan secara parsial,engirimkan notifikasi dan update program ke owner. 
Pengajuan klaim perpanjangan waktu dan additional cost ke Owner (Interim s.d Desember 2025)
- Progress terlambat karena pembebasan lahan sebesar 
- Jalan Akses melibatkan 3 pihak ( BBWS, PJT2 dan Pertagas) &gt; Akibat cuaca buruk Pemeliharaan dan perbaikan jalan warga yang digunakan sebagai jalan akses
- Supply Ready Mix membutuhkan Batching Plant Dedicated &gt; Saat ini telah berkontrak dengan Adhimix RMC , Varia usaha beton dan Amanah Beton 
- Harga Cement Treated Base (CTB) di atas budget APP &gt; Tim proyek sudah melakukan negosiasi dengan beberapa vendor namun harga masih di atas budget APP
Perlu support manajemen untuk mendapatkan vendor / supplier CTB
Telah dilakukan negosiasi dengan harga terendah PT. Varia Beton Utama (Rp. 615.000 per m3)
- Supply Common Borrow Material dengan nilai LL &lt; 50 terbatas (untuk top sub grade tebal 30 – 60 cm) &gt;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
- Supply Material Earthwork &gt; Adanya kendala pada Quarry Subkontraktor menyebabkan pengiriman material menurun terhadap target proyek. Sedang dilakukan upaya untuk mencari opsi quarry lain dan tambahan subkontraktor
Isu Kontraktual dan legal
- Administrasi Approval Dokumen memakan waktu lama &gt; Proses approval dokumen memakan waktu yang cukup lama (dari Konsultan / Engineer) membutuhkan waktu kurang lebih 14 hari untuk proses approval. Koordinasi terus dilakukan dengan pihak terkait
</t>
  </si>
  <si>
    <t>https://ptwaskita-my.sharepoint.com/:f:/g/personal/basuki_rahmat_waskita_co_id/IgCeZyNhryOwToNSb4BbdjRQAQzVhqKhpBYiaVelHMxwR6c?e=UcMnD0</t>
  </si>
  <si>
    <t>https://ptwaskita-my.sharepoint.com/:f:/g/personal/basuki_rahmat_waskita_co_id/IgAnhNpQ1LDpR7OTdM0FXfFCAdhjvJldllQj1KMkpfyVv7g?e=GqnZXG</t>
  </si>
  <si>
    <t>https://ptwaskita-my.sharepoint.com/:f:/g/personal/basuki_rahmat_waskita_co_id/IgC7vNrvBaklSb_8WFMBpW--Ab7QmqDKDE0JzZ2RMBvvijk?e=fO64qY</t>
  </si>
  <si>
    <t xml:space="preserve">1. Terbatasnya pengiriman material alam (Selected Layer, Drainage Layer, Granular, FDG) dikarenakan beberapa quarry ditutup akibat kebijakan tata kelola tambang Prov. Jabar sejak akhir September 2025 s.d sekarang
2. Terdapat 4 quarry CBM dari total 5 quarry CBM yang sedang proses perizinan, sehingga pekerjaan CBM kurang maksimal
3. Progress pekerjaan tanah masih belum memenuhi target rencana akibat curah hujan tinggi di lingkungan proyek
4. Keterbatasan material split akibat kebijakan tata kelola tambang termasuk Rumpin Bogor dan terjadi overdemand, sehingga volume beton yang tersedia sangat terbatas sejak akhir September 2025 s.d sekarang
</t>
  </si>
  <si>
    <t>https://drive.google.com/drive/folders/1ArjA_k_ufT95IFqEtamooCyL-G9bYTza?usp=sharing</t>
  </si>
  <si>
    <t>https://ptwaskita-my.sharepoint.com/:f:/g/personal/fahmi_waskita_co_id/IgDyXYS7SAJRR5PNLQ4XtE0tAdxbalXXSflxtB7kK05plU8?e=kd4fMH</t>
  </si>
  <si>
    <t>Proyek sudah PHO</t>
  </si>
  <si>
    <t>https://drive.google.com/file/d/1cZsb9em_J_F4eF4kYcaD5kZieWAub5uy/view?usp=sharing</t>
  </si>
  <si>
    <t>https://drive.google.com/drive/folders/1So8Gpie2N5wYq2KqXxM4YmgESTJW96tI?usp=sharing</t>
  </si>
  <si>
    <t>https://drive.google.com/file/d/1nHvn2WAiAG0EYj9Akcj8cHM2-UyJYQt4/view?usp=sharing</t>
  </si>
  <si>
    <t>https://drive.google.com/file/d/1Eoy8SjuKnLFk5jTG9CIOKwX5_E84jHWu/view?usp=sharing</t>
  </si>
  <si>
    <t>1. Terdapat permasalahan lahan yang belum bebas pada lokasi pekerjaan interchange, khusunya pada lokasi Ramp Akses dan Ramp 3
2. Desain transisi (tapper) pada ramp in dan ramp out dari dan atau ke arah mainroad
3. Terdapat aset berupa tiang listrik, tiang telkom serta aset negara berupa jalan yang perlu di identifikasi sebelum pekerjaan jalan nasional dimulai</t>
  </si>
  <si>
    <t>https://ptwaskita-my.sharepoint.com/:v:/g/personal/rio_david_waskita_co_id/IQD43al7ou4sQoFJ22WqZXqwAaCXnvpg46T7d7MC03Y743o?nav=eyJyZWZlcnJhbEluZm8iOnsicmVmZXJyYWxBcHAiOiJPbmVEcml2ZUZvckJ1c2luZXNzIiwicmVmZXJyYWxBcHBQbGF0Zm9ybSI6IldlYiIsInJlZmVycmFsTW9kZSI6InZpZXciLCJyZWZlcnJhbFZpZXciOiJNeUZpbGVzTGlua0NvcHkifX0&amp;e=CQ84FJ</t>
  </si>
  <si>
    <t>https://ptwaskita-my.sharepoint.com/:f:/g/personal/rio_david_waskita_co_id/IgD9SGfJYUPiQ660Q32jXyUFAbX0Xn1zow3CN0YdY0rm6LU?e=hgy2kK</t>
  </si>
  <si>
    <t>https://ptwaskita-my.sharepoint.com/:f:/g/personal/fahmi_waskita_co_id/IgD81afdueR4Rq3ZYeK--6bSAbxLgrlLs03uLc2En95bCw4?e=AfE56J</t>
  </si>
  <si>
    <t xml:space="preserve">1. Operasional
   - Pembebasan Lahan :
      1. Lahan Bebas  = 85.76%
      2. Terdapat beberapa lokasi yang memerlukan tambahan ROW
2. Pelaksanaan Pekerjaan di Lapangan
    - Pekerjaan Tanah
       1. Terbatasnya pengiriman material alam (Selected Layer, Drainage Layer, Granular, FDG) dikarenakan beberapa quarry ditutup
       2. Terdapat 4 quarry CBM yang sedang proses perizinan, sehingga pekerjaan CBM kurang maksimal
       3. Progress pekerjaan tanah masih belum memenuhi target rencana akibat curah hujan tinggi di lingkungan proyek
       4. Kinerja vendor belum memenuhi target produksi harian (Zona 3A isu internal WKI-RPI)
    - Pekerjaan Beton
      1. Keterbatasan material split akibat pemberhentian produksi quarry dan overdemand, sehingga volume beton yang tersedia sangat terbatas
3. Addendum Kontrak
    - Addendum Kontrak
      1. Berdasarkan kontrak Add VI terdapat deviasi progress -8,751%
      2. Berdasarkan perhitungan MC100 dibutuhkan penambahan nilai kontrak dan juga penambahan waktu kontrak
</t>
  </si>
  <si>
    <t>https://youtu.be/R2j5sKq2gl0</t>
  </si>
  <si>
    <t xml:space="preserve">Finalisasi Desain dan Kontrak Pekerjaan Rest Area
Saat ini Rest Area sudah dapat dilaksanakan pekerjaan sebatas pematangan lahan, pekerjaan Bangunan rest area menunggu finalisasi Desain dan Kontrak,  terdapat Progres sebesar 4,2% belum terserap &amp; Item Pembayaran Rest Area dilakukan secara menyeluruh sehingga tidak dapat ditagihkan menjadi termin, termin belum dapat ditagihan sebesar 58 Milyar.
TL = Negosiasi Volume dan Harga Satuan dengan Papenkon telah dilaksanakan, Saat ini Rest Area dalam proses persiapan (Shopdrawing, Join Survey &amp; Tender untuk Bangunan Rest Area)
Penyelesaian Sisa Pekerjaan s.d M-138  Sisa Progres 6,67 %
Pekerjaan terkendala sebesar 4,84 % (Bangunan Rest Area &amp; Balance Budget NK Add-08), 
Tidak terkedala sebesar 1,83 % (Pek. Saluran, Barrier, Marka, Guardrail &amp; Pek Pendukung / Aksesoris (Bab Lain-Lain)
TL = Dukungan Percepatan Koreksi &amp; Pembayaran Tagihan Vendor
Percepatan proses Korkesi &amp; pembayaran Tagihan vendor diharapkan dapat berdampak langsung pada kelancaran pelaksanaan pekerjaan di lapangan dan membantu tercapainya target penyelesaian proyek
</t>
  </si>
  <si>
    <t>singarajamengwitani.sc910@waskita.co.id</t>
  </si>
  <si>
    <t>Proyek Jalan Perbaikan Geometrik Bts. Kota Singaraja-Mengwitani (SC 9&amp;10) Paket 1</t>
  </si>
  <si>
    <t>Fikri Ardiansyah - Staff Teknik</t>
  </si>
  <si>
    <t>Proyek Pembangunan Jalan Perbaikan Geometrik Bts Kota Singarja - Mengwitani SC 9-10 Paket 1</t>
  </si>
  <si>
    <t>https://ptwaskita-my.sharepoint.com/:f:/g/personal/singarajamengwitani_sc910_waskita_co_id/IgBRAzczBgWBT6Y1_UCDS8R2AWB_ojJZrTkyDl-J1P9xlzY?e=C41UuP</t>
  </si>
  <si>
    <t>https://ptwaskita-my.sharepoint.com/:f:/g/personal/singarajamengwitani_sc910_waskita_co_id/IgChAgyE2qBWTaadra4rU4YhARUjGamFVVnK8iPRMSAoK5s?e=64MbiD</t>
  </si>
  <si>
    <t>https://ptwaskita-my.sharepoint.com/:f:/g/personal/singarajamengwitani_sc910_waskita_co_id/IgCh1Nsh8FdySaZWTqT_EwonAbhHBhbpzlnbuCsZutxqBAE?e=LwYoCC</t>
  </si>
  <si>
    <t>Secara keseluruhan lahan pada paket 1 sudah bebas semua, namun pada STA 0+850 - 1+525 terdapat masalah adanya blokade dari pihak warga dikarenakan masih ada sisa lahan bermasalah pada Paket 3.</t>
  </si>
  <si>
    <t>https://ptwaskita-my.sharepoint.com/:f:/g/personal/kretek_girijati_waskita_co_id/IgCum4bSxEeGS4X-Ak5HAOh2AaeC_3YnzJIfwGoJUgHk3bI?e=Z8mzIF</t>
  </si>
  <si>
    <t>https://ptwaskita-my.sharepoint.com/:f:/g/personal/kretek_girijati_waskita_co_id/IgD8HdP1aEKJQ58GQuEdnfwAAaU9q7BOTJ_FLBlk4bWnP1M?e=f6n7A4</t>
  </si>
  <si>
    <t>1. Cuaca Hujan menghambat produktifitas
2. Proses Add 6</t>
  </si>
  <si>
    <t>386034ed-d88f-4811-ae2f-edbccd141a01</t>
  </si>
  <si>
    <t>e58b6731-7876-4bd3-b22c-7755f9f33d4a</t>
  </si>
  <si>
    <t>https://ptwaskita-my.sharepoint.com/:f:/g/personal/basuki_rahmat_waskita_co_id/IgDkkUDz7CZERJfXUjwa7ghXAQ7VzbDmXwjalyXzusSgzXQ</t>
  </si>
  <si>
    <t>https://ptwaskita-my.sharepoint.com/:f:/g/personal/basuki_rahmat_waskita_co_id/IgDcZXvmJYkwSa1bcdA3OZh9ARQ88jGuGwFLDhDsRrR_N8g?e=P2eSq0</t>
  </si>
  <si>
    <t>https://ptwaskita-my.sharepoint.com/:f:/g/personal/basuki_rahmat_waskita_co_id/IgCMVJqeFolYSqfHCj1mHDwhATq2hUT8G-Dsz9QG_rg6Gho</t>
  </si>
  <si>
    <t>https://ptwaskita-my.sharepoint.com/:f:/g/personal/fahmi_waskita_co_id/IgDrJSSBiAniT5tNPHcjWJ-DAVZ85jyjpb_6jKLdJ3ZSgxE?e=uAUx9s</t>
  </si>
  <si>
    <t>https://ptwaskita-my.sharepoint.com/:f:/g/personal/fahmi_waskita_co_id/IgDi4gEYbJlWTLT9z0onzwCfAR4FwhsiJED-5VqvN6rC_tI?e=6b8g7L</t>
  </si>
  <si>
    <t>https://ptwaskita-my.sharepoint.com/:f:/g/personal/fahmi_waskita_co_id/IgAkM3P2ln2WTJd5u3ju6F6iARbH4yQfMQqcCoDRlAboUaQ?e=L03mzz</t>
  </si>
  <si>
    <t xml:space="preserve">Isu Produksi : 
- Pembebasan lahan belum 100% &gt; Bersurat secara berkala, serah terima lahan secara parsial,engirimkan notifikasi dan update program ke owner. 
Pengajuan klaim perpanjangan waktu dan additional cost ke Owner 
- Jalan Akses melibatkan 3 pihak ( BBWS, PJT2 dan Pertagas) &gt; Akibat cuaca buruk Pemeliharaan dan perbaikan jalan warga yang digunakan sebagai jalan akses
- Supply Ready Mix membutuhkan Batching Plant Dedicated &gt; Saat ini telah berkontrak dengan Adhimix RMC , Varia usaha beton dan Amanah Beton 
- Harga Cement Treated Base (CTB) di atas budget APP &gt; Tim proyek sudah melakukan negosiasi dengan beberapa vendor namun harga masih di atas budget APP
Perlu support manajemen untuk mendapatkan vendor / supplier CTB
Telah dilakukan negosiasi dengan harga terendah PT. Varia Beton Utama (Rp. 615.000 per m3)
- Supply Common Borrow Material dengan nilai LL &lt; 50 terbatas (untuk top sub grade tebal 30 – 60 cm) &gt; Material CBM dengan spesifikasi tersebut terbatas sementara kebutuhan semua paket sama
Apabila digunakan material yang tersedia, perlu dilakukan treatment dengan menambahkan campuran kapur (masih didiskusikan dengan engineer / expert) yang akan berpotensi terhadap penambahan biaya
Masih menunggu desain campuran treatment
- Supply Material Earthwork &gt; Adanya kendala pada Quarry Subkontraktor menyebabkan pengiriman material menurun terhadap target proyek. Sedang dilakukan upaya untuk mencari opsi quarry lain dan tambahan subkontraktor
Isu Kontraktual dan legal
- Administrasi Approval Dokumen memakan waktu lama &gt; Proses approval dokumen memakan waktu yang cukup lama (dari Konsultan / Engineer) membutuhkan waktu kurang lebih 14 hari untuk proses approval. Koordinasi terus dilakukan dengan pihak terkait
</t>
  </si>
  <si>
    <t>https://youtu.be/auuW6vf23CQ</t>
  </si>
  <si>
    <t>Finalisasi Desain dan Kontrak Pekerjaan Rest Area
Saat ini Rest Area sudah dapat dilaksanakan pekerjaan sebatas pematangan lahan &amp; Site Development, pekerjaan Bangunan rest area menunggu finalisasi Desain dan Kontrak,  terdapat Progres sebesar 4,2% belum terserap &amp; Item Pembayaran Rest Area dilakukan secara menyeluruh sehingga tidak dapat ditagihkan menjadi termin, termin belum dapat ditagihan sebesar 58 Milyar.
TL = Menunggu Approval Addendum-09 (Saat ini Proses Sirkular ttd di Owner), Saat ini Rest Area dalam proses persiapan (Shopdrawing, Join Survey &amp; Tender untuk Bangunan Rest Area)
Penyelesaian Sisa Pekerjaan s.d M-141 = Sisa Progres 6,26 %
Pekerjaan terkendala sebesar 4,84 % (Bangunan Rest Area) 
Tidak terkedala sebesar 1,42 % (Pek. Saluran,, Marka, Landscape &amp; Pek Pendukung / Aksesoris (Bab Lain-Lain)
TL = Dukungan Percepatan Koreksi &amp; Pembayaran Tagihan Vendor
Percepatan proses Korkesi &amp; pembayaran Tagihan vendor diharapkan dapat berdampak langsung pada kelancaran pelaksanaan pekerjaan di lapangan dan membantu tercapainya target penyelesaian proyek</t>
  </si>
  <si>
    <t>https://drive.google.com/file/d/1gYfDl8rsjFVCEF1jZnWB-mQ1T_zQcjRP/view?usp=drivesdk</t>
  </si>
  <si>
    <t>https://drive.google.com/drive/folders/1-j-5j_Q4NI7GOIrwBA99QhaZZAFPzbej</t>
  </si>
  <si>
    <t>https://drive.google.com/file/d/1DgBV5lt_4ILmpjrTlD_QFhA0uNzn-ra1/view?usp=drive_link</t>
  </si>
  <si>
    <t>https://drive.google.com/file/d/1rACDC7da5B6pKf65lmceQpI31X0l20Nv/view?usp=drive_link</t>
  </si>
  <si>
    <t>1. Terdapat permasalahan lahan yang belum bebas pada lokasi pekerjaan interchange, khusunya pada lokasi Ramp Akses dan Ramp 3</t>
  </si>
  <si>
    <t>https://ptwaskita-my.sharepoint.com/:v:/g/personal/rio_david_waskita_co_id/IQCzjkm7vA0kQY7t2A-4TGzCAUjMjyHvWOj4xsfeL8Z_elM?nav=eyJyZWZlcnJhbEluZm8iOnsicmVmZXJyYWxBcHAiOiJPbmVEcml2ZUZvckJ1c2luZXNzIiwicmVmZXJyYWxBcHBQbGF0Zm9ybSI6IldlYiIsInJlZmVycmFsTW9kZSI6InZpZXciLCJyZWZlcnJhbFZpZXciOiJNeUZpbGVzTGlua0NvcHkifX0&amp;e=wncOcd</t>
  </si>
  <si>
    <t>https://ptwaskita-my.sharepoint.com/:f:/g/personal/rio_david_waskita_co_id/IgBujHCDZNFZR5W-iikJy2jkAXR3rl-qAuY9Rp-V0y6K_5s?e=iq4479</t>
  </si>
  <si>
    <t>https://ptwaskita-my.sharepoint.com/:f:/g/personal/rio_david_waskita_co_id/IgANwkmER68KSKDC-omORKy1AYANhglaL_MSkkea7g87l80?e=6Czhn6</t>
  </si>
  <si>
    <t xml:space="preserve">1. Operasional
    - Pembebasan Lahan :
      1. Lahan Bebas  = 85.76%
      2. Terdapat beberapa lokasi yang memerlukan tambahan ROW
2. Pelaksanaan Pekerjaan di Lapangan
    - Pekerjaan Tanah
       1. Terbatasnya pengiriman material alam (Selected Layer, Drainage Layer, Granular, FDG) dikarenakan beberapa quarry ditutup
       2. Terdapat 3 quarry CBM yang sedang proses perizinan, sehingga pekerjaan CBM kurang maksimal
       3. Progress pekerjaan tanah masih belum memenuhi target rencana akibat curah hujan tinggi di lingkungan proyek
    - Pekerjaan Beton
       1. Keterbatasan material split akibat pemberhentian produksi quarry dan overdemand, sehingga volume beton yang tersedia sangat terbatas
3. Addendum Kontrak
    - Addendum Kontrak
      1. Berdasarkan perhitungan MC100 dibutuhkan penambahan nilai kontrak dan juga penambahan waktu kontrak
</t>
  </si>
  <si>
    <t>Periode</t>
  </si>
  <si>
    <t>Rencana</t>
  </si>
  <si>
    <t>Realisasi</t>
  </si>
  <si>
    <t>No</t>
  </si>
  <si>
    <t>ID_Project</t>
  </si>
  <si>
    <t>BU</t>
  </si>
  <si>
    <t>Koord</t>
  </si>
  <si>
    <t>Status Project</t>
  </si>
  <si>
    <t>Panjang</t>
  </si>
  <si>
    <t>Cesium ION</t>
  </si>
  <si>
    <t>BimViewer</t>
  </si>
  <si>
    <t>Infrastructure II Division</t>
  </si>
  <si>
    <t>-0.95259625,116.71704453</t>
  </si>
  <si>
    <t xml:space="preserve">Finish </t>
  </si>
  <si>
    <t>2.426249030,128.29766314</t>
  </si>
  <si>
    <t>-7.82225167,113.29968319</t>
  </si>
  <si>
    <t>-3.25078511,134.87791156</t>
  </si>
  <si>
    <t>-6.80675464,106.785366</t>
  </si>
  <si>
    <t>3.76047575,115.89977678</t>
  </si>
  <si>
    <t>-6.13491053,106.93675986</t>
  </si>
  <si>
    <t>-2.95293103,104.75455094</t>
  </si>
  <si>
    <t>3.76271056,115.88262689</t>
  </si>
  <si>
    <t>-6.12967558,107.07321308</t>
  </si>
  <si>
    <t>On Hold</t>
  </si>
  <si>
    <t>-6.35008011,107.02324233</t>
  </si>
  <si>
    <t>-1.98399270,103.7135193</t>
  </si>
  <si>
    <t>-6.42873464,107.19897003</t>
  </si>
  <si>
    <t>On Going</t>
  </si>
  <si>
    <t>-8.29394978,112.00545006</t>
  </si>
  <si>
    <t>Jalan Tol Serang - Panimbang Seksi III Fase 2 Paket 3</t>
  </si>
  <si>
    <t>-6.51951534,105.80097177</t>
  </si>
  <si>
    <t>-1.13731907,116.79020552</t>
  </si>
  <si>
    <t>-1.10415341,116.73424356</t>
  </si>
  <si>
    <t>"&lt;iframe src='https://bimviewer.org/viewer/?urn=dXJuOmFkc2sub2JqZWN0czpvcy5vYmplY3Q6YXBzLWJpbS12aWV3ZXItYnVja2V0LWNxM3E0NnVrbWdrdHYxdTQ3aTByMHdsYXo5anQ2amF6cHZxeWF5MnVyZXlhNjN1Ni9TT1AlMjAyKzI0MC5ydnQ' style='position: fixed; width:100%; height:100%'&gt;&lt;/iframe&gt;"</t>
  </si>
  <si>
    <t>-0.88562397,119.85928375</t>
  </si>
  <si>
    <t>-0.96849430,116.70188410</t>
  </si>
  <si>
    <t>-6.92723742,109.95182730</t>
  </si>
  <si>
    <t>-1.15205556,116.69316667</t>
  </si>
  <si>
    <t>-6.4209386,107.1876008</t>
  </si>
  <si>
    <t>-6.23191260,107.90813480</t>
  </si>
  <si>
    <t>-0.99046214,116.69024762</t>
  </si>
  <si>
    <t>-6.42093860,107.18760070</t>
  </si>
  <si>
    <t>-7.72647690,113.63515320</t>
  </si>
  <si>
    <t>https://ion.cesium.com/stories/viewer/?id=6d6812ab-f9f1-4950-84d4-65f4f479c8a7</t>
  </si>
  <si>
    <t>-8.01003300,110.33312900</t>
  </si>
  <si>
    <t>-8.30961900,112.11101000</t>
  </si>
  <si>
    <t>-6.88120502,106.78938277</t>
  </si>
  <si>
    <t>"&lt;iframe src='https://bimviewer.org/viewer/?urn=dXJuOmFkc2sub2JqZWN0czpvcy5vYmplY3Q6YXBzLWJpbS12aWV3ZXItYnVja2V0LWNxM3E0NnVrbWdrdHYxdTQ3aTByMHdsYXo5anQ2amF6cHZxeWF5MnVyZXlhNjN1Ni9KRU1CQVRBTiUyMDE2MCUyMGtvb3JkaW5hdCUyMGJhcnUlMjAyJTIwLSUyMENvcHkucnZ0' style='position: fixed; width:100%; height:100%'&gt;&lt;/iframe&gt;"</t>
  </si>
  <si>
    <t>-6.33533300,107.77576100</t>
  </si>
  <si>
    <t>-6.42093860,107.18760090</t>
  </si>
  <si>
    <t>Jembatan Kalimantan-Pulau Laut(JOI 20%)</t>
  </si>
  <si>
    <t>Perbaikan Geometrik Jalan Mengwitani Singaraja</t>
  </si>
  <si>
    <t>Pembangunan Jalan Kompleks Kawasan Yudikatif IKN</t>
  </si>
  <si>
    <t>Jalan Tol Japek 2 Selatan Paket 3 Induk</t>
  </si>
  <si>
    <t>Jalan Jalan Tol Cimanggis Cibitung Seksi 2</t>
  </si>
  <si>
    <t>2.42624903,128.29766314</t>
  </si>
  <si>
    <t>Jalan dan Jembatan Batas Kab. Blitar Lot 6B</t>
  </si>
  <si>
    <t>Fly Over Simpang Sekip - Palembang JOI 65%</t>
  </si>
  <si>
    <t>Jalan Tol IKN Tempadung-Pulau Balang (JOI 50%)</t>
  </si>
  <si>
    <t>-1.104153412,116.73424356</t>
  </si>
  <si>
    <t>Jalan IKN Sepaku Segmen 4 JOI 70%</t>
  </si>
  <si>
    <t>Rekonstruksi Jalan Kwatisore-Papua JOI 70%</t>
  </si>
  <si>
    <t>-6.2319126,107.9081348</t>
  </si>
  <si>
    <t>-7.7264769,113.6351532</t>
  </si>
  <si>
    <t>Jalan Tol Bayunglencir - Tempino Seksi 1</t>
  </si>
  <si>
    <t>-1.9839927,103.7135193</t>
  </si>
  <si>
    <t>-8.010033,110.333129</t>
  </si>
  <si>
    <t>-6.4209386,107.1876007</t>
  </si>
  <si>
    <t>-0.9684943,116.7018841</t>
  </si>
  <si>
    <t>Pematangan Lahan KIT Batang Klaster 1 Fase 2 Tahap 1</t>
  </si>
  <si>
    <t>-6.92723742,109.9518273</t>
  </si>
  <si>
    <t>Jalan Tol Akses Patimban Paket 2</t>
  </si>
  <si>
    <t>-6.335333,107.775761</t>
  </si>
  <si>
    <t>Jalan Lot 2 Buluwalang-Sidomulyo-Tambakrejo</t>
  </si>
  <si>
    <t>-8.309619,112.11101</t>
  </si>
  <si>
    <t>Jalan Seksi 6C-1 SP. 3 ITCI Simpang 1B Sumbu Kebangsaan Timur KIPP</t>
  </si>
  <si>
    <t>-0.990462143,116.6902476266</t>
  </si>
  <si>
    <t>Jalan Tol Bocimi Seksi 3</t>
  </si>
  <si>
    <t>-6.8812050213,106.7893827682</t>
  </si>
  <si>
    <t>-6.5195153359,105.8009717668</t>
  </si>
  <si>
    <t>-1.1373190651,116.7902055238</t>
  </si>
  <si>
    <t>-1.01212520,116.66358970</t>
  </si>
  <si>
    <t>item</t>
  </si>
  <si>
    <t xml:space="preserve">Nama Proyek </t>
  </si>
  <si>
    <t>Pengguna Jasa</t>
  </si>
  <si>
    <t>Lokasi Proyek</t>
  </si>
  <si>
    <t>Tanggal SPMK</t>
  </si>
  <si>
    <t>Jangka Waktu Pelaksanaan</t>
  </si>
  <si>
    <t>Masa Pemeliharaan</t>
  </si>
  <si>
    <t>Jenis Kontrak</t>
  </si>
  <si>
    <t>Cara Pembayaran</t>
  </si>
  <si>
    <t>Nilai Kontrak</t>
  </si>
  <si>
    <t>Retensi</t>
  </si>
  <si>
    <t>Kontraktor Pelaksana</t>
  </si>
  <si>
    <t>Lingkup Pekerjaan</t>
  </si>
  <si>
    <t>Pembangunan Jalan Tol Ciawi - Sukabumi Seksi 3 STA 26+500 sd 40+200, 13,7 km</t>
  </si>
  <si>
    <t>PT Trans Jabar Tol</t>
  </si>
  <si>
    <t>Kab Sukabumi, Prov Jawa Barat</t>
  </si>
  <si>
    <t>731 Hari Kalender</t>
  </si>
  <si>
    <t>1095 Hari Kalender</t>
  </si>
  <si>
    <t>Fixed Unit Price</t>
  </si>
  <si>
    <t>Sertifikat Bulanan</t>
  </si>
  <si>
    <t>Rp 1876743479356 (NK + PPn 11%)</t>
  </si>
  <si>
    <t>PT Waskita Karya (Persero)</t>
  </si>
  <si>
    <t>Pembangunan Jalan Lintas Selatan Lot 2:Bululawang - Sidomulyo - Tambakrejo</t>
  </si>
  <si>
    <t>Satker Pelaksanaan Jalan Nasional Wilayah II Prov. Jawa Timur Pejabat Pembuat Komitmen 2.7 Provinsi Jawa Timur</t>
  </si>
  <si>
    <t>Kab. Blitar, Prov. Jawa Timur</t>
  </si>
  <si>
    <t>1020 Hari Kalender dari SPMK</t>
  </si>
  <si>
    <t>365 Hari Kalender</t>
  </si>
  <si>
    <t>Unit Price</t>
  </si>
  <si>
    <t>Interim Payment Certificate (Monthly Payment)</t>
  </si>
  <si>
    <t>PP - WASKITA - SMU</t>
  </si>
  <si>
    <t>Panjang 12.775km; Box Culvert 23 unit; Jembatan (30m) 3 unit</t>
  </si>
  <si>
    <t>Pembangunan Jalan di dalam KIPP: Paket Pembangunan Jalan Feeder (Distrik) di Kawasan IKN</t>
  </si>
  <si>
    <t>Kementerian PUPR Direktorat Jendral Bina Marga</t>
  </si>
  <si>
    <t>Kabupaten Penajam Paser Utara, Prov. Kalimantan Timur</t>
  </si>
  <si>
    <t>11 Juli 2023 sd 04 Agustus 2024 (390 hari kalender)</t>
  </si>
  <si>
    <t>Waskita - Nindya - Permata KSO</t>
  </si>
  <si>
    <t>Pembangunan dan pembukaan jalan baru di KIPP 10.30km; 1 jembatan; Multi Utility Tunnel (MUT) 8.37km; Box Culvert 26 buah</t>
  </si>
  <si>
    <t>Jalan Kretek - Girijati (JOI 52.5%)</t>
  </si>
  <si>
    <t>Kementerian PUPR Direktorat Jendral Bina Marga PPK DI Yogyakarta</t>
  </si>
  <si>
    <t>Prov. DI Yogyakarta</t>
  </si>
  <si>
    <t>02 Agustus 2023 sd 22 Juli 2025 (720 hari kalender)</t>
  </si>
  <si>
    <t>Waskita - PP</t>
  </si>
  <si>
    <t>Jalan IKN Seksi 6C-1 (JOI 32.5%)</t>
  </si>
  <si>
    <t xml:space="preserve">Kementerian PUPR Direktorat Jendral Bina Marga Balai Besar Pelaksanaan </t>
  </si>
  <si>
    <t>Provinsi Kalimantan Timur</t>
  </si>
  <si>
    <t>7 Desember 2023 sd 30 Desember 2024 (389 Hari Kalender)</t>
  </si>
  <si>
    <t>Monthly Payment</t>
  </si>
  <si>
    <t>PP - WASKITA - Yasa Patria Perkasa</t>
  </si>
  <si>
    <t>Pematangan Lahan KITB JOI 40%</t>
  </si>
  <si>
    <t>PPK Kasawan Industri Batang I, BBPJN Jawa Tengah - DIY, PUPR Bina Marga</t>
  </si>
  <si>
    <t>Kabupaten Batang, Prov. Jawa Tengah</t>
  </si>
  <si>
    <t>9 November 2023 sd 3 September 2024 (300 hari Kalender)</t>
  </si>
  <si>
    <t>180 hari kalender</t>
  </si>
  <si>
    <t>Nindya Karya - Waskita Karya - Bina Nusa Lestari</t>
  </si>
  <si>
    <t>Probolinggo - Banyuwangi Paket 3 (JOP 25%)</t>
  </si>
  <si>
    <t>PT. Jasamarga Probolinggo - Banyuwangi</t>
  </si>
  <si>
    <t>Provinsi Jawa Timur</t>
  </si>
  <si>
    <t>12 Juni 2023 sd 12 Desember 2024 (549 hari Kalender)</t>
  </si>
  <si>
    <t>13 Desember 2024 sd 12 Desember 2026 (1095 Hari Kalender)</t>
  </si>
  <si>
    <t>Gabungan Lumpsum dan Unit Price</t>
  </si>
  <si>
    <t>PP - Waskita Karya - Wijaya Karya</t>
  </si>
  <si>
    <t>Akses Jalan Tol Japek Selatan (Deltamas)</t>
  </si>
  <si>
    <t>PT. Puradelta Lestari</t>
  </si>
  <si>
    <t>Kab. Bekasi, Prov. Jawa Barat</t>
  </si>
  <si>
    <t>26 Juni 2023 sd 23 Desember 2023 (180 hari kalender)</t>
  </si>
  <si>
    <t>Waskita Karya</t>
  </si>
  <si>
    <t>STA 4+400 - 5+000 (600m)</t>
  </si>
  <si>
    <t>Pembangunan FO Sekip Ujung</t>
  </si>
  <si>
    <t>PPK 3.6 Provinsi Sumatera Selatan</t>
  </si>
  <si>
    <t>Palembang, Prov. Sumatera Selatan</t>
  </si>
  <si>
    <t>630 hari kalender</t>
  </si>
  <si>
    <t>Waskita - Kencana KSO</t>
  </si>
  <si>
    <t>STA 0+000 - 0+660 (660m)</t>
  </si>
  <si>
    <t>Patimban Port Development Project Package 5: Car Terminal Construction</t>
  </si>
  <si>
    <t>Kementerian Perhubungan - Dirjen Perhubungan Laut</t>
  </si>
  <si>
    <t>Kab. Subang, Provinsi Jawa Barat</t>
  </si>
  <si>
    <t>730 hari kalender dari tanggal SPMK</t>
  </si>
  <si>
    <t xml:space="preserve">TOA - Waskita - Wakachiku - HK - Abipraya </t>
  </si>
  <si>
    <t>Kementerian PUPR Direktorat Jenderal Bina Marga Balai</t>
  </si>
  <si>
    <t>16 Januari s.d. 31 Desember 2024 (350 hari)</t>
  </si>
  <si>
    <t>365 hari kalender</t>
  </si>
  <si>
    <t>Nindya Karya - Waskita Karya - Naviri Multi Konstruksi - Panca Karya Sentosa</t>
  </si>
  <si>
    <t>Jalan Akses 1.74km; Interchange 6 ramp; Jalan Provinsi 850m</t>
  </si>
  <si>
    <t>PPK 1.1 Satuan Kerja PJN Wilayah Provinsi Sumatera Utara</t>
  </si>
  <si>
    <t>Provinsi Jambi</t>
  </si>
  <si>
    <t>27 Mei 2023 s.d 30 Juni 2024 (520 hari)</t>
  </si>
  <si>
    <t>Gabungan lumpsum dan unit price</t>
  </si>
  <si>
    <t>Adhi Karya - Waskita Karya - Jaya Konstruksi</t>
  </si>
  <si>
    <t>Mainroan 7.625km; Akses tol 2.90km</t>
  </si>
  <si>
    <t>Tol IKN Seksi 3B-2 JOI 20%</t>
  </si>
  <si>
    <t>Kementerian PUPR Direktorat Jenderal Bina Marga Balai Pelaksana Jalan Nasional  Kalimantan Timur</t>
  </si>
  <si>
    <t>Balikpapan, Prov. Kalimantan Timur</t>
  </si>
  <si>
    <t>21 Desember 2023 - 12 Juni 2025 (539 hari kalender)</t>
  </si>
  <si>
    <t>Wijaya Karya - Waskita Karya - Jaya Konstruksi - PP</t>
  </si>
  <si>
    <t>Elevated pile slab 1.26km; interchange KKT Kariangau 1 lokasi; Jembatan satwa 2 lokasi</t>
  </si>
  <si>
    <t>Pembangunan Jalan Tol Akses Patimban Paket 2</t>
  </si>
  <si>
    <t xml:space="preserve">Kementerian PUPR Dirjen Bina Marga </t>
  </si>
  <si>
    <t>Kab. Subang, Prov. Jawa Barat</t>
  </si>
  <si>
    <t>3 Januari 2024 - 02 Desember 2025 (700 hari Kalender)</t>
  </si>
  <si>
    <t xml:space="preserve">Waskita - Abipraya </t>
  </si>
  <si>
    <t>Civil works main road 6.2KM (STA 21+800 - 28+000), 5 bridge, 1 overpass</t>
  </si>
  <si>
    <t>Pekerjaan Rekonstruksi Jalan Kwatisore-Kaamp. Muri (Bts Provinsi Papua Barat) I</t>
  </si>
  <si>
    <t>Dirjen Binamarga Pelaksanaan Jalan Nasional Wilayah VII Provinsi Papua (Nabire)</t>
  </si>
  <si>
    <t>Kabupaten Nabire, Provinsi Papua</t>
  </si>
  <si>
    <t>510 hari kalender</t>
  </si>
  <si>
    <t>Waskita - Karya Mandiri Permai KSO</t>
  </si>
  <si>
    <t>Pembangunan Jalan sampai perkerasan panjang 16.45 km (KM 113+420 sd 121+300 dan KM 129+700 sd 138+200)</t>
  </si>
  <si>
    <t>Jalan IKN Lingkar Sepaku Segmen 4 (JOI 70%)</t>
  </si>
  <si>
    <t>Kementerian PUPR – BBPJN Kalimantan Timur – Satuan Kerja Pelaksanaan Pembangunan IKN 2</t>
  </si>
  <si>
    <t>Penajam Paser Utara, Kalimantan Timur</t>
  </si>
  <si>
    <t>19/09/2022 – 04/05/2024 (594 hari)</t>
  </si>
  <si>
    <t>182 hari</t>
  </si>
  <si>
    <t>Fix Unit Price</t>
  </si>
  <si>
    <t>Jalan Tol IKN Segmen Sp. Tempadung - Jemb. Pulau Balang (JOI 50%)</t>
  </si>
  <si>
    <t>Kementerian PUPR</t>
  </si>
  <si>
    <t>Tempadung-Pulau Balang, Kalimantan Timur</t>
  </si>
  <si>
    <t>730 hari</t>
  </si>
  <si>
    <t>Waskita- Nindya - Modern KSO</t>
  </si>
  <si>
    <t>Jalan 4.755km; elevated pile slab 1.380 (7 lokasi); jjembatan 2 buah; Box Culvert 12 buah</t>
  </si>
  <si>
    <t>Tokyu Construction Co., Ltd.</t>
  </si>
  <si>
    <t>Palu, Sulawesi Tengah</t>
  </si>
  <si>
    <t>730 hari (s.d. 30 Juni 2024)</t>
  </si>
  <si>
    <t>Lumpsum</t>
  </si>
  <si>
    <t>Monthly Payment with Minimum Progress</t>
  </si>
  <si>
    <t>Jembatan dan pendekat (380+250+410m).</t>
  </si>
  <si>
    <t xml:space="preserve">Cimanggis - Cibitung Seksi 2 </t>
  </si>
  <si>
    <t>PT. Cimanggis Cibitung Tollways</t>
  </si>
  <si>
    <t>Bogor, Bekasi,Prov.  Jawa Barat</t>
  </si>
  <si>
    <t>sd Mei 2024 (Cikeas - Cibitung)</t>
  </si>
  <si>
    <t>1095 hari kalender</t>
  </si>
  <si>
    <t xml:space="preserve">Termin </t>
  </si>
  <si>
    <t>PT. Waskita Karya</t>
  </si>
  <si>
    <t xml:space="preserve">Jalan Tol </t>
  </si>
  <si>
    <t>Proyek Jalan Tol Serang - Penimbang Seksi 3 JOI 27.5%</t>
  </si>
  <si>
    <t>Satker JBH Serang - Panimbang, Balai Prov Banten, Kementerian PUPR</t>
  </si>
  <si>
    <t>Kab. Pandeglang, Prov. Banten</t>
  </si>
  <si>
    <t>390 hari kalender setelah SPMK terbit</t>
  </si>
  <si>
    <t>Kontrak Harga Satuan</t>
  </si>
  <si>
    <t>PP - Adhi Karya  - Waskita Karya - Modern</t>
  </si>
  <si>
    <t>Peningkatan Jalan Sp. Siligita-Kempinski, Showcase Mangrove</t>
  </si>
  <si>
    <t>Kementerian PUPR, Ditjen Binamarga, Balai Besar Pelaksanaan Jalan Nasional Jawa Timur &amp; Bali</t>
  </si>
  <si>
    <t>Nusa Dua, Prov. Bali</t>
  </si>
  <si>
    <t>Februari 2022 sd September 2022</t>
  </si>
  <si>
    <t>5.225 KM (Sp Siligita - Kempinski) dan 1.5km (Showcase Mangrove)</t>
  </si>
  <si>
    <t>Item</t>
  </si>
  <si>
    <t>Deskripsi</t>
  </si>
  <si>
    <t>27 November 2023</t>
  </si>
  <si>
    <t>Rp 1.876.743.479.356 (NK + PPn 11%)</t>
  </si>
  <si>
    <t>5%</t>
  </si>
  <si>
    <t>27 Oktober 2023</t>
  </si>
  <si>
    <t>Rp 316.419.029.407</t>
  </si>
  <si>
    <t>5 Juli 2023</t>
  </si>
  <si>
    <t>Rp 1.160.870.287.394</t>
  </si>
  <si>
    <t>02 Agustus 2023</t>
  </si>
  <si>
    <t>Rp 241.031.298.951</t>
  </si>
  <si>
    <t>7 Desember 2023</t>
  </si>
  <si>
    <t>Rp 1.493.278.263.794</t>
  </si>
  <si>
    <t>Rp 463.336.549.270</t>
  </si>
  <si>
    <t>21 Februari 2023</t>
  </si>
  <si>
    <t>Rp 3.987.286.153.268</t>
  </si>
  <si>
    <t>20 Juni 2023</t>
  </si>
  <si>
    <t>Rp 100.900.000.000</t>
  </si>
  <si>
    <t>Rp 152.943.426.000</t>
  </si>
  <si>
    <t>31 Maret 2023</t>
  </si>
  <si>
    <t>Rp 2.383.566.664.079</t>
  </si>
  <si>
    <t>15 Januari 2024</t>
  </si>
  <si>
    <t>Rp 853.785.920.150</t>
  </si>
  <si>
    <t>17 Mei 2023</t>
  </si>
  <si>
    <t>Rp 1.455.374.902.280</t>
  </si>
  <si>
    <t>21 Desember 2023</t>
  </si>
  <si>
    <t>Rp 2.399.426.628.007</t>
  </si>
  <si>
    <t>Rp 873.537.539.596,98</t>
  </si>
  <si>
    <t>Rp 132.976.776.509,14</t>
  </si>
  <si>
    <t>29 Agustus 2022</t>
  </si>
  <si>
    <t>Rp 179.905.249.644,14</t>
  </si>
  <si>
    <t>650 hari</t>
  </si>
  <si>
    <t>Rp 2.198.255.285.291,68</t>
  </si>
  <si>
    <t>22 Juni 2022</t>
  </si>
  <si>
    <r>
      <rPr>
        <sz val="11"/>
        <color theme="1"/>
        <rFont val="Aptos Narrow"/>
        <family val="2"/>
      </rPr>
      <t>¥</t>
    </r>
    <r>
      <rPr>
        <sz val="11"/>
        <color theme="1"/>
        <rFont val="Calibri"/>
        <family val="2"/>
      </rPr>
      <t xml:space="preserve"> </t>
    </r>
    <r>
      <rPr>
        <sz val="11"/>
        <color theme="1"/>
        <rFont val="Calibri"/>
        <family val="2"/>
        <scheme val="minor"/>
      </rPr>
      <t>1.787.000.000</t>
    </r>
  </si>
  <si>
    <t>26 Juni 2016</t>
  </si>
  <si>
    <t>Rp 3.828.037.215.111,39</t>
  </si>
  <si>
    <t>08 Desember 2023</t>
  </si>
  <si>
    <t>Rp 1.915.188.111.950</t>
  </si>
  <si>
    <t>22 April 2022</t>
  </si>
  <si>
    <t>Rp 120.002.832.625,51</t>
  </si>
  <si>
    <t>PT. Trans Jabar Tol</t>
  </si>
  <si>
    <t>Sukabumi, Jawa Barat</t>
  </si>
  <si>
    <t>25 Oktober 2023</t>
  </si>
  <si>
    <t>27 November 2023 sd 30 April 2025</t>
  </si>
  <si>
    <t>1096 Hari Kalender</t>
  </si>
  <si>
    <t>Rp 631.143.592.242 (Exc PPN 11%)</t>
  </si>
  <si>
    <t>Jalan Tol</t>
  </si>
  <si>
    <t>Jalan Tol Bocimi  Seksi 3B</t>
  </si>
  <si>
    <t>1 Maret 2024 sd 26 November 2025</t>
  </si>
  <si>
    <t>Rp 1.059.616.299.070 (Exc PPN 11%)</t>
  </si>
  <si>
    <t>Otorita Ibu Kota Nusantara (OIKN)</t>
  </si>
  <si>
    <t>Ibu Kota Nusantara</t>
  </si>
  <si>
    <t>11 Juni 2025</t>
  </si>
  <si>
    <t>204 Hari Kalender (11 Juni 2025 - 31 Desember 2025)</t>
  </si>
  <si>
    <t>365 Hari</t>
  </si>
  <si>
    <t>Monthly Certificate</t>
  </si>
  <si>
    <t>Rp 396.560.943.004,45 (Inc. PPN)</t>
  </si>
  <si>
    <t>Peningkatan Jalan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</si>
</sst>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00000"/>
    <numFmt numFmtId="165" formatCode="dd/mm/yy"/>
    <numFmt numFmtId="166" formatCode="[$Rp-421]#,##0.00"/>
    <numFmt numFmtId="167" formatCode="[$-421]dd\ mmmm\ yyyy;@"/>
    <numFmt numFmtId="168" formatCode="[$-409]d\-mmm\-yy;@"/>
    <numFmt numFmtId="169" formatCode="[$-409]d\-mmm\-yyyy;@"/>
    <numFmt numFmtId="170" formatCode="&quot;Rp&quot;#,##0"/>
    <numFmt numFmtId="171" formatCode="[$-409]dd\-mmm\-yy;@"/>
    <numFmt numFmtId="172" formatCode="0.000"/>
    <numFmt numFmtId="173" formatCode="dd/mm/yy;@"/>
    <numFmt numFmtId="174" formatCode="dd/mm/yyyy;@"/>
    <numFmt numFmtId="175" formatCode="0.000000"/>
  </numFmts>
  <fonts count="19">
    <font>
      <sz val="11"/>
      <color theme="1"/>
      <name val="Calibri"/>
      <family val="2"/>
      <scheme val="minor"/>
    </font>
    <font>
      <b/>
      <sz val="11"/>
      <color theme="0"/>
      <name val="Calibri"/>
      <family val="2"/>
      <scheme val="minor"/>
    </font>
    <font>
      <sz val="11"/>
      <color rgb="FF000000"/>
      <name val="Calibri"/>
      <family val="2"/>
      <scheme val="minor"/>
    </font>
    <font>
      <sz val="11"/>
      <color rgb="FF000000"/>
      <name val="Aptos Narrow"/>
      <family val="2"/>
    </font>
    <font>
      <sz val="11"/>
      <color rgb="FF000000"/>
      <name val="Segoe UI"/>
      <family val="2"/>
    </font>
    <font>
      <u/>
      <sz val="11"/>
      <color theme="10"/>
      <name val="Calibri"/>
      <family val="2"/>
      <scheme val="minor"/>
    </font>
    <font>
      <sz val="11"/>
      <color rgb="FF000000"/>
      <name val="Calibri"/>
      <family val="2"/>
    </font>
    <font>
      <sz val="8"/>
      <name val="Calibri"/>
      <family val="2"/>
      <scheme val="minor"/>
    </font>
    <font>
      <sz val="11"/>
      <color rgb="FF444444"/>
      <name val="Consolas"/>
      <family val="3"/>
    </font>
    <font>
      <sz val="11"/>
      <name val="Calibri"/>
      <family val="2"/>
      <scheme val="minor"/>
    </font>
    <font>
      <sz val="11"/>
      <color theme="1"/>
      <name val="Aptos Narrow"/>
      <family val="2"/>
    </font>
    <font>
      <sz val="11"/>
      <color theme="1"/>
      <name val="Calibri"/>
      <family val="2"/>
    </font>
    <font>
      <b/>
      <sz val="11"/>
      <color rgb="FF000000"/>
      <name val="Wingdings 2"/>
      <family val="1"/>
      <charset val="2"/>
    </font>
    <font>
      <sz val="9"/>
      <color rgb="FF000000"/>
      <name val="Consolas"/>
      <family val="3"/>
    </font>
    <font>
      <u/>
      <sz val="11"/>
      <color rgb="FF000000"/>
      <name val="Calibri"/>
      <family val="2"/>
      <scheme val="minor"/>
    </font>
    <font>
      <sz val="11"/>
      <color rgb="FF242424"/>
      <name val="Aptos Narrow"/>
      <family val="2"/>
    </font>
    <font>
      <b/>
      <sz val="11"/>
      <color theme="1"/>
      <name val="Calibri"/>
      <family val="2"/>
      <scheme val="minor"/>
    </font>
    <font>
      <sz val="9"/>
      <color rgb="FF007B8B"/>
      <name val="Arial"/>
      <family val="2"/>
    </font>
    <font>
      <sz val="11"/>
      <color rgb="FF000000"/>
      <name val="Calibri"/>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DDEBF7"/>
        <bgColor rgb="FFDDEBF7"/>
      </patternFill>
    </fill>
    <fill>
      <patternFill patternType="solid">
        <fgColor theme="0"/>
        <bgColor indexed="64"/>
      </patternFill>
    </fill>
  </fills>
  <borders count="1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style="thin">
        <color rgb="FF9BC2E6"/>
      </top>
      <bottom style="thin">
        <color theme="4" tint="0.39997558519241921"/>
      </bottom>
      <diagonal/>
    </border>
    <border>
      <left/>
      <right style="thin">
        <color rgb="FF9BC2E6"/>
      </right>
      <top style="thin">
        <color rgb="FF9BC2E6"/>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000000"/>
      </left>
      <right style="thin">
        <color rgb="FF000000"/>
      </right>
      <top style="thin">
        <color rgb="FF000000"/>
      </top>
      <bottom style="thin">
        <color rgb="FF000000"/>
      </bottom>
      <diagonal/>
    </border>
    <border>
      <left/>
      <right style="thin">
        <color theme="4" tint="0.39997558519241921"/>
      </right>
      <top style="thin">
        <color theme="4" tint="0.39997558519241921"/>
      </top>
      <bottom/>
      <diagonal/>
    </border>
    <border>
      <left/>
      <right/>
      <top style="thin">
        <color rgb="FF9BC2E6"/>
      </top>
      <bottom/>
      <diagonal/>
    </border>
  </borders>
  <cellStyleXfs count="2">
    <xf numFmtId="0" fontId="0" fillId="0" borderId="0"/>
    <xf numFmtId="0" fontId="5" fillId="0" borderId="0" applyNumberFormat="0" applyFill="0" applyBorder="0" applyAlignment="0" applyProtection="0"/>
  </cellStyleXfs>
  <cellXfs count="229">
    <xf numFmtId="0" fontId="0" fillId="0" borderId="0" xfId="0"/>
    <xf numFmtId="14" fontId="0" fillId="0" borderId="0" xfId="0" applyNumberFormat="1"/>
    <xf numFmtId="0" fontId="0" fillId="2" borderId="2" xfId="0" applyFill="1" applyBorder="1"/>
    <xf numFmtId="0" fontId="0" fillId="0" borderId="2" xfId="0" applyBorder="1"/>
    <xf numFmtId="14" fontId="0" fillId="0" borderId="2" xfId="0" applyNumberFormat="1" applyBorder="1"/>
    <xf numFmtId="49" fontId="0" fillId="0" borderId="0" xfId="0" applyNumberFormat="1"/>
    <xf numFmtId="0" fontId="1" fillId="3" borderId="2" xfId="0" applyFont="1" applyFill="1" applyBorder="1"/>
    <xf numFmtId="0" fontId="1" fillId="3" borderId="3" xfId="0" applyFont="1" applyFill="1" applyBorder="1"/>
    <xf numFmtId="49" fontId="6" fillId="4" borderId="4" xfId="0" applyNumberFormat="1" applyFont="1" applyFill="1" applyBorder="1"/>
    <xf numFmtId="49" fontId="6" fillId="0" borderId="4" xfId="0" applyNumberFormat="1" applyFont="1" applyBorder="1"/>
    <xf numFmtId="49" fontId="0" fillId="0" borderId="2" xfId="0" applyNumberFormat="1" applyBorder="1"/>
    <xf numFmtId="14" fontId="6" fillId="4" borderId="4" xfId="0" applyNumberFormat="1" applyFont="1" applyFill="1" applyBorder="1"/>
    <xf numFmtId="14" fontId="6" fillId="0" borderId="4" xfId="0" applyNumberFormat="1" applyFont="1" applyBorder="1"/>
    <xf numFmtId="14" fontId="6" fillId="2" borderId="4" xfId="0" applyNumberFormat="1" applyFont="1" applyFill="1" applyBorder="1"/>
    <xf numFmtId="49" fontId="0" fillId="2" borderId="2" xfId="0" applyNumberFormat="1" applyFill="1" applyBorder="1"/>
    <xf numFmtId="49" fontId="6" fillId="4" borderId="2" xfId="0" applyNumberFormat="1" applyFont="1" applyFill="1" applyBorder="1"/>
    <xf numFmtId="14" fontId="6" fillId="4" borderId="2" xfId="0" applyNumberFormat="1" applyFont="1" applyFill="1" applyBorder="1"/>
    <xf numFmtId="49" fontId="6" fillId="0" borderId="2" xfId="0" applyNumberFormat="1" applyFont="1" applyBorder="1"/>
    <xf numFmtId="14" fontId="6" fillId="0" borderId="2" xfId="0" applyNumberFormat="1" applyFont="1" applyBorder="1"/>
    <xf numFmtId="49" fontId="6" fillId="2" borderId="4" xfId="0" applyNumberFormat="1" applyFont="1" applyFill="1" applyBorder="1"/>
    <xf numFmtId="49" fontId="5" fillId="0" borderId="4" xfId="1" applyNumberFormat="1" applyBorder="1"/>
    <xf numFmtId="49" fontId="6" fillId="0" borderId="4" xfId="0" quotePrefix="1" applyNumberFormat="1" applyFont="1" applyBorder="1"/>
    <xf numFmtId="49" fontId="2" fillId="0" borderId="4" xfId="0" applyNumberFormat="1" applyFont="1" applyBorder="1"/>
    <xf numFmtId="49" fontId="2" fillId="2" borderId="2" xfId="0" applyNumberFormat="1" applyFont="1" applyFill="1" applyBorder="1"/>
    <xf numFmtId="14" fontId="6" fillId="2" borderId="2" xfId="0" applyNumberFormat="1" applyFont="1" applyFill="1" applyBorder="1"/>
    <xf numFmtId="49" fontId="6" fillId="2" borderId="4" xfId="0" quotePrefix="1" applyNumberFormat="1" applyFont="1" applyFill="1" applyBorder="1" applyAlignment="1">
      <alignment wrapText="1"/>
    </xf>
    <xf numFmtId="49" fontId="6" fillId="4" borderId="2" xfId="0" applyNumberFormat="1" applyFont="1" applyFill="1" applyBorder="1" applyAlignment="1">
      <alignment wrapText="1"/>
    </xf>
    <xf numFmtId="165" fontId="0" fillId="0" borderId="0" xfId="0" applyNumberFormat="1" applyAlignment="1">
      <alignment horizontal="right"/>
    </xf>
    <xf numFmtId="165" fontId="0" fillId="2" borderId="2" xfId="0" applyNumberFormat="1" applyFill="1" applyBorder="1" applyAlignment="1">
      <alignment horizontal="right"/>
    </xf>
    <xf numFmtId="165" fontId="0" fillId="0" borderId="2" xfId="0" applyNumberFormat="1" applyBorder="1" applyAlignment="1">
      <alignment horizontal="right"/>
    </xf>
    <xf numFmtId="0" fontId="0" fillId="2" borderId="1" xfId="0" applyFill="1" applyBorder="1"/>
    <xf numFmtId="0" fontId="0" fillId="0" borderId="1" xfId="0" applyBorder="1"/>
    <xf numFmtId="49" fontId="2" fillId="0" borderId="2" xfId="0" applyNumberFormat="1" applyFont="1" applyBorder="1"/>
    <xf numFmtId="49" fontId="3" fillId="0" borderId="4" xfId="0" applyNumberFormat="1" applyFont="1" applyBorder="1"/>
    <xf numFmtId="49" fontId="4" fillId="2" borderId="2" xfId="0" applyNumberFormat="1" applyFont="1" applyFill="1" applyBorder="1"/>
    <xf numFmtId="49" fontId="3" fillId="2" borderId="2" xfId="0" applyNumberFormat="1" applyFont="1" applyFill="1" applyBorder="1"/>
    <xf numFmtId="49" fontId="3" fillId="0" borderId="2" xfId="0" applyNumberFormat="1" applyFont="1" applyBorder="1"/>
    <xf numFmtId="49" fontId="4" fillId="0" borderId="2" xfId="0" applyNumberFormat="1" applyFont="1" applyBorder="1"/>
    <xf numFmtId="49" fontId="3" fillId="2" borderId="4" xfId="0" applyNumberFormat="1" applyFont="1" applyFill="1" applyBorder="1"/>
    <xf numFmtId="49" fontId="2" fillId="2" borderId="4" xfId="0" applyNumberFormat="1" applyFont="1" applyFill="1" applyBorder="1"/>
    <xf numFmtId="49" fontId="6" fillId="0" borderId="4" xfId="0" applyNumberFormat="1" applyFont="1" applyBorder="1" applyAlignment="1">
      <alignment wrapText="1"/>
    </xf>
    <xf numFmtId="49" fontId="6" fillId="4" borderId="4" xfId="0" applyNumberFormat="1" applyFont="1" applyFill="1" applyBorder="1" applyAlignment="1">
      <alignment wrapText="1"/>
    </xf>
    <xf numFmtId="49" fontId="6" fillId="2" borderId="2" xfId="0" applyNumberFormat="1" applyFont="1" applyFill="1" applyBorder="1"/>
    <xf numFmtId="49" fontId="6" fillId="2" borderId="4" xfId="0" applyNumberFormat="1" applyFont="1" applyFill="1" applyBorder="1" applyAlignment="1">
      <alignment wrapText="1"/>
    </xf>
    <xf numFmtId="49" fontId="6" fillId="0" borderId="4" xfId="0" quotePrefix="1" applyNumberFormat="1" applyFont="1" applyBorder="1" applyAlignment="1">
      <alignment wrapText="1"/>
    </xf>
    <xf numFmtId="49" fontId="6" fillId="4" borderId="4" xfId="0" quotePrefix="1" applyNumberFormat="1" applyFont="1" applyFill="1" applyBorder="1" applyAlignment="1">
      <alignment wrapText="1"/>
    </xf>
    <xf numFmtId="49" fontId="6" fillId="0" borderId="2" xfId="0" applyNumberFormat="1" applyFont="1" applyBorder="1" applyAlignment="1">
      <alignment wrapText="1"/>
    </xf>
    <xf numFmtId="49" fontId="6" fillId="2" borderId="2" xfId="0" quotePrefix="1" applyNumberFormat="1" applyFont="1" applyFill="1" applyBorder="1" applyAlignment="1">
      <alignment wrapText="1"/>
    </xf>
    <xf numFmtId="49" fontId="6" fillId="2" borderId="2" xfId="0" applyNumberFormat="1" applyFont="1" applyFill="1" applyBorder="1" applyAlignment="1">
      <alignment wrapText="1"/>
    </xf>
    <xf numFmtId="49" fontId="0" fillId="0" borderId="0" xfId="0" applyNumberFormat="1" applyAlignment="1">
      <alignment horizontal="right"/>
    </xf>
    <xf numFmtId="0" fontId="0" fillId="2" borderId="0" xfId="0" applyFill="1"/>
    <xf numFmtId="49" fontId="0" fillId="2" borderId="4" xfId="0" applyNumberFormat="1" applyFill="1" applyBorder="1"/>
    <xf numFmtId="49" fontId="0" fillId="0" borderId="4" xfId="0" applyNumberFormat="1" applyBorder="1"/>
    <xf numFmtId="49" fontId="0" fillId="2" borderId="0" xfId="0" applyNumberFormat="1" applyFill="1"/>
    <xf numFmtId="49" fontId="4" fillId="0" borderId="4" xfId="0" applyNumberFormat="1" applyFont="1" applyBorder="1"/>
    <xf numFmtId="49" fontId="4" fillId="2" borderId="4" xfId="0" applyNumberFormat="1" applyFont="1" applyFill="1" applyBorder="1"/>
    <xf numFmtId="14" fontId="0" fillId="2" borderId="4" xfId="0" applyNumberFormat="1" applyFill="1" applyBorder="1"/>
    <xf numFmtId="0" fontId="2" fillId="0" borderId="2" xfId="0" applyFont="1" applyBorder="1"/>
    <xf numFmtId="0" fontId="1" fillId="3" borderId="0" xfId="0" applyFont="1" applyFill="1"/>
    <xf numFmtId="0" fontId="4" fillId="0" borderId="2" xfId="0" applyFont="1" applyBorder="1"/>
    <xf numFmtId="0" fontId="4" fillId="0" borderId="4" xfId="0" applyFont="1" applyBorder="1"/>
    <xf numFmtId="14" fontId="0" fillId="0" borderId="4" xfId="0" applyNumberFormat="1" applyBorder="1"/>
    <xf numFmtId="49" fontId="6" fillId="4" borderId="2" xfId="0" quotePrefix="1" applyNumberFormat="1" applyFont="1" applyFill="1" applyBorder="1" applyAlignment="1">
      <alignment wrapText="1"/>
    </xf>
    <xf numFmtId="49" fontId="5" fillId="4" borderId="4" xfId="1" applyNumberFormat="1" applyFill="1" applyBorder="1"/>
    <xf numFmtId="49" fontId="6" fillId="4" borderId="0" xfId="0" applyNumberFormat="1" applyFont="1" applyFill="1"/>
    <xf numFmtId="14" fontId="0" fillId="0" borderId="0" xfId="0" applyNumberFormat="1" applyAlignment="1">
      <alignment horizontal="right"/>
    </xf>
    <xf numFmtId="0" fontId="0" fillId="0" borderId="0" xfId="0" applyAlignment="1">
      <alignment wrapText="1"/>
    </xf>
    <xf numFmtId="166" fontId="0" fillId="0" borderId="0" xfId="0" applyNumberFormat="1" applyAlignment="1">
      <alignment horizontal="left"/>
    </xf>
    <xf numFmtId="167" fontId="0" fillId="0" borderId="0" xfId="0" applyNumberFormat="1" applyAlignment="1">
      <alignment horizontal="left"/>
    </xf>
    <xf numFmtId="168" fontId="0" fillId="0" borderId="0" xfId="0" applyNumberFormat="1"/>
    <xf numFmtId="168" fontId="8" fillId="0" borderId="0" xfId="0" applyNumberFormat="1" applyFont="1"/>
    <xf numFmtId="169" fontId="0" fillId="0" borderId="0" xfId="0" applyNumberFormat="1" applyAlignment="1">
      <alignment horizontal="left"/>
    </xf>
    <xf numFmtId="0" fontId="2" fillId="5" borderId="0" xfId="0" applyFont="1" applyFill="1"/>
    <xf numFmtId="15" fontId="0" fillId="0" borderId="0" xfId="0" quotePrefix="1" applyNumberFormat="1"/>
    <xf numFmtId="49" fontId="5" fillId="0" borderId="2" xfId="1" applyNumberFormat="1" applyBorder="1"/>
    <xf numFmtId="49" fontId="5" fillId="2" borderId="4" xfId="1" applyNumberFormat="1" applyFill="1" applyBorder="1"/>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166" fontId="0" fillId="2" borderId="2" xfId="0" applyNumberFormat="1" applyFill="1" applyBorder="1" applyAlignment="1">
      <alignment horizontal="left"/>
    </xf>
    <xf numFmtId="0" fontId="0" fillId="0" borderId="0" xfId="0" applyAlignment="1">
      <alignment horizontal="left" vertical="center"/>
    </xf>
    <xf numFmtId="170" fontId="0" fillId="0" borderId="0" xfId="0" applyNumberFormat="1"/>
    <xf numFmtId="171" fontId="0" fillId="0" borderId="0" xfId="0" applyNumberFormat="1" applyAlignment="1">
      <alignment horizontal="left" vertical="center"/>
    </xf>
    <xf numFmtId="171" fontId="0" fillId="0" borderId="0" xfId="0" applyNumberFormat="1" applyAlignment="1">
      <alignment horizontal="left"/>
    </xf>
    <xf numFmtId="171" fontId="0" fillId="0" borderId="2" xfId="0" applyNumberFormat="1" applyBorder="1" applyAlignment="1">
      <alignment horizontal="left"/>
    </xf>
    <xf numFmtId="165" fontId="0" fillId="2" borderId="0" xfId="0" applyNumberFormat="1" applyFill="1" applyAlignment="1">
      <alignment horizontal="right"/>
    </xf>
    <xf numFmtId="49" fontId="6" fillId="2" borderId="0" xfId="0" applyNumberFormat="1" applyFont="1" applyFill="1"/>
    <xf numFmtId="14" fontId="6" fillId="4" borderId="0" xfId="0" applyNumberFormat="1" applyFont="1" applyFill="1"/>
    <xf numFmtId="49" fontId="5" fillId="4" borderId="0" xfId="1" applyNumberFormat="1" applyFill="1" applyBorder="1"/>
    <xf numFmtId="49" fontId="6" fillId="4" borderId="0" xfId="0" applyNumberFormat="1" applyFont="1" applyFill="1" applyAlignment="1">
      <alignment wrapText="1"/>
    </xf>
    <xf numFmtId="49" fontId="5" fillId="4" borderId="2" xfId="1" applyNumberFormat="1" applyFill="1" applyBorder="1"/>
    <xf numFmtId="172" fontId="6" fillId="4" borderId="0" xfId="0" applyNumberFormat="1" applyFont="1" applyFill="1"/>
    <xf numFmtId="172" fontId="6" fillId="4" borderId="2" xfId="0" applyNumberFormat="1" applyFont="1" applyFill="1" applyBorder="1"/>
    <xf numFmtId="172" fontId="6" fillId="0" borderId="2" xfId="0" applyNumberFormat="1" applyFont="1" applyBorder="1"/>
    <xf numFmtId="172" fontId="6" fillId="0" borderId="4" xfId="0" applyNumberFormat="1" applyFont="1" applyBorder="1"/>
    <xf numFmtId="172" fontId="6" fillId="4" borderId="4" xfId="0" applyNumberFormat="1" applyFont="1" applyFill="1" applyBorder="1"/>
    <xf numFmtId="172" fontId="6" fillId="2" borderId="4" xfId="0" applyNumberFormat="1" applyFont="1" applyFill="1" applyBorder="1"/>
    <xf numFmtId="172" fontId="0" fillId="0" borderId="4" xfId="0" applyNumberFormat="1" applyBorder="1"/>
    <xf numFmtId="172" fontId="0" fillId="2" borderId="4" xfId="0" applyNumberFormat="1" applyFill="1" applyBorder="1"/>
    <xf numFmtId="173" fontId="6" fillId="2" borderId="0" xfId="0" applyNumberFormat="1" applyFont="1" applyFill="1" applyAlignment="1">
      <alignment horizontal="right"/>
    </xf>
    <xf numFmtId="173" fontId="6" fillId="4" borderId="0" xfId="0" applyNumberFormat="1" applyFont="1" applyFill="1" applyAlignment="1">
      <alignment horizontal="right"/>
    </xf>
    <xf numFmtId="173" fontId="6" fillId="2" borderId="2" xfId="0" applyNumberFormat="1" applyFont="1" applyFill="1" applyBorder="1" applyAlignment="1">
      <alignment horizontal="right"/>
    </xf>
    <xf numFmtId="173" fontId="6" fillId="4" borderId="2" xfId="0" applyNumberFormat="1" applyFont="1" applyFill="1" applyBorder="1" applyAlignment="1">
      <alignment horizontal="right"/>
    </xf>
    <xf numFmtId="173" fontId="6" fillId="0" borderId="2" xfId="0" applyNumberFormat="1" applyFont="1" applyBorder="1" applyAlignment="1">
      <alignment horizontal="right"/>
    </xf>
    <xf numFmtId="173" fontId="6" fillId="0" borderId="4" xfId="0" applyNumberFormat="1" applyFont="1" applyBorder="1" applyAlignment="1">
      <alignment horizontal="right"/>
    </xf>
    <xf numFmtId="173" fontId="6" fillId="4" borderId="4" xfId="0" applyNumberFormat="1" applyFont="1" applyFill="1" applyBorder="1" applyAlignment="1">
      <alignment horizontal="right"/>
    </xf>
    <xf numFmtId="173" fontId="6" fillId="2" borderId="4" xfId="0" applyNumberFormat="1" applyFont="1" applyFill="1" applyBorder="1" applyAlignment="1">
      <alignment horizontal="right"/>
    </xf>
    <xf numFmtId="173" fontId="0" fillId="0" borderId="4" xfId="0" applyNumberFormat="1" applyBorder="1" applyAlignment="1">
      <alignment horizontal="right"/>
    </xf>
    <xf numFmtId="173" fontId="0" fillId="2" borderId="4" xfId="0" applyNumberFormat="1" applyFill="1" applyBorder="1" applyAlignment="1">
      <alignment horizontal="right"/>
    </xf>
    <xf numFmtId="174" fontId="0" fillId="2" borderId="0" xfId="0" applyNumberFormat="1" applyFill="1" applyAlignment="1">
      <alignment horizontal="right"/>
    </xf>
    <xf numFmtId="174" fontId="0" fillId="2" borderId="2" xfId="0" applyNumberFormat="1" applyFill="1" applyBorder="1" applyAlignment="1">
      <alignment horizontal="right"/>
    </xf>
    <xf numFmtId="174" fontId="0" fillId="0" borderId="2" xfId="0" applyNumberFormat="1" applyBorder="1" applyAlignment="1">
      <alignment horizontal="right"/>
    </xf>
    <xf numFmtId="173" fontId="0" fillId="2" borderId="2" xfId="0" applyNumberFormat="1" applyFill="1" applyBorder="1" applyAlignment="1">
      <alignment horizontal="right"/>
    </xf>
    <xf numFmtId="0" fontId="0" fillId="0" borderId="0" xfId="0" quotePrefix="1"/>
    <xf numFmtId="172" fontId="0" fillId="2" borderId="2" xfId="0" applyNumberFormat="1" applyFill="1" applyBorder="1"/>
    <xf numFmtId="0" fontId="9" fillId="0" borderId="0" xfId="0" applyFont="1"/>
    <xf numFmtId="9" fontId="0" fillId="0" borderId="0" xfId="0" quotePrefix="1" applyNumberFormat="1"/>
    <xf numFmtId="49" fontId="0" fillId="0" borderId="0" xfId="0" applyNumberFormat="1" applyAlignment="1">
      <alignment horizontal="left"/>
    </xf>
    <xf numFmtId="1" fontId="0" fillId="0" borderId="0" xfId="0" applyNumberFormat="1" applyAlignment="1">
      <alignment horizontal="left"/>
    </xf>
    <xf numFmtId="172" fontId="6" fillId="2" borderId="2" xfId="0" applyNumberFormat="1" applyFont="1" applyFill="1" applyBorder="1"/>
    <xf numFmtId="49" fontId="5" fillId="0" borderId="0" xfId="1" applyNumberFormat="1" applyBorder="1"/>
    <xf numFmtId="0" fontId="2" fillId="5" borderId="2" xfId="0" applyFont="1" applyFill="1" applyBorder="1"/>
    <xf numFmtId="164" fontId="2" fillId="5" borderId="2" xfId="0" applyNumberFormat="1" applyFont="1" applyFill="1" applyBorder="1"/>
    <xf numFmtId="0" fontId="2" fillId="5" borderId="3" xfId="0" applyFont="1" applyFill="1" applyBorder="1"/>
    <xf numFmtId="164" fontId="2" fillId="5" borderId="3" xfId="0" applyNumberFormat="1" applyFont="1" applyFill="1" applyBorder="1"/>
    <xf numFmtId="49" fontId="2" fillId="5" borderId="0" xfId="0" applyNumberFormat="1" applyFont="1" applyFill="1"/>
    <xf numFmtId="0" fontId="13" fillId="5" borderId="0" xfId="0" applyFont="1" applyFill="1"/>
    <xf numFmtId="164" fontId="14" fillId="5" borderId="3" xfId="1" applyNumberFormat="1" applyFont="1" applyFill="1" applyBorder="1"/>
    <xf numFmtId="49" fontId="2" fillId="5" borderId="2" xfId="0" applyNumberFormat="1" applyFont="1" applyFill="1" applyBorder="1"/>
    <xf numFmtId="0" fontId="2" fillId="5" borderId="9" xfId="0" applyFont="1" applyFill="1" applyBorder="1"/>
    <xf numFmtId="164" fontId="2" fillId="5" borderId="11" xfId="0" applyNumberFormat="1" applyFont="1" applyFill="1" applyBorder="1"/>
    <xf numFmtId="0" fontId="2" fillId="5" borderId="11" xfId="0" applyFont="1" applyFill="1" applyBorder="1"/>
    <xf numFmtId="49" fontId="0" fillId="0" borderId="9" xfId="0" applyNumberFormat="1" applyBorder="1"/>
    <xf numFmtId="49" fontId="6" fillId="4" borderId="0" xfId="0" quotePrefix="1" applyNumberFormat="1" applyFont="1" applyFill="1" applyAlignment="1">
      <alignment wrapText="1"/>
    </xf>
    <xf numFmtId="164" fontId="2" fillId="5" borderId="9" xfId="0" applyNumberFormat="1" applyFont="1" applyFill="1" applyBorder="1"/>
    <xf numFmtId="0" fontId="2" fillId="5" borderId="2" xfId="0" applyFont="1" applyFill="1" applyBorder="1" applyAlignment="1">
      <alignment horizontal="right" vertical="center"/>
    </xf>
    <xf numFmtId="0" fontId="2" fillId="5" borderId="9" xfId="0" applyFont="1" applyFill="1" applyBorder="1" applyAlignment="1">
      <alignment horizontal="right" vertical="center"/>
    </xf>
    <xf numFmtId="0" fontId="2" fillId="5" borderId="0" xfId="0" applyFont="1" applyFill="1" applyAlignment="1">
      <alignment horizontal="right" vertical="center"/>
    </xf>
    <xf numFmtId="0" fontId="2" fillId="5" borderId="0" xfId="0" applyFont="1" applyFill="1" applyAlignment="1">
      <alignment horizontal="right"/>
    </xf>
    <xf numFmtId="173" fontId="0" fillId="2" borderId="0" xfId="0" applyNumberFormat="1" applyFill="1" applyAlignment="1">
      <alignment horizontal="right"/>
    </xf>
    <xf numFmtId="172" fontId="0" fillId="2" borderId="0" xfId="0" applyNumberFormat="1" applyFill="1"/>
    <xf numFmtId="14" fontId="0" fillId="2" borderId="0" xfId="0" applyNumberFormat="1" applyFill="1"/>
    <xf numFmtId="49" fontId="6" fillId="4" borderId="9" xfId="0" applyNumberFormat="1" applyFont="1" applyFill="1" applyBorder="1"/>
    <xf numFmtId="0" fontId="0" fillId="2" borderId="4" xfId="0" quotePrefix="1" applyFill="1" applyBorder="1"/>
    <xf numFmtId="0" fontId="0" fillId="0" borderId="4" xfId="0" quotePrefix="1" applyBorder="1"/>
    <xf numFmtId="172" fontId="6" fillId="4" borderId="9" xfId="0" applyNumberFormat="1" applyFont="1" applyFill="1" applyBorder="1"/>
    <xf numFmtId="0" fontId="4" fillId="2" borderId="2" xfId="0" applyFont="1" applyFill="1" applyBorder="1"/>
    <xf numFmtId="173" fontId="6" fillId="2" borderId="9" xfId="0" applyNumberFormat="1" applyFont="1" applyFill="1" applyBorder="1" applyAlignment="1">
      <alignment horizontal="right"/>
    </xf>
    <xf numFmtId="0" fontId="4" fillId="2" borderId="4" xfId="0" applyFont="1" applyFill="1" applyBorder="1"/>
    <xf numFmtId="173" fontId="0" fillId="0" borderId="2" xfId="0" applyNumberFormat="1" applyBorder="1" applyAlignment="1">
      <alignment horizontal="right"/>
    </xf>
    <xf numFmtId="2" fontId="0" fillId="0" borderId="4" xfId="0" applyNumberFormat="1" applyBorder="1"/>
    <xf numFmtId="2" fontId="6" fillId="4" borderId="4" xfId="0" applyNumberFormat="1" applyFont="1" applyFill="1" applyBorder="1"/>
    <xf numFmtId="2" fontId="6" fillId="2" borderId="4" xfId="0" applyNumberFormat="1" applyFont="1" applyFill="1" applyBorder="1"/>
    <xf numFmtId="2" fontId="0" fillId="2" borderId="4" xfId="0" applyNumberFormat="1" applyFill="1" applyBorder="1"/>
    <xf numFmtId="2" fontId="6" fillId="4" borderId="2" xfId="0" applyNumberFormat="1" applyFont="1" applyFill="1" applyBorder="1"/>
    <xf numFmtId="2" fontId="6" fillId="2" borderId="2" xfId="0" applyNumberFormat="1" applyFont="1" applyFill="1" applyBorder="1"/>
    <xf numFmtId="2" fontId="0" fillId="0" borderId="2" xfId="0" applyNumberFormat="1" applyBorder="1"/>
    <xf numFmtId="2" fontId="0" fillId="2" borderId="2" xfId="0" applyNumberFormat="1" applyFill="1" applyBorder="1"/>
    <xf numFmtId="0" fontId="2" fillId="5" borderId="2" xfId="0" applyFont="1" applyFill="1" applyBorder="1" applyAlignment="1">
      <alignment horizontal="left" vertical="center"/>
    </xf>
    <xf numFmtId="164" fontId="0" fillId="0" borderId="3" xfId="0" applyNumberFormat="1" applyBorder="1"/>
    <xf numFmtId="0" fontId="15" fillId="0" borderId="0" xfId="0" applyFont="1"/>
    <xf numFmtId="173" fontId="6" fillId="2" borderId="6" xfId="0" applyNumberFormat="1" applyFont="1" applyFill="1" applyBorder="1" applyAlignment="1">
      <alignment horizontal="right"/>
    </xf>
    <xf numFmtId="49" fontId="5" fillId="4" borderId="0" xfId="1" quotePrefix="1" applyNumberFormat="1" applyFill="1" applyBorder="1"/>
    <xf numFmtId="174" fontId="0" fillId="0" borderId="0" xfId="0" applyNumberFormat="1" applyAlignment="1">
      <alignment horizontal="right"/>
    </xf>
    <xf numFmtId="172" fontId="0" fillId="0" borderId="2" xfId="0" applyNumberFormat="1" applyBorder="1"/>
    <xf numFmtId="49" fontId="5" fillId="0" borderId="0" xfId="1" quotePrefix="1" applyNumberFormat="1" applyBorder="1"/>
    <xf numFmtId="14" fontId="6" fillId="4" borderId="9" xfId="0" applyNumberFormat="1" applyFont="1" applyFill="1" applyBorder="1"/>
    <xf numFmtId="0" fontId="0" fillId="0" borderId="8" xfId="0" applyBorder="1"/>
    <xf numFmtId="174" fontId="0" fillId="0" borderId="9" xfId="0" applyNumberFormat="1" applyBorder="1" applyAlignment="1">
      <alignment horizontal="right"/>
    </xf>
    <xf numFmtId="165" fontId="0" fillId="0" borderId="9" xfId="0" applyNumberFormat="1" applyBorder="1" applyAlignment="1">
      <alignment horizontal="right"/>
    </xf>
    <xf numFmtId="49" fontId="6" fillId="2" borderId="6" xfId="0" applyNumberFormat="1" applyFont="1" applyFill="1" applyBorder="1"/>
    <xf numFmtId="49" fontId="3" fillId="0" borderId="9" xfId="0" applyNumberFormat="1" applyFont="1" applyBorder="1"/>
    <xf numFmtId="173" fontId="6" fillId="4" borderId="9" xfId="0" applyNumberFormat="1" applyFont="1" applyFill="1" applyBorder="1" applyAlignment="1">
      <alignment horizontal="right"/>
    </xf>
    <xf numFmtId="172" fontId="6" fillId="2" borderId="6" xfId="0" applyNumberFormat="1" applyFont="1" applyFill="1" applyBorder="1"/>
    <xf numFmtId="0" fontId="0" fillId="0" borderId="2" xfId="0" quotePrefix="1" applyBorder="1"/>
    <xf numFmtId="0" fontId="0" fillId="2" borderId="2" xfId="0" quotePrefix="1" applyFill="1" applyBorder="1"/>
    <xf numFmtId="14" fontId="0" fillId="2" borderId="2" xfId="0" applyNumberFormat="1" applyFill="1" applyBorder="1"/>
    <xf numFmtId="14" fontId="6" fillId="2" borderId="6" xfId="0" applyNumberFormat="1" applyFont="1" applyFill="1" applyBorder="1"/>
    <xf numFmtId="49" fontId="6" fillId="4" borderId="5" xfId="0" applyNumberFormat="1" applyFont="1" applyFill="1" applyBorder="1"/>
    <xf numFmtId="49" fontId="6" fillId="2" borderId="5" xfId="0" applyNumberFormat="1" applyFont="1" applyFill="1" applyBorder="1"/>
    <xf numFmtId="49" fontId="6" fillId="4" borderId="2" xfId="0" quotePrefix="1" applyNumberFormat="1" applyFont="1" applyFill="1" applyBorder="1"/>
    <xf numFmtId="49" fontId="6" fillId="0" borderId="5" xfId="0" applyNumberFormat="1" applyFont="1" applyBorder="1"/>
    <xf numFmtId="49" fontId="6" fillId="0" borderId="3" xfId="0" applyNumberFormat="1" applyFont="1" applyBorder="1"/>
    <xf numFmtId="49" fontId="6" fillId="2" borderId="3" xfId="0" applyNumberFormat="1" applyFont="1" applyFill="1" applyBorder="1"/>
    <xf numFmtId="49" fontId="6" fillId="4" borderId="3" xfId="0" applyNumberFormat="1" applyFont="1" applyFill="1" applyBorder="1"/>
    <xf numFmtId="49" fontId="6" fillId="0" borderId="0" xfId="0" applyNumberFormat="1" applyFont="1"/>
    <xf numFmtId="49" fontId="6" fillId="4" borderId="7" xfId="0" applyNumberFormat="1" applyFont="1" applyFill="1" applyBorder="1"/>
    <xf numFmtId="0" fontId="2" fillId="5" borderId="0" xfId="0" applyFont="1" applyFill="1" applyAlignment="1">
      <alignment horizontal="left" vertical="center"/>
    </xf>
    <xf numFmtId="0" fontId="12" fillId="5" borderId="0" xfId="0" applyFont="1" applyFill="1" applyAlignment="1">
      <alignment horizontal="center" vertical="center"/>
    </xf>
    <xf numFmtId="0" fontId="2" fillId="5" borderId="10" xfId="0" applyFont="1" applyFill="1" applyBorder="1"/>
    <xf numFmtId="175" fontId="2" fillId="5" borderId="0" xfId="0" applyNumberFormat="1" applyFont="1" applyFill="1"/>
    <xf numFmtId="0" fontId="16" fillId="0" borderId="0" xfId="0" applyFont="1"/>
    <xf numFmtId="0" fontId="17" fillId="0" borderId="0" xfId="0" applyFont="1"/>
    <xf numFmtId="0" fontId="6" fillId="0" borderId="4" xfId="0" applyFont="1" applyBorder="1"/>
    <xf numFmtId="49" fontId="3" fillId="5" borderId="0" xfId="0" applyNumberFormat="1" applyFont="1" applyFill="1"/>
    <xf numFmtId="175" fontId="2" fillId="5" borderId="2" xfId="0" applyNumberFormat="1" applyFont="1" applyFill="1" applyBorder="1"/>
    <xf numFmtId="49" fontId="6" fillId="5" borderId="0" xfId="0" applyNumberFormat="1" applyFont="1" applyFill="1"/>
    <xf numFmtId="0" fontId="4" fillId="5" borderId="0" xfId="0" applyFont="1" applyFill="1"/>
    <xf numFmtId="0" fontId="6" fillId="5" borderId="2" xfId="0" applyFont="1" applyFill="1" applyBorder="1"/>
    <xf numFmtId="0" fontId="6" fillId="5" borderId="0" xfId="0" applyFont="1" applyFill="1"/>
    <xf numFmtId="49" fontId="6" fillId="5" borderId="2" xfId="0" applyNumberFormat="1" applyFont="1" applyFill="1" applyBorder="1"/>
    <xf numFmtId="0" fontId="6" fillId="5" borderId="9" xfId="0" applyFont="1" applyFill="1" applyBorder="1"/>
    <xf numFmtId="175" fontId="2" fillId="5" borderId="9" xfId="0" applyNumberFormat="1" applyFont="1" applyFill="1" applyBorder="1"/>
    <xf numFmtId="49" fontId="6" fillId="5" borderId="12" xfId="0" applyNumberFormat="1" applyFont="1" applyFill="1" applyBorder="1"/>
    <xf numFmtId="173" fontId="0" fillId="0" borderId="0" xfId="0" applyNumberFormat="1" applyAlignment="1">
      <alignment horizontal="right"/>
    </xf>
    <xf numFmtId="172" fontId="0" fillId="0" borderId="0" xfId="0" applyNumberFormat="1"/>
    <xf numFmtId="49" fontId="0" fillId="0" borderId="0" xfId="0" quotePrefix="1" applyNumberFormat="1" applyAlignment="1">
      <alignment wrapText="1"/>
    </xf>
    <xf numFmtId="49" fontId="2" fillId="2" borderId="0" xfId="0" applyNumberFormat="1" applyFont="1" applyFill="1"/>
    <xf numFmtId="49" fontId="4" fillId="2" borderId="0" xfId="0" applyNumberFormat="1" applyFont="1" applyFill="1"/>
    <xf numFmtId="49" fontId="3" fillId="0" borderId="0" xfId="0" applyNumberFormat="1" applyFont="1"/>
    <xf numFmtId="49" fontId="4" fillId="0" borderId="0" xfId="0" applyNumberFormat="1" applyFont="1"/>
    <xf numFmtId="0" fontId="4" fillId="0" borderId="0" xfId="0" applyFont="1"/>
    <xf numFmtId="172" fontId="6" fillId="2" borderId="0" xfId="0" applyNumberFormat="1" applyFont="1" applyFill="1"/>
    <xf numFmtId="49" fontId="6" fillId="0" borderId="0" xfId="0" applyNumberFormat="1" applyFont="1" applyAlignment="1">
      <alignment wrapText="1"/>
    </xf>
    <xf numFmtId="14" fontId="6" fillId="2" borderId="0" xfId="0" applyNumberFormat="1" applyFont="1" applyFill="1"/>
    <xf numFmtId="49" fontId="6" fillId="2" borderId="0" xfId="0" applyNumberFormat="1" applyFont="1" applyFill="1" applyAlignment="1">
      <alignment wrapText="1"/>
    </xf>
    <xf numFmtId="49" fontId="18" fillId="4" borderId="0" xfId="0" applyNumberFormat="1" applyFont="1" applyFill="1"/>
    <xf numFmtId="173" fontId="18" fillId="2" borderId="0" xfId="0" applyNumberFormat="1" applyFont="1" applyFill="1" applyAlignment="1">
      <alignment horizontal="right"/>
    </xf>
    <xf numFmtId="172" fontId="18" fillId="4" borderId="0" xfId="0" applyNumberFormat="1" applyFont="1" applyFill="1"/>
    <xf numFmtId="49" fontId="0" fillId="0" borderId="0" xfId="0" quotePrefix="1" applyNumberFormat="1"/>
    <xf numFmtId="14" fontId="18" fillId="4" borderId="0" xfId="0" applyNumberFormat="1" applyFont="1" applyFill="1"/>
    <xf numFmtId="49" fontId="6" fillId="4" borderId="0" xfId="0" quotePrefix="1" applyNumberFormat="1" applyFont="1" applyFill="1" applyAlignment="1">
      <alignment vertical="top" wrapText="1"/>
    </xf>
    <xf numFmtId="49" fontId="0" fillId="0" borderId="0" xfId="0" applyNumberFormat="1" applyAlignment="1">
      <alignment wrapText="1"/>
    </xf>
    <xf numFmtId="49" fontId="18" fillId="4" borderId="0" xfId="0" applyNumberFormat="1" applyFont="1" applyFill="1" applyAlignment="1">
      <alignment wrapText="1"/>
    </xf>
    <xf numFmtId="49" fontId="6" fillId="0" borderId="0" xfId="0" quotePrefix="1" applyNumberFormat="1" applyFont="1" applyAlignment="1">
      <alignment wrapText="1"/>
    </xf>
    <xf numFmtId="49" fontId="5" fillId="4" borderId="0" xfId="1" applyNumberFormat="1" applyFill="1"/>
    <xf numFmtId="0" fontId="0" fillId="2" borderId="0" xfId="0" applyNumberFormat="1" applyFill="1"/>
    <xf numFmtId="0" fontId="0" fillId="0" borderId="0" xfId="0" applyNumberFormat="1"/>
    <xf numFmtId="49" fontId="5" fillId="4" borderId="0" xfId="1" quotePrefix="1" applyNumberFormat="1" applyFill="1"/>
  </cellXfs>
  <cellStyles count="2">
    <cellStyle name="Hyperlink" xfId="1" builtinId="8"/>
    <cellStyle name="Normal" xfId="0" builtinId="0"/>
  </cellStyles>
  <dxfs count="62">
    <dxf>
      <numFmt numFmtId="170" formatCode="&quot;Rp&quot;#,##0"/>
    </dxf>
    <dxf>
      <numFmt numFmtId="171" formatCode="[$-409]dd\-mmm\-yy;@"/>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color rgb="FF000000"/>
      </font>
      <fill>
        <patternFill patternType="solid">
          <fgColor indexed="64"/>
          <bgColor theme="0"/>
        </patternFill>
      </fill>
    </dxf>
    <dxf>
      <font>
        <color rgb="FF000000"/>
      </font>
      <numFmt numFmtId="164" formatCode="0.00000000"/>
      <fill>
        <patternFill patternType="solid">
          <fgColor indexed="64"/>
          <bgColor theme="0"/>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indexed="64"/>
          <bgColor theme="0"/>
        </patternFill>
      </fill>
      <border diagonalUp="0" diagonalDown="0">
        <left/>
        <right style="thin">
          <color theme="4" tint="0.39997558519241921"/>
        </right>
        <top style="thin">
          <color theme="4" tint="0.39997558519241921"/>
        </top>
        <bottom/>
        <vertical/>
        <horizontal/>
      </border>
    </dxf>
    <dxf>
      <font>
        <color rgb="FF000000"/>
      </font>
      <numFmt numFmtId="164" formatCode="0.00000000"/>
      <fill>
        <patternFill patternType="solid">
          <fgColor indexed="64"/>
          <bgColor theme="0"/>
        </patternFill>
      </fill>
      <border diagonalUp="0" diagonalDown="0">
        <left/>
        <right style="thin">
          <color theme="4" tint="0.39997558519241921"/>
        </right>
        <top style="thin">
          <color theme="4" tint="0.39997558519241921"/>
        </top>
        <bottom style="thin">
          <color theme="4" tint="0.39997558519241921"/>
        </bottom>
        <vertical/>
        <horizontal/>
      </border>
    </dxf>
    <dxf>
      <font>
        <color rgb="FF000000"/>
      </font>
      <numFmt numFmtId="164" formatCode="0.00000000"/>
      <fill>
        <patternFill patternType="solid">
          <fgColor indexed="64"/>
          <bgColor theme="0"/>
        </patternFill>
      </fill>
      <border diagonalUp="0" diagonalDown="0">
        <left/>
        <right/>
        <top style="thin">
          <color theme="4" tint="0.39997558519241921"/>
        </top>
        <bottom style="thin">
          <color theme="4" tint="0.39997558519241921"/>
        </bottom>
        <vertical/>
        <horizontal/>
      </border>
    </dxf>
    <dxf>
      <font>
        <color rgb="FF000000"/>
        <name val="Calibri"/>
        <scheme val="minor"/>
      </font>
      <numFmt numFmtId="175" formatCode="0.000000"/>
      <fill>
        <patternFill patternType="solid">
          <fgColor indexed="64"/>
          <bgColor theme="0"/>
        </patternFill>
      </fill>
    </dxf>
    <dxf>
      <font>
        <color rgb="FF000000"/>
        <name val="Calibri"/>
        <scheme val="minor"/>
      </font>
      <numFmt numFmtId="175" formatCode="0.000000"/>
      <fill>
        <patternFill patternType="solid">
          <fgColor indexed="64"/>
          <bgColor theme="0"/>
        </patternFill>
      </fill>
    </dxf>
    <dxf>
      <font>
        <color rgb="FF000000"/>
      </font>
      <fill>
        <patternFill patternType="solid">
          <fgColor indexed="64"/>
          <bgColor theme="0"/>
        </patternFill>
      </fill>
    </dxf>
    <dxf>
      <font>
        <color rgb="FF000000"/>
      </font>
      <fill>
        <patternFill patternType="solid">
          <fgColor indexed="64"/>
          <bgColor theme="0"/>
        </patternFill>
      </fill>
      <border diagonalUp="0" diagonalDown="0">
        <left/>
        <right/>
        <top style="thin">
          <color theme="4" tint="0.39997558519241921"/>
        </top>
        <bottom style="thin">
          <color theme="4" tint="0.39997558519241921"/>
        </bottom>
        <vertical/>
        <horizontal/>
      </border>
    </dxf>
    <dxf>
      <font>
        <color rgb="FF000000"/>
      </font>
      <fill>
        <patternFill patternType="solid">
          <fgColor indexed="64"/>
          <bgColor theme="0"/>
        </patternFill>
      </fill>
      <alignment horizontal="right"/>
    </dxf>
    <dxf>
      <font>
        <color rgb="FF000000"/>
      </font>
      <fill>
        <patternFill patternType="solid">
          <fgColor indexed="64"/>
          <bgColor theme="0"/>
        </patternFill>
      </fill>
    </dxf>
    <dxf>
      <border outline="0">
        <bottom style="thin">
          <color theme="4" tint="0.39997558519241921"/>
        </bottom>
      </border>
    </dxf>
    <dxf>
      <font>
        <color rgb="FF000000"/>
      </font>
      <fill>
        <patternFill patternType="solid">
          <fgColor indexed="64"/>
          <bgColor theme="0"/>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rgb="FF000000"/>
        <name val="Calibri"/>
        <family val="2"/>
        <scheme val="none"/>
      </font>
      <numFmt numFmtId="172" formatCode="0.000"/>
      <fill>
        <patternFill patternType="solid">
          <fgColor rgb="FFDDEBF7"/>
          <bgColor rgb="FFDDEBF7"/>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none"/>
      </font>
      <numFmt numFmtId="172" formatCode="0.000"/>
      <fill>
        <patternFill patternType="solid">
          <fgColor rgb="FFDDEBF7"/>
          <bgColor rgb="FFDDEBF7"/>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none"/>
      </font>
      <numFmt numFmtId="173" formatCode="dd/mm/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none"/>
      </font>
      <numFmt numFmtId="30" formatCode="@"/>
      <fill>
        <patternFill patternType="solid">
          <fgColor rgb="FFDDEBF7"/>
          <bgColor rgb="FFDDEBF7"/>
        </patternFill>
      </fill>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rgb="FFDDEBF7"/>
          <bgColor rgb="FFDDEBF7"/>
        </patternFill>
      </fill>
    </dxf>
    <dxf>
      <numFmt numFmtId="30" formatCode="@"/>
    </dxf>
    <dxf>
      <numFmt numFmtId="30" formatCode="@"/>
    </dxf>
    <dxf>
      <numFmt numFmtId="30" formatCode="@"/>
    </dxf>
    <dxf>
      <numFmt numFmtId="30" formatCode="@"/>
    </dxf>
    <dxf>
      <numFmt numFmtId="0" formatCode="General"/>
    </dxf>
    <dxf>
      <numFmt numFmtId="30" formatCode="@"/>
    </dxf>
    <dxf>
      <numFmt numFmtId="19" formatCode="m/d/yyyy"/>
    </dxf>
    <dxf>
      <numFmt numFmtId="30" formatCode="@"/>
    </dxf>
    <dxf>
      <numFmt numFmtId="30" formatCode="@"/>
    </dxf>
    <dxf>
      <numFmt numFmtId="30" formatCode="@"/>
    </dxf>
    <dxf>
      <numFmt numFmtId="30" formatCode="@"/>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3" formatCode="dd/mm/yy;@"/>
      <alignment horizontal="right" vertical="bottom" textRotation="0" wrapText="0" indent="0" justifyLastLine="0" shrinkToFit="0" readingOrder="0"/>
    </dxf>
    <dxf>
      <numFmt numFmtId="30" formatCode="@"/>
    </dxf>
    <dxf>
      <numFmt numFmtId="30" formatCode="@"/>
    </dxf>
    <dxf>
      <numFmt numFmtId="30" formatCode="@"/>
    </dxf>
    <dxf>
      <numFmt numFmtId="30" formatCode="@"/>
    </dxf>
    <dxf>
      <numFmt numFmtId="165" formatCode="dd/mm/yy"/>
      <alignment horizontal="right" vertical="bottom" textRotation="0" wrapText="0" indent="0" justifyLastLine="0" shrinkToFit="0" readingOrder="0"/>
    </dxf>
    <dxf>
      <numFmt numFmtId="174" formatCode="dd/mm/yyyy;@"/>
      <alignment horizontal="right"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'Progress Test'!$C$1</c:f>
              <c:strCache>
                <c:ptCount val="1"/>
                <c:pt idx="0">
                  <c:v>Rencana</c:v>
                </c:pt>
              </c:strCache>
            </c:strRef>
          </c:tx>
          <c:spPr>
            <a:ln w="28575" cap="rnd">
              <a:solidFill>
                <a:schemeClr val="accent1"/>
              </a:solidFill>
              <a:round/>
            </a:ln>
            <a:effectLst/>
          </c:spPr>
          <c:marker>
            <c:symbol val="none"/>
          </c:marker>
          <c:cat>
            <c:multiLvlStrRef>
              <c:f>'Progress Test'!$A$2:$B$280</c:f>
              <c:multiLvlStrCache>
                <c:ptCount val="181"/>
                <c:lvl>
                  <c:pt idx="0">
                    <c:v>31/12/24</c:v>
                  </c:pt>
                  <c:pt idx="1">
                    <c:v>25/12/24</c:v>
                  </c:pt>
                  <c:pt idx="2">
                    <c:v>25/01/25</c:v>
                  </c:pt>
                  <c:pt idx="3">
                    <c:v>25/02/25</c:v>
                  </c:pt>
                  <c:pt idx="4">
                    <c:v>25/04/25</c:v>
                  </c:pt>
                  <c:pt idx="5">
                    <c:v>25/05/25</c:v>
                  </c:pt>
                  <c:pt idx="6">
                    <c:v>25/07/25</c:v>
                  </c:pt>
                  <c:pt idx="7">
                    <c:v>25/08/25</c:v>
                  </c:pt>
                  <c:pt idx="8">
                    <c:v>25/09/25</c:v>
                  </c:pt>
                  <c:pt idx="9">
                    <c:v>26/10/25</c:v>
                  </c:pt>
                  <c:pt idx="10">
                    <c:v>29/09/22</c:v>
                  </c:pt>
                  <c:pt idx="11">
                    <c:v>28/10/22</c:v>
                  </c:pt>
                  <c:pt idx="12">
                    <c:v>22/11/22</c:v>
                  </c:pt>
                  <c:pt idx="13">
                    <c:v>28/11/22</c:v>
                  </c:pt>
                  <c:pt idx="14">
                    <c:v>30/12/22</c:v>
                  </c:pt>
                  <c:pt idx="15">
                    <c:v>30/01/23</c:v>
                  </c:pt>
                  <c:pt idx="16">
                    <c:v>02/02/23</c:v>
                  </c:pt>
                  <c:pt idx="17">
                    <c:v>27/03/23</c:v>
                  </c:pt>
                  <c:pt idx="18">
                    <c:v>27/12/24</c:v>
                  </c:pt>
                  <c:pt idx="19">
                    <c:v>10/02/23</c:v>
                  </c:pt>
                  <c:pt idx="20">
                    <c:v>20/11/22</c:v>
                  </c:pt>
                  <c:pt idx="21">
                    <c:v>25/11/22</c:v>
                  </c:pt>
                  <c:pt idx="22">
                    <c:v>25/12/22</c:v>
                  </c:pt>
                  <c:pt idx="23">
                    <c:v>22/01/23</c:v>
                  </c:pt>
                  <c:pt idx="24">
                    <c:v>25/01/23</c:v>
                  </c:pt>
                  <c:pt idx="25">
                    <c:v>04/02/23</c:v>
                  </c:pt>
                  <c:pt idx="26">
                    <c:v>19/02/23</c:v>
                  </c:pt>
                  <c:pt idx="27">
                    <c:v>19/03/23</c:v>
                  </c:pt>
                  <c:pt idx="28">
                    <c:v>25/04/23</c:v>
                  </c:pt>
                  <c:pt idx="29">
                    <c:v>21/05/23</c:v>
                  </c:pt>
                  <c:pt idx="30">
                    <c:v>15/06/23</c:v>
                  </c:pt>
                  <c:pt idx="31">
                    <c:v>23/07/23</c:v>
                  </c:pt>
                  <c:pt idx="32">
                    <c:v>20/08/23</c:v>
                  </c:pt>
                  <c:pt idx="33">
                    <c:v>20/08/23</c:v>
                  </c:pt>
                  <c:pt idx="34">
                    <c:v>17/09/23</c:v>
                  </c:pt>
                  <c:pt idx="35">
                    <c:v>25/10/23</c:v>
                  </c:pt>
                  <c:pt idx="36">
                    <c:v>30/10/23</c:v>
                  </c:pt>
                  <c:pt idx="37">
                    <c:v>26/07/23</c:v>
                  </c:pt>
                  <c:pt idx="38">
                    <c:v>21/09/23</c:v>
                  </c:pt>
                  <c:pt idx="39">
                    <c:v>25/10/23</c:v>
                  </c:pt>
                  <c:pt idx="40">
                    <c:v>27/12/24</c:v>
                  </c:pt>
                  <c:pt idx="41">
                    <c:v>30/01/25</c:v>
                  </c:pt>
                  <c:pt idx="42">
                    <c:v>27/02/25</c:v>
                  </c:pt>
                  <c:pt idx="43">
                    <c:v>24/04/25</c:v>
                  </c:pt>
                  <c:pt idx="44">
                    <c:v>22/05/25</c:v>
                  </c:pt>
                  <c:pt idx="45">
                    <c:v>26/06/25</c:v>
                  </c:pt>
                  <c:pt idx="46">
                    <c:v>24/07/25</c:v>
                  </c:pt>
                  <c:pt idx="47">
                    <c:v>21/08/25</c:v>
                  </c:pt>
                  <c:pt idx="48">
                    <c:v>25/09/25</c:v>
                  </c:pt>
                  <c:pt idx="49">
                    <c:v>30/10/25</c:v>
                  </c:pt>
                  <c:pt idx="50">
                    <c:v>00/01/00</c:v>
                  </c:pt>
                  <c:pt idx="51">
                    <c:v>30/12/24</c:v>
                  </c:pt>
                  <c:pt idx="52">
                    <c:v>27/01/25</c:v>
                  </c:pt>
                  <c:pt idx="53">
                    <c:v>23/02/25</c:v>
                  </c:pt>
                  <c:pt idx="54">
                    <c:v>28/04/25</c:v>
                  </c:pt>
                  <c:pt idx="55">
                    <c:v>25/05/25</c:v>
                  </c:pt>
                  <c:pt idx="56">
                    <c:v>22/06/25</c:v>
                  </c:pt>
                  <c:pt idx="57">
                    <c:v>27/07/25</c:v>
                  </c:pt>
                  <c:pt idx="58">
                    <c:v>25/08/25</c:v>
                  </c:pt>
                  <c:pt idx="59">
                    <c:v>25/09/25</c:v>
                  </c:pt>
                  <c:pt idx="60">
                    <c:v>26/10/25</c:v>
                  </c:pt>
                  <c:pt idx="61">
                    <c:v>25/07/23</c:v>
                  </c:pt>
                  <c:pt idx="62">
                    <c:v>25/08/23</c:v>
                  </c:pt>
                  <c:pt idx="63">
                    <c:v>01/10/23</c:v>
                  </c:pt>
                  <c:pt idx="64">
                    <c:v>31/07/22</c:v>
                  </c:pt>
                  <c:pt idx="65">
                    <c:v>31/08/22</c:v>
                  </c:pt>
                  <c:pt idx="66">
                    <c:v>30/09/22</c:v>
                  </c:pt>
                  <c:pt idx="67">
                    <c:v>28/11/22</c:v>
                  </c:pt>
                  <c:pt idx="68">
                    <c:v>22/12/22</c:v>
                  </c:pt>
                  <c:pt idx="69">
                    <c:v>20/01/23</c:v>
                  </c:pt>
                  <c:pt idx="70">
                    <c:v>15/02/23</c:v>
                  </c:pt>
                  <c:pt idx="71">
                    <c:v>05/03/23</c:v>
                  </c:pt>
                  <c:pt idx="72">
                    <c:v>13/04/23</c:v>
                  </c:pt>
                  <c:pt idx="73">
                    <c:v>14/05/23</c:v>
                  </c:pt>
                  <c:pt idx="74">
                    <c:v>18/06/23</c:v>
                  </c:pt>
                  <c:pt idx="75">
                    <c:v>23/07/23</c:v>
                  </c:pt>
                  <c:pt idx="76">
                    <c:v>20/08/23</c:v>
                  </c:pt>
                  <c:pt idx="77">
                    <c:v>23/01/25</c:v>
                  </c:pt>
                  <c:pt idx="78">
                    <c:v>23/02/25</c:v>
                  </c:pt>
                  <c:pt idx="79">
                    <c:v>27/04/25</c:v>
                  </c:pt>
                  <c:pt idx="80">
                    <c:v>25/05/25</c:v>
                  </c:pt>
                  <c:pt idx="81">
                    <c:v>22/06/25</c:v>
                  </c:pt>
                  <c:pt idx="82">
                    <c:v>27/07/25</c:v>
                  </c:pt>
                  <c:pt idx="83">
                    <c:v>24/08/25</c:v>
                  </c:pt>
                  <c:pt idx="84">
                    <c:v>28/09/25</c:v>
                  </c:pt>
                  <c:pt idx="85">
                    <c:v>26/10/25</c:v>
                  </c:pt>
                  <c:pt idx="86">
                    <c:v>26/12/24</c:v>
                  </c:pt>
                  <c:pt idx="87">
                    <c:v>26/01/25</c:v>
                  </c:pt>
                  <c:pt idx="88">
                    <c:v>22/02/25</c:v>
                  </c:pt>
                  <c:pt idx="89">
                    <c:v>25/04/25</c:v>
                  </c:pt>
                  <c:pt idx="90">
                    <c:v>25/05/25</c:v>
                  </c:pt>
                  <c:pt idx="91">
                    <c:v>25/07/25</c:v>
                  </c:pt>
                  <c:pt idx="92">
                    <c:v>25/07/25</c:v>
                  </c:pt>
                  <c:pt idx="93">
                    <c:v>25/08/25</c:v>
                  </c:pt>
                  <c:pt idx="94">
                    <c:v>25/09/25</c:v>
                  </c:pt>
                  <c:pt idx="95">
                    <c:v>25/10/25</c:v>
                  </c:pt>
                  <c:pt idx="96">
                    <c:v>12/02/23</c:v>
                  </c:pt>
                  <c:pt idx="97">
                    <c:v>19/02/23</c:v>
                  </c:pt>
                  <c:pt idx="98">
                    <c:v>26/02/23</c:v>
                  </c:pt>
                  <c:pt idx="99">
                    <c:v>12/03/23</c:v>
                  </c:pt>
                  <c:pt idx="100">
                    <c:v>19/03/23</c:v>
                  </c:pt>
                  <c:pt idx="101">
                    <c:v>26/03/23</c:v>
                  </c:pt>
                  <c:pt idx="102">
                    <c:v>16/04/23</c:v>
                  </c:pt>
                  <c:pt idx="103">
                    <c:v>21/05/23</c:v>
                  </c:pt>
                  <c:pt idx="104">
                    <c:v>28/05/23</c:v>
                  </c:pt>
                  <c:pt idx="105">
                    <c:v>04/06/23</c:v>
                  </c:pt>
                  <c:pt idx="106">
                    <c:v>18/06/23</c:v>
                  </c:pt>
                  <c:pt idx="107">
                    <c:v>25/06/23</c:v>
                  </c:pt>
                  <c:pt idx="108">
                    <c:v>23/07/23</c:v>
                  </c:pt>
                  <c:pt idx="109">
                    <c:v>20/08/23</c:v>
                  </c:pt>
                  <c:pt idx="110">
                    <c:v>27/08/23</c:v>
                  </c:pt>
                  <c:pt idx="111">
                    <c:v>24/09/23</c:v>
                  </c:pt>
                  <c:pt idx="112">
                    <c:v>02/10/23</c:v>
                  </c:pt>
                  <c:pt idx="113">
                    <c:v>26/11/23</c:v>
                  </c:pt>
                  <c:pt idx="114">
                    <c:v>03/01/25</c:v>
                  </c:pt>
                  <c:pt idx="115">
                    <c:v>26/06/23</c:v>
                  </c:pt>
                  <c:pt idx="116">
                    <c:v>26/07/23</c:v>
                  </c:pt>
                  <c:pt idx="117">
                    <c:v>31/08/23</c:v>
                  </c:pt>
                  <c:pt idx="118">
                    <c:v>25/09/23</c:v>
                  </c:pt>
                  <c:pt idx="119">
                    <c:v>22/10/23</c:v>
                  </c:pt>
                  <c:pt idx="120">
                    <c:v>29/12/24</c:v>
                  </c:pt>
                  <c:pt idx="121">
                    <c:v>26/01/25</c:v>
                  </c:pt>
                  <c:pt idx="122">
                    <c:v>23/02/25</c:v>
                  </c:pt>
                  <c:pt idx="123">
                    <c:v>27/04/25</c:v>
                  </c:pt>
                  <c:pt idx="124">
                    <c:v>25/05/25</c:v>
                  </c:pt>
                  <c:pt idx="125">
                    <c:v>25/06/25</c:v>
                  </c:pt>
                  <c:pt idx="126">
                    <c:v>27/07/25</c:v>
                  </c:pt>
                  <c:pt idx="127">
                    <c:v>25/08/25</c:v>
                  </c:pt>
                  <c:pt idx="128">
                    <c:v>25/09/25</c:v>
                  </c:pt>
                  <c:pt idx="129">
                    <c:v>25/10/25</c:v>
                  </c:pt>
                  <c:pt idx="130">
                    <c:v>29/12/24</c:v>
                  </c:pt>
                  <c:pt idx="131">
                    <c:v>31/01/25</c:v>
                  </c:pt>
                  <c:pt idx="132">
                    <c:v>28/02/25</c:v>
                  </c:pt>
                  <c:pt idx="133">
                    <c:v>04/05/25</c:v>
                  </c:pt>
                  <c:pt idx="134">
                    <c:v>31/05/25</c:v>
                  </c:pt>
                  <c:pt idx="135">
                    <c:v>29/06/25</c:v>
                  </c:pt>
                  <c:pt idx="136">
                    <c:v>30/07/25</c:v>
                  </c:pt>
                  <c:pt idx="137">
                    <c:v>31/08/25</c:v>
                  </c:pt>
                  <c:pt idx="138">
                    <c:v>10/01/23</c:v>
                  </c:pt>
                  <c:pt idx="139">
                    <c:v>12/03/23</c:v>
                  </c:pt>
                  <c:pt idx="140">
                    <c:v>28/09/25</c:v>
                  </c:pt>
                  <c:pt idx="141">
                    <c:v>31/10/25</c:v>
                  </c:pt>
                  <c:pt idx="142">
                    <c:v>05/01/25</c:v>
                  </c:pt>
                  <c:pt idx="143">
                    <c:v>23/04/25</c:v>
                  </c:pt>
                  <c:pt idx="144">
                    <c:v>28/04/25</c:v>
                  </c:pt>
                  <c:pt idx="145">
                    <c:v>30/05/25</c:v>
                  </c:pt>
                  <c:pt idx="146">
                    <c:v>22/06/25</c:v>
                  </c:pt>
                  <c:pt idx="147">
                    <c:v>30/06/25</c:v>
                  </c:pt>
                  <c:pt idx="148">
                    <c:v>28/07/25</c:v>
                  </c:pt>
                  <c:pt idx="149">
                    <c:v>29/08/25</c:v>
                  </c:pt>
                  <c:pt idx="150">
                    <c:v>21/09/25</c:v>
                  </c:pt>
                  <c:pt idx="151">
                    <c:v>25/09/23</c:v>
                  </c:pt>
                  <c:pt idx="152">
                    <c:v>30/09/25</c:v>
                  </c:pt>
                  <c:pt idx="153">
                    <c:v>26/10/25</c:v>
                  </c:pt>
                  <c:pt idx="154">
                    <c:v>26/10/25</c:v>
                  </c:pt>
                  <c:pt idx="155">
                    <c:v>28/07/25</c:v>
                  </c:pt>
                  <c:pt idx="156">
                    <c:v>30/07/25</c:v>
                  </c:pt>
                  <c:pt idx="157">
                    <c:v>28/08/25</c:v>
                  </c:pt>
                  <c:pt idx="158">
                    <c:v>29/09/25</c:v>
                  </c:pt>
                  <c:pt idx="159">
                    <c:v>25/10/25</c:v>
                  </c:pt>
                  <c:pt idx="160">
                    <c:v>31/10/25</c:v>
                  </c:pt>
                  <c:pt idx="161">
                    <c:v>31/12/24</c:v>
                  </c:pt>
                  <c:pt idx="162">
                    <c:v>02/02/25</c:v>
                  </c:pt>
                  <c:pt idx="163">
                    <c:v>02/03/25</c:v>
                  </c:pt>
                  <c:pt idx="164">
                    <c:v>03/03/25</c:v>
                  </c:pt>
                  <c:pt idx="165">
                    <c:v>31/03/25</c:v>
                  </c:pt>
                  <c:pt idx="166">
                    <c:v>30/04/25</c:v>
                  </c:pt>
                  <c:pt idx="167">
                    <c:v>30/04/25</c:v>
                  </c:pt>
                  <c:pt idx="168">
                    <c:v>30/06/23</c:v>
                  </c:pt>
                  <c:pt idx="169">
                    <c:v>30/07/23</c:v>
                  </c:pt>
                  <c:pt idx="170">
                    <c:v>31/08/23</c:v>
                  </c:pt>
                  <c:pt idx="171">
                    <c:v>30/09/23</c:v>
                  </c:pt>
                  <c:pt idx="172">
                    <c:v>31/10/23</c:v>
                  </c:pt>
                  <c:pt idx="173">
                    <c:v>25/06/23</c:v>
                  </c:pt>
                  <c:pt idx="174">
                    <c:v>30/07/23</c:v>
                  </c:pt>
                  <c:pt idx="175">
                    <c:v>30/07/23</c:v>
                  </c:pt>
                  <c:pt idx="176">
                    <c:v>28/08/23</c:v>
                  </c:pt>
                  <c:pt idx="177">
                    <c:v>01/10/23</c:v>
                  </c:pt>
                  <c:pt idx="178">
                    <c:v>29/10/23</c:v>
                  </c:pt>
                  <c:pt idx="179">
                    <c:v>01/01/25</c:v>
                  </c:pt>
                  <c:pt idx="180">
                    <c:v>23/04/25</c:v>
                  </c:pt>
                </c:lvl>
                <c:lvl>
                  <c:pt idx="0">
                    <c:v>Jalan Akses Bandara VVIP IKN (JOI 35%)</c:v>
                  </c:pt>
                  <c:pt idx="1">
                    <c:v>Jalan Baru Kretek Girijati (JOI Leader 52.5%)</c:v>
                  </c:pt>
                  <c:pt idx="2">
                    <c:v>Jalan Baru Kretek Girijati (JOI Leader 52.5%)</c:v>
                  </c:pt>
                  <c:pt idx="3">
                    <c:v>Jalan Baru Kretek Girijati (JOI Leader 52.5%)</c:v>
                  </c:pt>
                  <c:pt idx="4">
                    <c:v>Jalan Baru Kretek Girijati (JOI Leader 52.5%)</c:v>
                  </c:pt>
                  <c:pt idx="5">
                    <c:v>Jalan Baru Kretek Girijati (JOI Leader 52.5%)</c:v>
                  </c:pt>
                  <c:pt idx="6">
                    <c:v>Jalan Baru Kretek Girijati (JOI Leader 52.5%)</c:v>
                  </c:pt>
                  <c:pt idx="7">
                    <c:v>Jalan Baru Kretek Girijati (JOI Leader 52.5%)</c:v>
                  </c:pt>
                  <c:pt idx="8">
                    <c:v>Jalan Baru Kretek Girijati (JOI Leader 52.5%)</c:v>
                  </c:pt>
                  <c:pt idx="9">
                    <c:v>Jalan Baru Kretek Girijati (JOI Leader 52.5%)</c:v>
                  </c:pt>
                  <c:pt idx="10">
                    <c:v>Jalan dan Jembatan Bts. Blitar Lot 6B</c:v>
                  </c:pt>
                  <c:pt idx="11">
                    <c:v>Jalan dan Jembatan Bts. Blitar Lot 6B</c:v>
                  </c:pt>
                  <c:pt idx="12">
                    <c:v>Jalan dan Jembatan Bts. Blitar Lot 6B</c:v>
                  </c:pt>
                  <c:pt idx="13">
                    <c:v>Jalan dan Jembatan Bts. Blitar Lot 6B</c:v>
                  </c:pt>
                  <c:pt idx="14">
                    <c:v>Jalan dan Jembatan Bts. Blitar Lot 6B</c:v>
                  </c:pt>
                  <c:pt idx="15">
                    <c:v>Jalan dan Jembatan Bts. Blitar Lot 6B</c:v>
                  </c:pt>
                  <c:pt idx="16">
                    <c:v>Jalan dan Jembatan Bts. Blitar Lot 6B</c:v>
                  </c:pt>
                  <c:pt idx="17">
                    <c:v>Jalan dan Jembatan Bts. Blitar Lot 6B</c:v>
                  </c:pt>
                  <c:pt idx="18">
                    <c:v>Jalan Distrik (Feeder) IKN (JOI 50%)</c:v>
                  </c:pt>
                  <c:pt idx="19">
                    <c:v>Jalan Distrik (Feeder) IKN (JOI 50%)</c:v>
                  </c:pt>
                  <c:pt idx="20">
                    <c:v>Jalan IKN Lingkar Sepaku Segmen 4</c:v>
                  </c:pt>
                  <c:pt idx="21">
                    <c:v>Jalan IKN Lingkar Sepaku Segmen 4</c:v>
                  </c:pt>
                  <c:pt idx="22">
                    <c:v>Jalan IKN Lingkar Sepaku Segmen 4</c:v>
                  </c:pt>
                  <c:pt idx="23">
                    <c:v>Jalan IKN Lingkar Sepaku Segmen 4</c:v>
                  </c:pt>
                  <c:pt idx="24">
                    <c:v>Jalan IKN Lingkar Sepaku Segmen 4</c:v>
                  </c:pt>
                  <c:pt idx="25">
                    <c:v>Jalan IKN Lingkar Sepaku Segmen 4</c:v>
                  </c:pt>
                  <c:pt idx="26">
                    <c:v>Jalan IKN Lingkar Sepaku Segmen 4</c:v>
                  </c:pt>
                  <c:pt idx="27">
                    <c:v>Jalan IKN Lingkar Sepaku Segmen 4</c:v>
                  </c:pt>
                  <c:pt idx="28">
                    <c:v>Jalan IKN Lingkar Sepaku Segmen 4</c:v>
                  </c:pt>
                  <c:pt idx="29">
                    <c:v>Jalan IKN Lingkar Sepaku Segmen 4</c:v>
                  </c:pt>
                  <c:pt idx="30">
                    <c:v>Jalan IKN Lingkar Sepaku Segmen 4</c:v>
                  </c:pt>
                  <c:pt idx="31">
                    <c:v>Jalan IKN Lingkar Sepaku Segmen 4</c:v>
                  </c:pt>
                  <c:pt idx="32">
                    <c:v>Jalan IKN Lingkar Sepaku Segmen 4</c:v>
                  </c:pt>
                  <c:pt idx="33">
                    <c:v>Jalan IKN Lingkar Sepaku Segmen 4</c:v>
                  </c:pt>
                  <c:pt idx="34">
                    <c:v>Jalan IKN Lingkar Sepaku Segmen 4</c:v>
                  </c:pt>
                  <c:pt idx="35">
                    <c:v>Jalan IKN Lingkar Sepaku Segmen 4</c:v>
                  </c:pt>
                  <c:pt idx="36">
                    <c:v>Jalan IKN Lingkar Sepaku Segmen 4</c:v>
                  </c:pt>
                  <c:pt idx="37">
                    <c:v>Jalan Long Semamu - Long Bawan 2 (JOP 70%)</c:v>
                  </c:pt>
                  <c:pt idx="38">
                    <c:v>Jalan Long Semamu - Long Bawan 2 (JOP 70%)</c:v>
                  </c:pt>
                  <c:pt idx="39">
                    <c:v>Jalan Long Semamu - Long Bawan 2 (JOP 70%)</c:v>
                  </c:pt>
                  <c:pt idx="40">
                    <c:v>Jalan Lot 2 Buluwalang-Sidomulyo-Tambakrejo (JOI 40%)</c:v>
                  </c:pt>
                  <c:pt idx="41">
                    <c:v>Jalan Lot 2 Buluwalang-Sidomulyo-Tambakrejo (JOI 40%)</c:v>
                  </c:pt>
                  <c:pt idx="42">
                    <c:v>Jalan Lot 2 Buluwalang-Sidomulyo-Tambakrejo (JOI 40%)</c:v>
                  </c:pt>
                  <c:pt idx="43">
                    <c:v>Jalan Lot 2 Buluwalang-Sidomulyo-Tambakrejo (JOI 40%)</c:v>
                  </c:pt>
                  <c:pt idx="44">
                    <c:v>Jalan Lot 2 Buluwalang-Sidomulyo-Tambakrejo (JOI 40%)</c:v>
                  </c:pt>
                  <c:pt idx="45">
                    <c:v>Jalan Lot 2 Buluwalang-Sidomulyo-Tambakrejo (JOI 40%)</c:v>
                  </c:pt>
                  <c:pt idx="46">
                    <c:v>Jalan Lot 2 Buluwalang-Sidomulyo-Tambakrejo (JOI 40%)</c:v>
                  </c:pt>
                  <c:pt idx="47">
                    <c:v>Jalan Lot 2 Buluwalang-Sidomulyo-Tambakrejo (JOI 40%)</c:v>
                  </c:pt>
                  <c:pt idx="48">
                    <c:v>Jalan Lot 2 Buluwalang-Sidomulyo-Tambakrejo (JOI 40%)</c:v>
                  </c:pt>
                  <c:pt idx="49">
                    <c:v>Jalan Lot 2 Buluwalang-Sidomulyo-Tambakrejo (JOI 40%)</c:v>
                  </c:pt>
                  <c:pt idx="50">
                    <c:v>Jalan Seksi 6C-1 KIPP IKN (JOI 32.50%)</c:v>
                  </c:pt>
                  <c:pt idx="51">
                    <c:v>Jalan Tol Akses Patimban Paket 2 (JOI 60%)</c:v>
                  </c:pt>
                  <c:pt idx="52">
                    <c:v>Jalan Tol Akses Patimban Paket 2 (JOI 60%)</c:v>
                  </c:pt>
                  <c:pt idx="53">
                    <c:v>Jalan Tol Akses Patimban Paket 2 (JOI 60%)</c:v>
                  </c:pt>
                  <c:pt idx="54">
                    <c:v>Jalan Tol Akses Patimban Paket 2 (JOI 60%)</c:v>
                  </c:pt>
                  <c:pt idx="55">
                    <c:v>Jalan Tol Akses Patimban Paket 2 (JOI 60%)</c:v>
                  </c:pt>
                  <c:pt idx="56">
                    <c:v>Jalan Tol Akses Patimban Paket 2 (JOI 60%)</c:v>
                  </c:pt>
                  <c:pt idx="57">
                    <c:v>Jalan Tol Akses Patimban Paket 2 (JOI 60%)</c:v>
                  </c:pt>
                  <c:pt idx="58">
                    <c:v>Jalan Tol Akses Patimban Paket 2 (JOI 60%)</c:v>
                  </c:pt>
                  <c:pt idx="59">
                    <c:v>Jalan Tol Akses Patimban Paket 2 (JOI 60%)</c:v>
                  </c:pt>
                  <c:pt idx="60">
                    <c:v>Jalan Tol Akses Patimban Paket 2 (JOI 60%)</c:v>
                  </c:pt>
                  <c:pt idx="61">
                    <c:v>Jalan Tol Bayunglencir - Tempino Seksi 1 (JOI 40%)</c:v>
                  </c:pt>
                  <c:pt idx="62">
                    <c:v>Jalan Tol Bayunglencir - Tempino Seksi 1 (JOI 40%)</c:v>
                  </c:pt>
                  <c:pt idx="63">
                    <c:v>Jalan Tol Bayunglencir - Tempino Seksi 1 (JOI 40%)</c:v>
                  </c:pt>
                  <c:pt idx="64">
                    <c:v>Jalan Tol Bocimi Seksi 2</c:v>
                  </c:pt>
                  <c:pt idx="65">
                    <c:v>Jalan Tol Bocimi Seksi 2</c:v>
                  </c:pt>
                  <c:pt idx="66">
                    <c:v>Jalan Tol Bocimi Seksi 2</c:v>
                  </c:pt>
                  <c:pt idx="67">
                    <c:v>Jalan Tol Bocimi Seksi 2</c:v>
                  </c:pt>
                  <c:pt idx="68">
                    <c:v>Jalan Tol Bocimi Seksi 2</c:v>
                  </c:pt>
                  <c:pt idx="69">
                    <c:v>Jalan Tol Bocimi Seksi 2</c:v>
                  </c:pt>
                  <c:pt idx="70">
                    <c:v>Jalan Tol Bocimi Seksi 2</c:v>
                  </c:pt>
                  <c:pt idx="71">
                    <c:v>Jalan Tol Bocimi Seksi 2</c:v>
                  </c:pt>
                  <c:pt idx="72">
                    <c:v>Jalan Tol Bocimi Seksi 2</c:v>
                  </c:pt>
                  <c:pt idx="73">
                    <c:v>Jalan Tol Bocimi Seksi 2</c:v>
                  </c:pt>
                  <c:pt idx="74">
                    <c:v>Jalan Tol Bocimi Seksi 2</c:v>
                  </c:pt>
                  <c:pt idx="75">
                    <c:v>Jalan Tol Bocimi Seksi 2</c:v>
                  </c:pt>
                  <c:pt idx="76">
                    <c:v>Jalan Tol Bocimi Seksi 2</c:v>
                  </c:pt>
                  <c:pt idx="77">
                    <c:v>Jalan Tol Bocimi Seksi 3A</c:v>
                  </c:pt>
                  <c:pt idx="78">
                    <c:v>Jalan Tol Bocimi Seksi 3A</c:v>
                  </c:pt>
                  <c:pt idx="79">
                    <c:v>Jalan Tol Bocimi Seksi 3A</c:v>
                  </c:pt>
                  <c:pt idx="80">
                    <c:v>Jalan Tol Bocimi Seksi 3A</c:v>
                  </c:pt>
                  <c:pt idx="81">
                    <c:v>Jalan Tol Bocimi Seksi 3A</c:v>
                  </c:pt>
                  <c:pt idx="82">
                    <c:v>Jalan Tol Bocimi Seksi 3A</c:v>
                  </c:pt>
                  <c:pt idx="83">
                    <c:v>Jalan Tol Bocimi Seksi 3A</c:v>
                  </c:pt>
                  <c:pt idx="84">
                    <c:v>Jalan Tol Bocimi Seksi 3A</c:v>
                  </c:pt>
                  <c:pt idx="85">
                    <c:v>Jalan Tol Bocimi Seksi 3A</c:v>
                  </c:pt>
                  <c:pt idx="86">
                    <c:v>Jalan Tol Bocimi Seksi 3B</c:v>
                  </c:pt>
                  <c:pt idx="87">
                    <c:v>Jalan Tol Bocimi Seksi 3B</c:v>
                  </c:pt>
                  <c:pt idx="88">
                    <c:v>Jalan Tol Bocimi Seksi 3B</c:v>
                  </c:pt>
                  <c:pt idx="89">
                    <c:v>Jalan Tol Bocimi Seksi 3B</c:v>
                  </c:pt>
                  <c:pt idx="90">
                    <c:v>Jalan Tol Bocimi Seksi 3B</c:v>
                  </c:pt>
                  <c:pt idx="91">
                    <c:v>Jalan Tol Bocimi Seksi 3B</c:v>
                  </c:pt>
                  <c:pt idx="92">
                    <c:v>Jalan Tol Bocimi Seksi 3B</c:v>
                  </c:pt>
                  <c:pt idx="93">
                    <c:v>Jalan Tol Bocimi Seksi 3B</c:v>
                  </c:pt>
                  <c:pt idx="94">
                    <c:v>Jalan Tol Bocimi Seksi 3B</c:v>
                  </c:pt>
                  <c:pt idx="95">
                    <c:v>Jalan Tol Bocimi Seksi 3B</c:v>
                  </c:pt>
                  <c:pt idx="96">
                    <c:v>Jalan Tol Cimanggis Cibitung Seksi 2</c:v>
                  </c:pt>
                  <c:pt idx="97">
                    <c:v>Jalan Tol Cimanggis Cibitung Seksi 2</c:v>
                  </c:pt>
                  <c:pt idx="98">
                    <c:v>Jalan Tol Cimanggis Cibitung Seksi 2</c:v>
                  </c:pt>
                  <c:pt idx="99">
                    <c:v>Jalan Tol Cimanggis Cibitung Seksi 2</c:v>
                  </c:pt>
                  <c:pt idx="100">
                    <c:v>Jalan Tol Cimanggis Cibitung Seksi 2</c:v>
                  </c:pt>
                  <c:pt idx="101">
                    <c:v>Jalan Tol Cimanggis Cibitung Seksi 2</c:v>
                  </c:pt>
                  <c:pt idx="102">
                    <c:v>Jalan Tol Cimanggis Cibitung Seksi 2</c:v>
                  </c:pt>
                  <c:pt idx="103">
                    <c:v>Jalan Tol Cimanggis Cibitung Seksi 2</c:v>
                  </c:pt>
                  <c:pt idx="104">
                    <c:v>Jalan Tol Cimanggis Cibitung Seksi 2</c:v>
                  </c:pt>
                  <c:pt idx="105">
                    <c:v>Jalan Tol Cimanggis Cibitung Seksi 2</c:v>
                  </c:pt>
                  <c:pt idx="106">
                    <c:v>Jalan Tol Cimanggis Cibitung Seksi 2</c:v>
                  </c:pt>
                  <c:pt idx="107">
                    <c:v>Jalan Tol Cimanggis Cibitung Seksi 2</c:v>
                  </c:pt>
                  <c:pt idx="108">
                    <c:v>Jalan Tol Cimanggis Cibitung Seksi 2</c:v>
                  </c:pt>
                  <c:pt idx="109">
                    <c:v>Jalan Tol Cimanggis Cibitung Seksi 2</c:v>
                  </c:pt>
                  <c:pt idx="110">
                    <c:v>Jalan Tol Cimanggis Cibitung Seksi 2</c:v>
                  </c:pt>
                  <c:pt idx="111">
                    <c:v>Jalan Tol Cimanggis Cibitung Seksi 2</c:v>
                  </c:pt>
                  <c:pt idx="112">
                    <c:v>Jalan Tol Cimanggis Cibitung Seksi 2</c:v>
                  </c:pt>
                  <c:pt idx="113">
                    <c:v>Jalan Tol Cimanggis Cibitung Seksi 2</c:v>
                  </c:pt>
                  <c:pt idx="114">
                    <c:v>Jalan Tol IKN 5A Tempadung-Pulau Balang (JOI 50%)</c:v>
                  </c:pt>
                  <c:pt idx="115">
                    <c:v>Jalan Tol IKN 5A Tempadung-Pulau Balang (JOI 50%)</c:v>
                  </c:pt>
                  <c:pt idx="116">
                    <c:v>Jalan Tol IKN 5A Tempadung-Pulau Balang (JOI 50%)</c:v>
                  </c:pt>
                  <c:pt idx="117">
                    <c:v>Jalan Tol IKN 5A Tempadung-Pulau Balang (JOI 50%)</c:v>
                  </c:pt>
                  <c:pt idx="118">
                    <c:v>Jalan Tol IKN 5A Tempadung-Pulau Balang (JOI 50%)</c:v>
                  </c:pt>
                  <c:pt idx="119">
                    <c:v>Jalan Tol IKN 5A Tempadung-Pulau Balang (JOI 50%)</c:v>
                  </c:pt>
                  <c:pt idx="120">
                    <c:v>Jalan Tol IKN Seksi 3B-2</c:v>
                  </c:pt>
                  <c:pt idx="121">
                    <c:v>Jalan Tol IKN Seksi 3B-2</c:v>
                  </c:pt>
                  <c:pt idx="122">
                    <c:v>Jalan Tol IKN Seksi 3B-2</c:v>
                  </c:pt>
                  <c:pt idx="123">
                    <c:v>Jalan Tol IKN Seksi 3B-2</c:v>
                  </c:pt>
                  <c:pt idx="124">
                    <c:v>Jalan Tol IKN Seksi 3B-2</c:v>
                  </c:pt>
                  <c:pt idx="125">
                    <c:v>Jalan Tol IKN Seksi 3B-2</c:v>
                  </c:pt>
                  <c:pt idx="126">
                    <c:v>Jalan Tol IKN Seksi 3B-2</c:v>
                  </c:pt>
                  <c:pt idx="127">
                    <c:v>Jalan Tol IKN Seksi 3B-2</c:v>
                  </c:pt>
                  <c:pt idx="128">
                    <c:v>Jalan Tol IKN Seksi 3B-2</c:v>
                  </c:pt>
                  <c:pt idx="129">
                    <c:v>Jalan Tol IKN Seksi 3B-2</c:v>
                  </c:pt>
                  <c:pt idx="130">
                    <c:v>Jalan Tol Probolinggo Bayuwangi Paket 3 (JOI member 25%)</c:v>
                  </c:pt>
                  <c:pt idx="131">
                    <c:v>Jalan Tol Probolinggo Bayuwangi Paket 3 (JOI member 25%)</c:v>
                  </c:pt>
                  <c:pt idx="132">
                    <c:v>Jalan Tol Probolinggo Bayuwangi Paket 3 (JOI member 25%)</c:v>
                  </c:pt>
                  <c:pt idx="133">
                    <c:v>Jalan Tol Probolinggo Bayuwangi Paket 3 (JOI member 25%)</c:v>
                  </c:pt>
                  <c:pt idx="134">
                    <c:v>Jalan Tol Probolinggo Bayuwangi Paket 3 (JOI member 25%)</c:v>
                  </c:pt>
                  <c:pt idx="135">
                    <c:v>Jalan Tol Probolinggo Bayuwangi Paket 3 (JOI member 25%)</c:v>
                  </c:pt>
                  <c:pt idx="136">
                    <c:v>Jalan Tol Probolinggo Bayuwangi Paket 3 (JOI member 25%)</c:v>
                  </c:pt>
                  <c:pt idx="137">
                    <c:v>Jalan Tol Probolinggo Bayuwangi Paket 3 (JOI member 25%)</c:v>
                  </c:pt>
                  <c:pt idx="138">
                    <c:v>Jalan Tol Probolinggo Bayuwangi Paket 3 (JOI member 25%)</c:v>
                  </c:pt>
                  <c:pt idx="139">
                    <c:v>Jalan Tol Probolinggo Bayuwangi Paket 3 (JOI member 25%)</c:v>
                  </c:pt>
                  <c:pt idx="140">
                    <c:v>Jalan Tol Probolinggo Bayuwangi Paket 3 (JOI member 25%)</c:v>
                  </c:pt>
                  <c:pt idx="141">
                    <c:v>Jalan Tol Probolinggo Bayuwangi Paket 3 (JOI member 25%)</c:v>
                  </c:pt>
                  <c:pt idx="142">
                    <c:v>Patimban Port Development Paket 5 (JOI member 16%)</c:v>
                  </c:pt>
                  <c:pt idx="143">
                    <c:v>Patimban Port Development Paket 5 (JOI member 16%)</c:v>
                  </c:pt>
                  <c:pt idx="144">
                    <c:v>Patimban Port Development Paket 5 (JOI member 16%)</c:v>
                  </c:pt>
                  <c:pt idx="145">
                    <c:v>Patimban Port Development Paket 5 (JOI member 16%)</c:v>
                  </c:pt>
                  <c:pt idx="146">
                    <c:v>Patimban Port Development Paket 5 (JOI member 16%)</c:v>
                  </c:pt>
                  <c:pt idx="147">
                    <c:v>Patimban Port Development Paket 5 (JOI member 16%)</c:v>
                  </c:pt>
                  <c:pt idx="148">
                    <c:v>Patimban Port Development Paket 5 (JOI member 16%)</c:v>
                  </c:pt>
                  <c:pt idx="149">
                    <c:v>Patimban Port Development Paket 5 (JOI member 16%)</c:v>
                  </c:pt>
                  <c:pt idx="150">
                    <c:v>Patimban Port Development Paket 5 (JOI member 16%)</c:v>
                  </c:pt>
                  <c:pt idx="151">
                    <c:v>Patimban Port Development Paket 5 (JOI member 16%)</c:v>
                  </c:pt>
                  <c:pt idx="152">
                    <c:v>Patimban Port Development Paket 5 (JOI member 16%)</c:v>
                  </c:pt>
                  <c:pt idx="153">
                    <c:v>Patimban Port Development Paket 5 (JOI member 16%)</c:v>
                  </c:pt>
                  <c:pt idx="154">
                    <c:v>Patimban Port Development Paket 5 (JOI member 16%)</c:v>
                  </c:pt>
                  <c:pt idx="155">
                    <c:v>Peningkatan Jalan Paket D KIPP 1C</c:v>
                  </c:pt>
                  <c:pt idx="156">
                    <c:v>Peningkatan Jalan Paket D KIPP 1C</c:v>
                  </c:pt>
                  <c:pt idx="157">
                    <c:v>Peningkatan Jalan Paket D KIPP 1C</c:v>
                  </c:pt>
                  <c:pt idx="158">
                    <c:v>Peningkatan Jalan Paket D KIPP 1C</c:v>
                  </c:pt>
                  <c:pt idx="159">
                    <c:v>Peningkatan Jalan Paket D KIPP 1C</c:v>
                  </c:pt>
                  <c:pt idx="160">
                    <c:v>Peningkatan Jalan Paket D KIPP 1C</c:v>
                  </c:pt>
                  <c:pt idx="161">
                    <c:v>Rekonstruksi Jembatan Palu 4</c:v>
                  </c:pt>
                  <c:pt idx="162">
                    <c:v>Rekonstruksi Jembatan Palu 4</c:v>
                  </c:pt>
                  <c:pt idx="163">
                    <c:v>Rekonstruksi Jembatan Palu 4</c:v>
                  </c:pt>
                  <c:pt idx="164">
                    <c:v>Rekonstruksi Jembatan Palu 4</c:v>
                  </c:pt>
                  <c:pt idx="165">
                    <c:v>Rekonstruksi Jembatan Palu 4</c:v>
                  </c:pt>
                  <c:pt idx="166">
                    <c:v>Rekonstruksi Jembatan Palu 4</c:v>
                  </c:pt>
                  <c:pt idx="167">
                    <c:v>Rekonstruksi Jembatan Palu 4</c:v>
                  </c:pt>
                  <c:pt idx="168">
                    <c:v>Rekonstruksi Jembatan Palu 4</c:v>
                  </c:pt>
                  <c:pt idx="169">
                    <c:v>Rekonstruksi Jembatan Palu 4</c:v>
                  </c:pt>
                  <c:pt idx="170">
                    <c:v>Rekonstruksi Jembatan Palu 4</c:v>
                  </c:pt>
                  <c:pt idx="171">
                    <c:v>Rekonstruksi Jembatan Palu 4</c:v>
                  </c:pt>
                  <c:pt idx="172">
                    <c:v>Rekonstruksi Jembatan Palu 4</c:v>
                  </c:pt>
                  <c:pt idx="173">
                    <c:v>Rekonstruksi Jl. Kwatisore, Nabire, Papua (JOI 70%)</c:v>
                  </c:pt>
                  <c:pt idx="174">
                    <c:v>Rekonstruksi Jl. Kwatisore, Nabire, Papua (JOI 70%)</c:v>
                  </c:pt>
                  <c:pt idx="175">
                    <c:v>Rekonstruksi Jl. Kwatisore, Nabire, Papua (JOI 70%)</c:v>
                  </c:pt>
                  <c:pt idx="176">
                    <c:v>Rekonstruksi Jl. Kwatisore, Nabire, Papua (JOI 70%)</c:v>
                  </c:pt>
                  <c:pt idx="177">
                    <c:v>Rekonstruksi Jl. Kwatisore, Nabire, Papua (JOI 70%)</c:v>
                  </c:pt>
                  <c:pt idx="178">
                    <c:v>Rekonstruksi Jl. Kwatisore, Nabire, Papua (JOI 70%)</c:v>
                  </c:pt>
                  <c:pt idx="179">
                    <c:v>Underpass Deltamas SS Sukabungah</c:v>
                  </c:pt>
                  <c:pt idx="180">
                    <c:v>Underpass Deltamas SS Sukabungah</c:v>
                  </c:pt>
                </c:lvl>
              </c:multiLvlStrCache>
            </c:multiLvlStrRef>
          </c:cat>
          <c:val>
            <c:numRef>
              <c:f>'Progress Test'!$C$2:$C$280</c:f>
              <c:numCache>
                <c:formatCode>0.00</c:formatCode>
                <c:ptCount val="181"/>
                <c:pt idx="0">
                  <c:v>91.486000000000004</c:v>
                </c:pt>
                <c:pt idx="1">
                  <c:v>70.960999999999999</c:v>
                </c:pt>
                <c:pt idx="2">
                  <c:v>74.049000000000007</c:v>
                </c:pt>
                <c:pt idx="3">
                  <c:v>76.06</c:v>
                </c:pt>
                <c:pt idx="4">
                  <c:v>82.018000000000001</c:v>
                </c:pt>
                <c:pt idx="5">
                  <c:v>84.647999999999996</c:v>
                </c:pt>
                <c:pt idx="6">
                  <c:v>91.537999999999997</c:v>
                </c:pt>
                <c:pt idx="7">
                  <c:v>94.02</c:v>
                </c:pt>
                <c:pt idx="8">
                  <c:v>95.486000000000004</c:v>
                </c:pt>
                <c:pt idx="9">
                  <c:v>89.867999999999995</c:v>
                </c:pt>
                <c:pt idx="10">
                  <c:v>31.972000000000001</c:v>
                </c:pt>
                <c:pt idx="11">
                  <c:v>39.933999999999997</c:v>
                </c:pt>
                <c:pt idx="12">
                  <c:v>44.435000000000002</c:v>
                </c:pt>
                <c:pt idx="13">
                  <c:v>46.982999999999997</c:v>
                </c:pt>
                <c:pt idx="14">
                  <c:v>47.71</c:v>
                </c:pt>
                <c:pt idx="15">
                  <c:v>48.587000000000003</c:v>
                </c:pt>
                <c:pt idx="16">
                  <c:v>48.587000000000003</c:v>
                </c:pt>
                <c:pt idx="17">
                  <c:v>52.673000000000002</c:v>
                </c:pt>
                <c:pt idx="18">
                  <c:v>100</c:v>
                </c:pt>
                <c:pt idx="19">
                  <c:v>5.6260000000000003</c:v>
                </c:pt>
                <c:pt idx="20">
                  <c:v>3.9039999999999999</c:v>
                </c:pt>
                <c:pt idx="21">
                  <c:v>4.17</c:v>
                </c:pt>
                <c:pt idx="22">
                  <c:v>11.744</c:v>
                </c:pt>
                <c:pt idx="23">
                  <c:v>13.318</c:v>
                </c:pt>
                <c:pt idx="24">
                  <c:v>13.933</c:v>
                </c:pt>
                <c:pt idx="25">
                  <c:v>14.085000000000001</c:v>
                </c:pt>
                <c:pt idx="26">
                  <c:v>14.458</c:v>
                </c:pt>
                <c:pt idx="27">
                  <c:v>18.03</c:v>
                </c:pt>
                <c:pt idx="28">
                  <c:v>21.178999999999998</c:v>
                </c:pt>
                <c:pt idx="29">
                  <c:v>24.55</c:v>
                </c:pt>
                <c:pt idx="30">
                  <c:v>36.606999999999999</c:v>
                </c:pt>
                <c:pt idx="31">
                  <c:v>47.174999999999997</c:v>
                </c:pt>
                <c:pt idx="32">
                  <c:v>51.834000000000003</c:v>
                </c:pt>
                <c:pt idx="33">
                  <c:v>51.834000000000003</c:v>
                </c:pt>
                <c:pt idx="34">
                  <c:v>55.683999999999997</c:v>
                </c:pt>
                <c:pt idx="35">
                  <c:v>56.085000000000001</c:v>
                </c:pt>
                <c:pt idx="36">
                  <c:v>68.177999999999997</c:v>
                </c:pt>
                <c:pt idx="37">
                  <c:v>58.57</c:v>
                </c:pt>
                <c:pt idx="38">
                  <c:v>80.41</c:v>
                </c:pt>
                <c:pt idx="39">
                  <c:v>91.9</c:v>
                </c:pt>
                <c:pt idx="40">
                  <c:v>66.918999999999997</c:v>
                </c:pt>
                <c:pt idx="41">
                  <c:v>69.86</c:v>
                </c:pt>
                <c:pt idx="42">
                  <c:v>72.504999999999995</c:v>
                </c:pt>
                <c:pt idx="43">
                  <c:v>75.66</c:v>
                </c:pt>
                <c:pt idx="44">
                  <c:v>83.241</c:v>
                </c:pt>
                <c:pt idx="45">
                  <c:v>83.278999999999996</c:v>
                </c:pt>
                <c:pt idx="46">
                  <c:v>83.685000000000002</c:v>
                </c:pt>
                <c:pt idx="47">
                  <c:v>85.078000000000003</c:v>
                </c:pt>
                <c:pt idx="48">
                  <c:v>90.646000000000001</c:v>
                </c:pt>
                <c:pt idx="49">
                  <c:v>94.947999999999993</c:v>
                </c:pt>
                <c:pt idx="50">
                  <c:v>100</c:v>
                </c:pt>
                <c:pt idx="51">
                  <c:v>33.094999999999999</c:v>
                </c:pt>
                <c:pt idx="52">
                  <c:v>36.003999999999998</c:v>
                </c:pt>
                <c:pt idx="53">
                  <c:v>37.94</c:v>
                </c:pt>
                <c:pt idx="54">
                  <c:v>42.054000000000002</c:v>
                </c:pt>
                <c:pt idx="55">
                  <c:v>44.523000000000003</c:v>
                </c:pt>
                <c:pt idx="56">
                  <c:v>47.304000000000002</c:v>
                </c:pt>
                <c:pt idx="57">
                  <c:v>51.204000000000001</c:v>
                </c:pt>
                <c:pt idx="58">
                  <c:v>54.600999999999999</c:v>
                </c:pt>
                <c:pt idx="59">
                  <c:v>57.228999999999999</c:v>
                </c:pt>
                <c:pt idx="60">
                  <c:v>58.868000000000002</c:v>
                </c:pt>
                <c:pt idx="61">
                  <c:v>2.3450000000000002</c:v>
                </c:pt>
                <c:pt idx="62">
                  <c:v>6.5019999999999998</c:v>
                </c:pt>
                <c:pt idx="63">
                  <c:v>11.249000000000001</c:v>
                </c:pt>
                <c:pt idx="64">
                  <c:v>83.896000000000001</c:v>
                </c:pt>
                <c:pt idx="65">
                  <c:v>84.870999999999995</c:v>
                </c:pt>
                <c:pt idx="66">
                  <c:v>87.596999999999994</c:v>
                </c:pt>
                <c:pt idx="67">
                  <c:v>88.287999999999997</c:v>
                </c:pt>
                <c:pt idx="68">
                  <c:v>89.388999999999996</c:v>
                </c:pt>
                <c:pt idx="69">
                  <c:v>90.902000000000001</c:v>
                </c:pt>
                <c:pt idx="70">
                  <c:v>92.135999999999996</c:v>
                </c:pt>
                <c:pt idx="71">
                  <c:v>93.221000000000004</c:v>
                </c:pt>
                <c:pt idx="72">
                  <c:v>94.317999999999998</c:v>
                </c:pt>
                <c:pt idx="73">
                  <c:v>94.86</c:v>
                </c:pt>
                <c:pt idx="74">
                  <c:v>95.85</c:v>
                </c:pt>
                <c:pt idx="75">
                  <c:v>96.974000000000004</c:v>
                </c:pt>
                <c:pt idx="76">
                  <c:v>97.537000000000006</c:v>
                </c:pt>
                <c:pt idx="77">
                  <c:v>14.018000000000001</c:v>
                </c:pt>
                <c:pt idx="78">
                  <c:v>47.47</c:v>
                </c:pt>
                <c:pt idx="79">
                  <c:v>61.356000000000002</c:v>
                </c:pt>
                <c:pt idx="80">
                  <c:v>68.45</c:v>
                </c:pt>
                <c:pt idx="81">
                  <c:v>73.72</c:v>
                </c:pt>
                <c:pt idx="82">
                  <c:v>65.227000000000004</c:v>
                </c:pt>
                <c:pt idx="83">
                  <c:v>65.23</c:v>
                </c:pt>
                <c:pt idx="84">
                  <c:v>68.364000000000004</c:v>
                </c:pt>
                <c:pt idx="85">
                  <c:v>72.638000000000005</c:v>
                </c:pt>
                <c:pt idx="86">
                  <c:v>11.034000000000001</c:v>
                </c:pt>
                <c:pt idx="87">
                  <c:v>11.952</c:v>
                </c:pt>
                <c:pt idx="88">
                  <c:v>13.57</c:v>
                </c:pt>
                <c:pt idx="89">
                  <c:v>17.591000000000001</c:v>
                </c:pt>
                <c:pt idx="90">
                  <c:v>20.091000000000001</c:v>
                </c:pt>
                <c:pt idx="91">
                  <c:v>23.873000000000001</c:v>
                </c:pt>
                <c:pt idx="92">
                  <c:v>25.378</c:v>
                </c:pt>
                <c:pt idx="93">
                  <c:v>25.853000000000002</c:v>
                </c:pt>
                <c:pt idx="94">
                  <c:v>30.306000000000001</c:v>
                </c:pt>
                <c:pt idx="95">
                  <c:v>33.414000000000001</c:v>
                </c:pt>
                <c:pt idx="96">
                  <c:v>75.031999999999996</c:v>
                </c:pt>
                <c:pt idx="97">
                  <c:v>75.126000000000005</c:v>
                </c:pt>
                <c:pt idx="98">
                  <c:v>75.257999999999996</c:v>
                </c:pt>
                <c:pt idx="99">
                  <c:v>75.546000000000006</c:v>
                </c:pt>
                <c:pt idx="100">
                  <c:v>75.706000000000003</c:v>
                </c:pt>
                <c:pt idx="101">
                  <c:v>75.917000000000002</c:v>
                </c:pt>
                <c:pt idx="102">
                  <c:v>76.81</c:v>
                </c:pt>
                <c:pt idx="103">
                  <c:v>76.983999999999995</c:v>
                </c:pt>
                <c:pt idx="104">
                  <c:v>77.165999999999997</c:v>
                </c:pt>
                <c:pt idx="105">
                  <c:v>77.245000000000005</c:v>
                </c:pt>
                <c:pt idx="106">
                  <c:v>77.682000000000002</c:v>
                </c:pt>
                <c:pt idx="107">
                  <c:v>77.808000000000007</c:v>
                </c:pt>
                <c:pt idx="108">
                  <c:v>79.087000000000003</c:v>
                </c:pt>
                <c:pt idx="109">
                  <c:v>80.295000000000002</c:v>
                </c:pt>
                <c:pt idx="110">
                  <c:v>80.584999999999994</c:v>
                </c:pt>
                <c:pt idx="111">
                  <c:v>80.924000000000007</c:v>
                </c:pt>
                <c:pt idx="112">
                  <c:v>83.14</c:v>
                </c:pt>
                <c:pt idx="113">
                  <c:v>84.361999999999995</c:v>
                </c:pt>
                <c:pt idx="114">
                  <c:v>100</c:v>
                </c:pt>
                <c:pt idx="115">
                  <c:v>27.995000000000001</c:v>
                </c:pt>
                <c:pt idx="116">
                  <c:v>35.627000000000002</c:v>
                </c:pt>
                <c:pt idx="117">
                  <c:v>45.411999999999999</c:v>
                </c:pt>
                <c:pt idx="118">
                  <c:v>54.898000000000003</c:v>
                </c:pt>
                <c:pt idx="119">
                  <c:v>60.691499999999998</c:v>
                </c:pt>
                <c:pt idx="120">
                  <c:v>52.902000000000001</c:v>
                </c:pt>
                <c:pt idx="121">
                  <c:v>54.585999999999999</c:v>
                </c:pt>
                <c:pt idx="122">
                  <c:v>56.627000000000002</c:v>
                </c:pt>
                <c:pt idx="123">
                  <c:v>61.314</c:v>
                </c:pt>
                <c:pt idx="124">
                  <c:v>62.594000000000001</c:v>
                </c:pt>
                <c:pt idx="125">
                  <c:v>64.614000000000004</c:v>
                </c:pt>
                <c:pt idx="126">
                  <c:v>66.835999999999999</c:v>
                </c:pt>
                <c:pt idx="127">
                  <c:v>69.201999999999998</c:v>
                </c:pt>
                <c:pt idx="128">
                  <c:v>72.173000000000002</c:v>
                </c:pt>
                <c:pt idx="129">
                  <c:v>74.542000000000002</c:v>
                </c:pt>
                <c:pt idx="130">
                  <c:v>60.508099999999999</c:v>
                </c:pt>
                <c:pt idx="131">
                  <c:v>62.789000000000001</c:v>
                </c:pt>
                <c:pt idx="132">
                  <c:v>65.436932572780094</c:v>
                </c:pt>
                <c:pt idx="133">
                  <c:v>70.023471047019498</c:v>
                </c:pt>
                <c:pt idx="134">
                  <c:v>73.252232113450603</c:v>
                </c:pt>
                <c:pt idx="135">
                  <c:v>75.349000000000004</c:v>
                </c:pt>
                <c:pt idx="136">
                  <c:v>77.363</c:v>
                </c:pt>
                <c:pt idx="137">
                  <c:v>79.588232764015402</c:v>
                </c:pt>
                <c:pt idx="138">
                  <c:v>0.71390966</c:v>
                </c:pt>
                <c:pt idx="139">
                  <c:v>3.66134906</c:v>
                </c:pt>
                <c:pt idx="140">
                  <c:v>82.751093151434006</c:v>
                </c:pt>
                <c:pt idx="141">
                  <c:v>86.244641039043003</c:v>
                </c:pt>
                <c:pt idx="142">
                  <c:v>70.137</c:v>
                </c:pt>
                <c:pt idx="143">
                  <c:v>79.73</c:v>
                </c:pt>
                <c:pt idx="144">
                  <c:v>78.900999999999996</c:v>
                </c:pt>
                <c:pt idx="146" formatCode="0.000">
                  <c:v>83.39</c:v>
                </c:pt>
                <c:pt idx="149" formatCode="0.000">
                  <c:v>90.206000000000003</c:v>
                </c:pt>
                <c:pt idx="150" formatCode="0.000">
                  <c:v>91.552999999999997</c:v>
                </c:pt>
                <c:pt idx="151" formatCode="0.000">
                  <c:v>12.862</c:v>
                </c:pt>
                <c:pt idx="153" formatCode="0.000">
                  <c:v>93.525000000000006</c:v>
                </c:pt>
                <c:pt idx="155" formatCode="0.000">
                  <c:v>16.792000000000002</c:v>
                </c:pt>
                <c:pt idx="156" formatCode="0.000">
                  <c:v>16.792000000000002</c:v>
                </c:pt>
                <c:pt idx="157" formatCode="0.000">
                  <c:v>26.326000000000001</c:v>
                </c:pt>
                <c:pt idx="158" formatCode="0.000">
                  <c:v>46.883000000000003</c:v>
                </c:pt>
                <c:pt idx="159" formatCode="0.000">
                  <c:v>67.418000000000006</c:v>
                </c:pt>
                <c:pt idx="160" formatCode="0.000">
                  <c:v>70.927000000000007</c:v>
                </c:pt>
                <c:pt idx="161" formatCode="0.000">
                  <c:v>86.552000000000007</c:v>
                </c:pt>
                <c:pt idx="162" formatCode="0.000">
                  <c:v>93.334999999999994</c:v>
                </c:pt>
                <c:pt idx="163" formatCode="0.000">
                  <c:v>95.921000000000006</c:v>
                </c:pt>
                <c:pt idx="165" formatCode="0.000">
                  <c:v>97.522999999999996</c:v>
                </c:pt>
                <c:pt idx="166" formatCode="0.000">
                  <c:v>100</c:v>
                </c:pt>
                <c:pt idx="168" formatCode="0.000">
                  <c:v>38.884</c:v>
                </c:pt>
                <c:pt idx="169" formatCode="0.000">
                  <c:v>40.362000000000002</c:v>
                </c:pt>
                <c:pt idx="170" formatCode="0.000">
                  <c:v>42.962000000000003</c:v>
                </c:pt>
                <c:pt idx="171" formatCode="0.000">
                  <c:v>45.326000000000001</c:v>
                </c:pt>
                <c:pt idx="172" formatCode="0.000">
                  <c:v>47.05</c:v>
                </c:pt>
                <c:pt idx="173" formatCode="0.000">
                  <c:v>53.87</c:v>
                </c:pt>
                <c:pt idx="174" formatCode="0.000">
                  <c:v>63.85</c:v>
                </c:pt>
                <c:pt idx="175" formatCode="0.000">
                  <c:v>63.85</c:v>
                </c:pt>
                <c:pt idx="176" formatCode="0.000">
                  <c:v>74.25</c:v>
                </c:pt>
                <c:pt idx="177" formatCode="0.000">
                  <c:v>86.13</c:v>
                </c:pt>
                <c:pt idx="178" formatCode="0.000">
                  <c:v>87.47</c:v>
                </c:pt>
                <c:pt idx="179" formatCode="0.000">
                  <c:v>86.471999999999994</c:v>
                </c:pt>
                <c:pt idx="180" formatCode="0.000">
                  <c:v>87.93</c:v>
                </c:pt>
              </c:numCache>
            </c:numRef>
          </c:val>
          <c:smooth val="0"/>
          <c:extLst>
            <c:ext xmlns:c16="http://schemas.microsoft.com/office/drawing/2014/chart" uri="{C3380CC4-5D6E-409C-BE32-E72D297353CC}">
              <c16:uniqueId val="{00000000-AD16-4421-B8A3-A11543C24E47}"/>
            </c:ext>
          </c:extLst>
        </c:ser>
        <c:ser>
          <c:idx val="1"/>
          <c:order val="1"/>
          <c:tx>
            <c:strRef>
              <c:f>'Progress Test'!$D$1</c:f>
              <c:strCache>
                <c:ptCount val="1"/>
                <c:pt idx="0">
                  <c:v>Realisasi</c:v>
                </c:pt>
              </c:strCache>
            </c:strRef>
          </c:tx>
          <c:spPr>
            <a:ln w="28575" cap="rnd">
              <a:solidFill>
                <a:schemeClr val="accent2"/>
              </a:solidFill>
              <a:round/>
            </a:ln>
            <a:effectLst/>
          </c:spPr>
          <c:marker>
            <c:symbol val="none"/>
          </c:marker>
          <c:cat>
            <c:multiLvlStrRef>
              <c:f>'Progress Test'!$A$2:$B$280</c:f>
              <c:multiLvlStrCache>
                <c:ptCount val="181"/>
                <c:lvl>
                  <c:pt idx="0">
                    <c:v>31/12/24</c:v>
                  </c:pt>
                  <c:pt idx="1">
                    <c:v>25/12/24</c:v>
                  </c:pt>
                  <c:pt idx="2">
                    <c:v>25/01/25</c:v>
                  </c:pt>
                  <c:pt idx="3">
                    <c:v>25/02/25</c:v>
                  </c:pt>
                  <c:pt idx="4">
                    <c:v>25/04/25</c:v>
                  </c:pt>
                  <c:pt idx="5">
                    <c:v>25/05/25</c:v>
                  </c:pt>
                  <c:pt idx="6">
                    <c:v>25/07/25</c:v>
                  </c:pt>
                  <c:pt idx="7">
                    <c:v>25/08/25</c:v>
                  </c:pt>
                  <c:pt idx="8">
                    <c:v>25/09/25</c:v>
                  </c:pt>
                  <c:pt idx="9">
                    <c:v>26/10/25</c:v>
                  </c:pt>
                  <c:pt idx="10">
                    <c:v>29/09/22</c:v>
                  </c:pt>
                  <c:pt idx="11">
                    <c:v>28/10/22</c:v>
                  </c:pt>
                  <c:pt idx="12">
                    <c:v>22/11/22</c:v>
                  </c:pt>
                  <c:pt idx="13">
                    <c:v>28/11/22</c:v>
                  </c:pt>
                  <c:pt idx="14">
                    <c:v>30/12/22</c:v>
                  </c:pt>
                  <c:pt idx="15">
                    <c:v>30/01/23</c:v>
                  </c:pt>
                  <c:pt idx="16">
                    <c:v>02/02/23</c:v>
                  </c:pt>
                  <c:pt idx="17">
                    <c:v>27/03/23</c:v>
                  </c:pt>
                  <c:pt idx="18">
                    <c:v>27/12/24</c:v>
                  </c:pt>
                  <c:pt idx="19">
                    <c:v>10/02/23</c:v>
                  </c:pt>
                  <c:pt idx="20">
                    <c:v>20/11/22</c:v>
                  </c:pt>
                  <c:pt idx="21">
                    <c:v>25/11/22</c:v>
                  </c:pt>
                  <c:pt idx="22">
                    <c:v>25/12/22</c:v>
                  </c:pt>
                  <c:pt idx="23">
                    <c:v>22/01/23</c:v>
                  </c:pt>
                  <c:pt idx="24">
                    <c:v>25/01/23</c:v>
                  </c:pt>
                  <c:pt idx="25">
                    <c:v>04/02/23</c:v>
                  </c:pt>
                  <c:pt idx="26">
                    <c:v>19/02/23</c:v>
                  </c:pt>
                  <c:pt idx="27">
                    <c:v>19/03/23</c:v>
                  </c:pt>
                  <c:pt idx="28">
                    <c:v>25/04/23</c:v>
                  </c:pt>
                  <c:pt idx="29">
                    <c:v>21/05/23</c:v>
                  </c:pt>
                  <c:pt idx="30">
                    <c:v>15/06/23</c:v>
                  </c:pt>
                  <c:pt idx="31">
                    <c:v>23/07/23</c:v>
                  </c:pt>
                  <c:pt idx="32">
                    <c:v>20/08/23</c:v>
                  </c:pt>
                  <c:pt idx="33">
                    <c:v>20/08/23</c:v>
                  </c:pt>
                  <c:pt idx="34">
                    <c:v>17/09/23</c:v>
                  </c:pt>
                  <c:pt idx="35">
                    <c:v>25/10/23</c:v>
                  </c:pt>
                  <c:pt idx="36">
                    <c:v>30/10/23</c:v>
                  </c:pt>
                  <c:pt idx="37">
                    <c:v>26/07/23</c:v>
                  </c:pt>
                  <c:pt idx="38">
                    <c:v>21/09/23</c:v>
                  </c:pt>
                  <c:pt idx="39">
                    <c:v>25/10/23</c:v>
                  </c:pt>
                  <c:pt idx="40">
                    <c:v>27/12/24</c:v>
                  </c:pt>
                  <c:pt idx="41">
                    <c:v>30/01/25</c:v>
                  </c:pt>
                  <c:pt idx="42">
                    <c:v>27/02/25</c:v>
                  </c:pt>
                  <c:pt idx="43">
                    <c:v>24/04/25</c:v>
                  </c:pt>
                  <c:pt idx="44">
                    <c:v>22/05/25</c:v>
                  </c:pt>
                  <c:pt idx="45">
                    <c:v>26/06/25</c:v>
                  </c:pt>
                  <c:pt idx="46">
                    <c:v>24/07/25</c:v>
                  </c:pt>
                  <c:pt idx="47">
                    <c:v>21/08/25</c:v>
                  </c:pt>
                  <c:pt idx="48">
                    <c:v>25/09/25</c:v>
                  </c:pt>
                  <c:pt idx="49">
                    <c:v>30/10/25</c:v>
                  </c:pt>
                  <c:pt idx="50">
                    <c:v>00/01/00</c:v>
                  </c:pt>
                  <c:pt idx="51">
                    <c:v>30/12/24</c:v>
                  </c:pt>
                  <c:pt idx="52">
                    <c:v>27/01/25</c:v>
                  </c:pt>
                  <c:pt idx="53">
                    <c:v>23/02/25</c:v>
                  </c:pt>
                  <c:pt idx="54">
                    <c:v>28/04/25</c:v>
                  </c:pt>
                  <c:pt idx="55">
                    <c:v>25/05/25</c:v>
                  </c:pt>
                  <c:pt idx="56">
                    <c:v>22/06/25</c:v>
                  </c:pt>
                  <c:pt idx="57">
                    <c:v>27/07/25</c:v>
                  </c:pt>
                  <c:pt idx="58">
                    <c:v>25/08/25</c:v>
                  </c:pt>
                  <c:pt idx="59">
                    <c:v>25/09/25</c:v>
                  </c:pt>
                  <c:pt idx="60">
                    <c:v>26/10/25</c:v>
                  </c:pt>
                  <c:pt idx="61">
                    <c:v>25/07/23</c:v>
                  </c:pt>
                  <c:pt idx="62">
                    <c:v>25/08/23</c:v>
                  </c:pt>
                  <c:pt idx="63">
                    <c:v>01/10/23</c:v>
                  </c:pt>
                  <c:pt idx="64">
                    <c:v>31/07/22</c:v>
                  </c:pt>
                  <c:pt idx="65">
                    <c:v>31/08/22</c:v>
                  </c:pt>
                  <c:pt idx="66">
                    <c:v>30/09/22</c:v>
                  </c:pt>
                  <c:pt idx="67">
                    <c:v>28/11/22</c:v>
                  </c:pt>
                  <c:pt idx="68">
                    <c:v>22/12/22</c:v>
                  </c:pt>
                  <c:pt idx="69">
                    <c:v>20/01/23</c:v>
                  </c:pt>
                  <c:pt idx="70">
                    <c:v>15/02/23</c:v>
                  </c:pt>
                  <c:pt idx="71">
                    <c:v>05/03/23</c:v>
                  </c:pt>
                  <c:pt idx="72">
                    <c:v>13/04/23</c:v>
                  </c:pt>
                  <c:pt idx="73">
                    <c:v>14/05/23</c:v>
                  </c:pt>
                  <c:pt idx="74">
                    <c:v>18/06/23</c:v>
                  </c:pt>
                  <c:pt idx="75">
                    <c:v>23/07/23</c:v>
                  </c:pt>
                  <c:pt idx="76">
                    <c:v>20/08/23</c:v>
                  </c:pt>
                  <c:pt idx="77">
                    <c:v>23/01/25</c:v>
                  </c:pt>
                  <c:pt idx="78">
                    <c:v>23/02/25</c:v>
                  </c:pt>
                  <c:pt idx="79">
                    <c:v>27/04/25</c:v>
                  </c:pt>
                  <c:pt idx="80">
                    <c:v>25/05/25</c:v>
                  </c:pt>
                  <c:pt idx="81">
                    <c:v>22/06/25</c:v>
                  </c:pt>
                  <c:pt idx="82">
                    <c:v>27/07/25</c:v>
                  </c:pt>
                  <c:pt idx="83">
                    <c:v>24/08/25</c:v>
                  </c:pt>
                  <c:pt idx="84">
                    <c:v>28/09/25</c:v>
                  </c:pt>
                  <c:pt idx="85">
                    <c:v>26/10/25</c:v>
                  </c:pt>
                  <c:pt idx="86">
                    <c:v>26/12/24</c:v>
                  </c:pt>
                  <c:pt idx="87">
                    <c:v>26/01/25</c:v>
                  </c:pt>
                  <c:pt idx="88">
                    <c:v>22/02/25</c:v>
                  </c:pt>
                  <c:pt idx="89">
                    <c:v>25/04/25</c:v>
                  </c:pt>
                  <c:pt idx="90">
                    <c:v>25/05/25</c:v>
                  </c:pt>
                  <c:pt idx="91">
                    <c:v>25/07/25</c:v>
                  </c:pt>
                  <c:pt idx="92">
                    <c:v>25/07/25</c:v>
                  </c:pt>
                  <c:pt idx="93">
                    <c:v>25/08/25</c:v>
                  </c:pt>
                  <c:pt idx="94">
                    <c:v>25/09/25</c:v>
                  </c:pt>
                  <c:pt idx="95">
                    <c:v>25/10/25</c:v>
                  </c:pt>
                  <c:pt idx="96">
                    <c:v>12/02/23</c:v>
                  </c:pt>
                  <c:pt idx="97">
                    <c:v>19/02/23</c:v>
                  </c:pt>
                  <c:pt idx="98">
                    <c:v>26/02/23</c:v>
                  </c:pt>
                  <c:pt idx="99">
                    <c:v>12/03/23</c:v>
                  </c:pt>
                  <c:pt idx="100">
                    <c:v>19/03/23</c:v>
                  </c:pt>
                  <c:pt idx="101">
                    <c:v>26/03/23</c:v>
                  </c:pt>
                  <c:pt idx="102">
                    <c:v>16/04/23</c:v>
                  </c:pt>
                  <c:pt idx="103">
                    <c:v>21/05/23</c:v>
                  </c:pt>
                  <c:pt idx="104">
                    <c:v>28/05/23</c:v>
                  </c:pt>
                  <c:pt idx="105">
                    <c:v>04/06/23</c:v>
                  </c:pt>
                  <c:pt idx="106">
                    <c:v>18/06/23</c:v>
                  </c:pt>
                  <c:pt idx="107">
                    <c:v>25/06/23</c:v>
                  </c:pt>
                  <c:pt idx="108">
                    <c:v>23/07/23</c:v>
                  </c:pt>
                  <c:pt idx="109">
                    <c:v>20/08/23</c:v>
                  </c:pt>
                  <c:pt idx="110">
                    <c:v>27/08/23</c:v>
                  </c:pt>
                  <c:pt idx="111">
                    <c:v>24/09/23</c:v>
                  </c:pt>
                  <c:pt idx="112">
                    <c:v>02/10/23</c:v>
                  </c:pt>
                  <c:pt idx="113">
                    <c:v>26/11/23</c:v>
                  </c:pt>
                  <c:pt idx="114">
                    <c:v>03/01/25</c:v>
                  </c:pt>
                  <c:pt idx="115">
                    <c:v>26/06/23</c:v>
                  </c:pt>
                  <c:pt idx="116">
                    <c:v>26/07/23</c:v>
                  </c:pt>
                  <c:pt idx="117">
                    <c:v>31/08/23</c:v>
                  </c:pt>
                  <c:pt idx="118">
                    <c:v>25/09/23</c:v>
                  </c:pt>
                  <c:pt idx="119">
                    <c:v>22/10/23</c:v>
                  </c:pt>
                  <c:pt idx="120">
                    <c:v>29/12/24</c:v>
                  </c:pt>
                  <c:pt idx="121">
                    <c:v>26/01/25</c:v>
                  </c:pt>
                  <c:pt idx="122">
                    <c:v>23/02/25</c:v>
                  </c:pt>
                  <c:pt idx="123">
                    <c:v>27/04/25</c:v>
                  </c:pt>
                  <c:pt idx="124">
                    <c:v>25/05/25</c:v>
                  </c:pt>
                  <c:pt idx="125">
                    <c:v>25/06/25</c:v>
                  </c:pt>
                  <c:pt idx="126">
                    <c:v>27/07/25</c:v>
                  </c:pt>
                  <c:pt idx="127">
                    <c:v>25/08/25</c:v>
                  </c:pt>
                  <c:pt idx="128">
                    <c:v>25/09/25</c:v>
                  </c:pt>
                  <c:pt idx="129">
                    <c:v>25/10/25</c:v>
                  </c:pt>
                  <c:pt idx="130">
                    <c:v>29/12/24</c:v>
                  </c:pt>
                  <c:pt idx="131">
                    <c:v>31/01/25</c:v>
                  </c:pt>
                  <c:pt idx="132">
                    <c:v>28/02/25</c:v>
                  </c:pt>
                  <c:pt idx="133">
                    <c:v>04/05/25</c:v>
                  </c:pt>
                  <c:pt idx="134">
                    <c:v>31/05/25</c:v>
                  </c:pt>
                  <c:pt idx="135">
                    <c:v>29/06/25</c:v>
                  </c:pt>
                  <c:pt idx="136">
                    <c:v>30/07/25</c:v>
                  </c:pt>
                  <c:pt idx="137">
                    <c:v>31/08/25</c:v>
                  </c:pt>
                  <c:pt idx="138">
                    <c:v>10/01/23</c:v>
                  </c:pt>
                  <c:pt idx="139">
                    <c:v>12/03/23</c:v>
                  </c:pt>
                  <c:pt idx="140">
                    <c:v>28/09/25</c:v>
                  </c:pt>
                  <c:pt idx="141">
                    <c:v>31/10/25</c:v>
                  </c:pt>
                  <c:pt idx="142">
                    <c:v>05/01/25</c:v>
                  </c:pt>
                  <c:pt idx="143">
                    <c:v>23/04/25</c:v>
                  </c:pt>
                  <c:pt idx="144">
                    <c:v>28/04/25</c:v>
                  </c:pt>
                  <c:pt idx="145">
                    <c:v>30/05/25</c:v>
                  </c:pt>
                  <c:pt idx="146">
                    <c:v>22/06/25</c:v>
                  </c:pt>
                  <c:pt idx="147">
                    <c:v>30/06/25</c:v>
                  </c:pt>
                  <c:pt idx="148">
                    <c:v>28/07/25</c:v>
                  </c:pt>
                  <c:pt idx="149">
                    <c:v>29/08/25</c:v>
                  </c:pt>
                  <c:pt idx="150">
                    <c:v>21/09/25</c:v>
                  </c:pt>
                  <c:pt idx="151">
                    <c:v>25/09/23</c:v>
                  </c:pt>
                  <c:pt idx="152">
                    <c:v>30/09/25</c:v>
                  </c:pt>
                  <c:pt idx="153">
                    <c:v>26/10/25</c:v>
                  </c:pt>
                  <c:pt idx="154">
                    <c:v>26/10/25</c:v>
                  </c:pt>
                  <c:pt idx="155">
                    <c:v>28/07/25</c:v>
                  </c:pt>
                  <c:pt idx="156">
                    <c:v>30/07/25</c:v>
                  </c:pt>
                  <c:pt idx="157">
                    <c:v>28/08/25</c:v>
                  </c:pt>
                  <c:pt idx="158">
                    <c:v>29/09/25</c:v>
                  </c:pt>
                  <c:pt idx="159">
                    <c:v>25/10/25</c:v>
                  </c:pt>
                  <c:pt idx="160">
                    <c:v>31/10/25</c:v>
                  </c:pt>
                  <c:pt idx="161">
                    <c:v>31/12/24</c:v>
                  </c:pt>
                  <c:pt idx="162">
                    <c:v>02/02/25</c:v>
                  </c:pt>
                  <c:pt idx="163">
                    <c:v>02/03/25</c:v>
                  </c:pt>
                  <c:pt idx="164">
                    <c:v>03/03/25</c:v>
                  </c:pt>
                  <c:pt idx="165">
                    <c:v>31/03/25</c:v>
                  </c:pt>
                  <c:pt idx="166">
                    <c:v>30/04/25</c:v>
                  </c:pt>
                  <c:pt idx="167">
                    <c:v>30/04/25</c:v>
                  </c:pt>
                  <c:pt idx="168">
                    <c:v>30/06/23</c:v>
                  </c:pt>
                  <c:pt idx="169">
                    <c:v>30/07/23</c:v>
                  </c:pt>
                  <c:pt idx="170">
                    <c:v>31/08/23</c:v>
                  </c:pt>
                  <c:pt idx="171">
                    <c:v>30/09/23</c:v>
                  </c:pt>
                  <c:pt idx="172">
                    <c:v>31/10/23</c:v>
                  </c:pt>
                  <c:pt idx="173">
                    <c:v>25/06/23</c:v>
                  </c:pt>
                  <c:pt idx="174">
                    <c:v>30/07/23</c:v>
                  </c:pt>
                  <c:pt idx="175">
                    <c:v>30/07/23</c:v>
                  </c:pt>
                  <c:pt idx="176">
                    <c:v>28/08/23</c:v>
                  </c:pt>
                  <c:pt idx="177">
                    <c:v>01/10/23</c:v>
                  </c:pt>
                  <c:pt idx="178">
                    <c:v>29/10/23</c:v>
                  </c:pt>
                  <c:pt idx="179">
                    <c:v>01/01/25</c:v>
                  </c:pt>
                  <c:pt idx="180">
                    <c:v>23/04/25</c:v>
                  </c:pt>
                </c:lvl>
                <c:lvl>
                  <c:pt idx="0">
                    <c:v>Jalan Akses Bandara VVIP IKN (JOI 35%)</c:v>
                  </c:pt>
                  <c:pt idx="1">
                    <c:v>Jalan Baru Kretek Girijati (JOI Leader 52.5%)</c:v>
                  </c:pt>
                  <c:pt idx="2">
                    <c:v>Jalan Baru Kretek Girijati (JOI Leader 52.5%)</c:v>
                  </c:pt>
                  <c:pt idx="3">
                    <c:v>Jalan Baru Kretek Girijati (JOI Leader 52.5%)</c:v>
                  </c:pt>
                  <c:pt idx="4">
                    <c:v>Jalan Baru Kretek Girijati (JOI Leader 52.5%)</c:v>
                  </c:pt>
                  <c:pt idx="5">
                    <c:v>Jalan Baru Kretek Girijati (JOI Leader 52.5%)</c:v>
                  </c:pt>
                  <c:pt idx="6">
                    <c:v>Jalan Baru Kretek Girijati (JOI Leader 52.5%)</c:v>
                  </c:pt>
                  <c:pt idx="7">
                    <c:v>Jalan Baru Kretek Girijati (JOI Leader 52.5%)</c:v>
                  </c:pt>
                  <c:pt idx="8">
                    <c:v>Jalan Baru Kretek Girijati (JOI Leader 52.5%)</c:v>
                  </c:pt>
                  <c:pt idx="9">
                    <c:v>Jalan Baru Kretek Girijati (JOI Leader 52.5%)</c:v>
                  </c:pt>
                  <c:pt idx="10">
                    <c:v>Jalan dan Jembatan Bts. Blitar Lot 6B</c:v>
                  </c:pt>
                  <c:pt idx="11">
                    <c:v>Jalan dan Jembatan Bts. Blitar Lot 6B</c:v>
                  </c:pt>
                  <c:pt idx="12">
                    <c:v>Jalan dan Jembatan Bts. Blitar Lot 6B</c:v>
                  </c:pt>
                  <c:pt idx="13">
                    <c:v>Jalan dan Jembatan Bts. Blitar Lot 6B</c:v>
                  </c:pt>
                  <c:pt idx="14">
                    <c:v>Jalan dan Jembatan Bts. Blitar Lot 6B</c:v>
                  </c:pt>
                  <c:pt idx="15">
                    <c:v>Jalan dan Jembatan Bts. Blitar Lot 6B</c:v>
                  </c:pt>
                  <c:pt idx="16">
                    <c:v>Jalan dan Jembatan Bts. Blitar Lot 6B</c:v>
                  </c:pt>
                  <c:pt idx="17">
                    <c:v>Jalan dan Jembatan Bts. Blitar Lot 6B</c:v>
                  </c:pt>
                  <c:pt idx="18">
                    <c:v>Jalan Distrik (Feeder) IKN (JOI 50%)</c:v>
                  </c:pt>
                  <c:pt idx="19">
                    <c:v>Jalan Distrik (Feeder) IKN (JOI 50%)</c:v>
                  </c:pt>
                  <c:pt idx="20">
                    <c:v>Jalan IKN Lingkar Sepaku Segmen 4</c:v>
                  </c:pt>
                  <c:pt idx="21">
                    <c:v>Jalan IKN Lingkar Sepaku Segmen 4</c:v>
                  </c:pt>
                  <c:pt idx="22">
                    <c:v>Jalan IKN Lingkar Sepaku Segmen 4</c:v>
                  </c:pt>
                  <c:pt idx="23">
                    <c:v>Jalan IKN Lingkar Sepaku Segmen 4</c:v>
                  </c:pt>
                  <c:pt idx="24">
                    <c:v>Jalan IKN Lingkar Sepaku Segmen 4</c:v>
                  </c:pt>
                  <c:pt idx="25">
                    <c:v>Jalan IKN Lingkar Sepaku Segmen 4</c:v>
                  </c:pt>
                  <c:pt idx="26">
                    <c:v>Jalan IKN Lingkar Sepaku Segmen 4</c:v>
                  </c:pt>
                  <c:pt idx="27">
                    <c:v>Jalan IKN Lingkar Sepaku Segmen 4</c:v>
                  </c:pt>
                  <c:pt idx="28">
                    <c:v>Jalan IKN Lingkar Sepaku Segmen 4</c:v>
                  </c:pt>
                  <c:pt idx="29">
                    <c:v>Jalan IKN Lingkar Sepaku Segmen 4</c:v>
                  </c:pt>
                  <c:pt idx="30">
                    <c:v>Jalan IKN Lingkar Sepaku Segmen 4</c:v>
                  </c:pt>
                  <c:pt idx="31">
                    <c:v>Jalan IKN Lingkar Sepaku Segmen 4</c:v>
                  </c:pt>
                  <c:pt idx="32">
                    <c:v>Jalan IKN Lingkar Sepaku Segmen 4</c:v>
                  </c:pt>
                  <c:pt idx="33">
                    <c:v>Jalan IKN Lingkar Sepaku Segmen 4</c:v>
                  </c:pt>
                  <c:pt idx="34">
                    <c:v>Jalan IKN Lingkar Sepaku Segmen 4</c:v>
                  </c:pt>
                  <c:pt idx="35">
                    <c:v>Jalan IKN Lingkar Sepaku Segmen 4</c:v>
                  </c:pt>
                  <c:pt idx="36">
                    <c:v>Jalan IKN Lingkar Sepaku Segmen 4</c:v>
                  </c:pt>
                  <c:pt idx="37">
                    <c:v>Jalan Long Semamu - Long Bawan 2 (JOP 70%)</c:v>
                  </c:pt>
                  <c:pt idx="38">
                    <c:v>Jalan Long Semamu - Long Bawan 2 (JOP 70%)</c:v>
                  </c:pt>
                  <c:pt idx="39">
                    <c:v>Jalan Long Semamu - Long Bawan 2 (JOP 70%)</c:v>
                  </c:pt>
                  <c:pt idx="40">
                    <c:v>Jalan Lot 2 Buluwalang-Sidomulyo-Tambakrejo (JOI 40%)</c:v>
                  </c:pt>
                  <c:pt idx="41">
                    <c:v>Jalan Lot 2 Buluwalang-Sidomulyo-Tambakrejo (JOI 40%)</c:v>
                  </c:pt>
                  <c:pt idx="42">
                    <c:v>Jalan Lot 2 Buluwalang-Sidomulyo-Tambakrejo (JOI 40%)</c:v>
                  </c:pt>
                  <c:pt idx="43">
                    <c:v>Jalan Lot 2 Buluwalang-Sidomulyo-Tambakrejo (JOI 40%)</c:v>
                  </c:pt>
                  <c:pt idx="44">
                    <c:v>Jalan Lot 2 Buluwalang-Sidomulyo-Tambakrejo (JOI 40%)</c:v>
                  </c:pt>
                  <c:pt idx="45">
                    <c:v>Jalan Lot 2 Buluwalang-Sidomulyo-Tambakrejo (JOI 40%)</c:v>
                  </c:pt>
                  <c:pt idx="46">
                    <c:v>Jalan Lot 2 Buluwalang-Sidomulyo-Tambakrejo (JOI 40%)</c:v>
                  </c:pt>
                  <c:pt idx="47">
                    <c:v>Jalan Lot 2 Buluwalang-Sidomulyo-Tambakrejo (JOI 40%)</c:v>
                  </c:pt>
                  <c:pt idx="48">
                    <c:v>Jalan Lot 2 Buluwalang-Sidomulyo-Tambakrejo (JOI 40%)</c:v>
                  </c:pt>
                  <c:pt idx="49">
                    <c:v>Jalan Lot 2 Buluwalang-Sidomulyo-Tambakrejo (JOI 40%)</c:v>
                  </c:pt>
                  <c:pt idx="50">
                    <c:v>Jalan Seksi 6C-1 KIPP IKN (JOI 32.50%)</c:v>
                  </c:pt>
                  <c:pt idx="51">
                    <c:v>Jalan Tol Akses Patimban Paket 2 (JOI 60%)</c:v>
                  </c:pt>
                  <c:pt idx="52">
                    <c:v>Jalan Tol Akses Patimban Paket 2 (JOI 60%)</c:v>
                  </c:pt>
                  <c:pt idx="53">
                    <c:v>Jalan Tol Akses Patimban Paket 2 (JOI 60%)</c:v>
                  </c:pt>
                  <c:pt idx="54">
                    <c:v>Jalan Tol Akses Patimban Paket 2 (JOI 60%)</c:v>
                  </c:pt>
                  <c:pt idx="55">
                    <c:v>Jalan Tol Akses Patimban Paket 2 (JOI 60%)</c:v>
                  </c:pt>
                  <c:pt idx="56">
                    <c:v>Jalan Tol Akses Patimban Paket 2 (JOI 60%)</c:v>
                  </c:pt>
                  <c:pt idx="57">
                    <c:v>Jalan Tol Akses Patimban Paket 2 (JOI 60%)</c:v>
                  </c:pt>
                  <c:pt idx="58">
                    <c:v>Jalan Tol Akses Patimban Paket 2 (JOI 60%)</c:v>
                  </c:pt>
                  <c:pt idx="59">
                    <c:v>Jalan Tol Akses Patimban Paket 2 (JOI 60%)</c:v>
                  </c:pt>
                  <c:pt idx="60">
                    <c:v>Jalan Tol Akses Patimban Paket 2 (JOI 60%)</c:v>
                  </c:pt>
                  <c:pt idx="61">
                    <c:v>Jalan Tol Bayunglencir - Tempino Seksi 1 (JOI 40%)</c:v>
                  </c:pt>
                  <c:pt idx="62">
                    <c:v>Jalan Tol Bayunglencir - Tempino Seksi 1 (JOI 40%)</c:v>
                  </c:pt>
                  <c:pt idx="63">
                    <c:v>Jalan Tol Bayunglencir - Tempino Seksi 1 (JOI 40%)</c:v>
                  </c:pt>
                  <c:pt idx="64">
                    <c:v>Jalan Tol Bocimi Seksi 2</c:v>
                  </c:pt>
                  <c:pt idx="65">
                    <c:v>Jalan Tol Bocimi Seksi 2</c:v>
                  </c:pt>
                  <c:pt idx="66">
                    <c:v>Jalan Tol Bocimi Seksi 2</c:v>
                  </c:pt>
                  <c:pt idx="67">
                    <c:v>Jalan Tol Bocimi Seksi 2</c:v>
                  </c:pt>
                  <c:pt idx="68">
                    <c:v>Jalan Tol Bocimi Seksi 2</c:v>
                  </c:pt>
                  <c:pt idx="69">
                    <c:v>Jalan Tol Bocimi Seksi 2</c:v>
                  </c:pt>
                  <c:pt idx="70">
                    <c:v>Jalan Tol Bocimi Seksi 2</c:v>
                  </c:pt>
                  <c:pt idx="71">
                    <c:v>Jalan Tol Bocimi Seksi 2</c:v>
                  </c:pt>
                  <c:pt idx="72">
                    <c:v>Jalan Tol Bocimi Seksi 2</c:v>
                  </c:pt>
                  <c:pt idx="73">
                    <c:v>Jalan Tol Bocimi Seksi 2</c:v>
                  </c:pt>
                  <c:pt idx="74">
                    <c:v>Jalan Tol Bocimi Seksi 2</c:v>
                  </c:pt>
                  <c:pt idx="75">
                    <c:v>Jalan Tol Bocimi Seksi 2</c:v>
                  </c:pt>
                  <c:pt idx="76">
                    <c:v>Jalan Tol Bocimi Seksi 2</c:v>
                  </c:pt>
                  <c:pt idx="77">
                    <c:v>Jalan Tol Bocimi Seksi 3A</c:v>
                  </c:pt>
                  <c:pt idx="78">
                    <c:v>Jalan Tol Bocimi Seksi 3A</c:v>
                  </c:pt>
                  <c:pt idx="79">
                    <c:v>Jalan Tol Bocimi Seksi 3A</c:v>
                  </c:pt>
                  <c:pt idx="80">
                    <c:v>Jalan Tol Bocimi Seksi 3A</c:v>
                  </c:pt>
                  <c:pt idx="81">
                    <c:v>Jalan Tol Bocimi Seksi 3A</c:v>
                  </c:pt>
                  <c:pt idx="82">
                    <c:v>Jalan Tol Bocimi Seksi 3A</c:v>
                  </c:pt>
                  <c:pt idx="83">
                    <c:v>Jalan Tol Bocimi Seksi 3A</c:v>
                  </c:pt>
                  <c:pt idx="84">
                    <c:v>Jalan Tol Bocimi Seksi 3A</c:v>
                  </c:pt>
                  <c:pt idx="85">
                    <c:v>Jalan Tol Bocimi Seksi 3A</c:v>
                  </c:pt>
                  <c:pt idx="86">
                    <c:v>Jalan Tol Bocimi Seksi 3B</c:v>
                  </c:pt>
                  <c:pt idx="87">
                    <c:v>Jalan Tol Bocimi Seksi 3B</c:v>
                  </c:pt>
                  <c:pt idx="88">
                    <c:v>Jalan Tol Bocimi Seksi 3B</c:v>
                  </c:pt>
                  <c:pt idx="89">
                    <c:v>Jalan Tol Bocimi Seksi 3B</c:v>
                  </c:pt>
                  <c:pt idx="90">
                    <c:v>Jalan Tol Bocimi Seksi 3B</c:v>
                  </c:pt>
                  <c:pt idx="91">
                    <c:v>Jalan Tol Bocimi Seksi 3B</c:v>
                  </c:pt>
                  <c:pt idx="92">
                    <c:v>Jalan Tol Bocimi Seksi 3B</c:v>
                  </c:pt>
                  <c:pt idx="93">
                    <c:v>Jalan Tol Bocimi Seksi 3B</c:v>
                  </c:pt>
                  <c:pt idx="94">
                    <c:v>Jalan Tol Bocimi Seksi 3B</c:v>
                  </c:pt>
                  <c:pt idx="95">
                    <c:v>Jalan Tol Bocimi Seksi 3B</c:v>
                  </c:pt>
                  <c:pt idx="96">
                    <c:v>Jalan Tol Cimanggis Cibitung Seksi 2</c:v>
                  </c:pt>
                  <c:pt idx="97">
                    <c:v>Jalan Tol Cimanggis Cibitung Seksi 2</c:v>
                  </c:pt>
                  <c:pt idx="98">
                    <c:v>Jalan Tol Cimanggis Cibitung Seksi 2</c:v>
                  </c:pt>
                  <c:pt idx="99">
                    <c:v>Jalan Tol Cimanggis Cibitung Seksi 2</c:v>
                  </c:pt>
                  <c:pt idx="100">
                    <c:v>Jalan Tol Cimanggis Cibitung Seksi 2</c:v>
                  </c:pt>
                  <c:pt idx="101">
                    <c:v>Jalan Tol Cimanggis Cibitung Seksi 2</c:v>
                  </c:pt>
                  <c:pt idx="102">
                    <c:v>Jalan Tol Cimanggis Cibitung Seksi 2</c:v>
                  </c:pt>
                  <c:pt idx="103">
                    <c:v>Jalan Tol Cimanggis Cibitung Seksi 2</c:v>
                  </c:pt>
                  <c:pt idx="104">
                    <c:v>Jalan Tol Cimanggis Cibitung Seksi 2</c:v>
                  </c:pt>
                  <c:pt idx="105">
                    <c:v>Jalan Tol Cimanggis Cibitung Seksi 2</c:v>
                  </c:pt>
                  <c:pt idx="106">
                    <c:v>Jalan Tol Cimanggis Cibitung Seksi 2</c:v>
                  </c:pt>
                  <c:pt idx="107">
                    <c:v>Jalan Tol Cimanggis Cibitung Seksi 2</c:v>
                  </c:pt>
                  <c:pt idx="108">
                    <c:v>Jalan Tol Cimanggis Cibitung Seksi 2</c:v>
                  </c:pt>
                  <c:pt idx="109">
                    <c:v>Jalan Tol Cimanggis Cibitung Seksi 2</c:v>
                  </c:pt>
                  <c:pt idx="110">
                    <c:v>Jalan Tol Cimanggis Cibitung Seksi 2</c:v>
                  </c:pt>
                  <c:pt idx="111">
                    <c:v>Jalan Tol Cimanggis Cibitung Seksi 2</c:v>
                  </c:pt>
                  <c:pt idx="112">
                    <c:v>Jalan Tol Cimanggis Cibitung Seksi 2</c:v>
                  </c:pt>
                  <c:pt idx="113">
                    <c:v>Jalan Tol Cimanggis Cibitung Seksi 2</c:v>
                  </c:pt>
                  <c:pt idx="114">
                    <c:v>Jalan Tol IKN 5A Tempadung-Pulau Balang (JOI 50%)</c:v>
                  </c:pt>
                  <c:pt idx="115">
                    <c:v>Jalan Tol IKN 5A Tempadung-Pulau Balang (JOI 50%)</c:v>
                  </c:pt>
                  <c:pt idx="116">
                    <c:v>Jalan Tol IKN 5A Tempadung-Pulau Balang (JOI 50%)</c:v>
                  </c:pt>
                  <c:pt idx="117">
                    <c:v>Jalan Tol IKN 5A Tempadung-Pulau Balang (JOI 50%)</c:v>
                  </c:pt>
                  <c:pt idx="118">
                    <c:v>Jalan Tol IKN 5A Tempadung-Pulau Balang (JOI 50%)</c:v>
                  </c:pt>
                  <c:pt idx="119">
                    <c:v>Jalan Tol IKN 5A Tempadung-Pulau Balang (JOI 50%)</c:v>
                  </c:pt>
                  <c:pt idx="120">
                    <c:v>Jalan Tol IKN Seksi 3B-2</c:v>
                  </c:pt>
                  <c:pt idx="121">
                    <c:v>Jalan Tol IKN Seksi 3B-2</c:v>
                  </c:pt>
                  <c:pt idx="122">
                    <c:v>Jalan Tol IKN Seksi 3B-2</c:v>
                  </c:pt>
                  <c:pt idx="123">
                    <c:v>Jalan Tol IKN Seksi 3B-2</c:v>
                  </c:pt>
                  <c:pt idx="124">
                    <c:v>Jalan Tol IKN Seksi 3B-2</c:v>
                  </c:pt>
                  <c:pt idx="125">
                    <c:v>Jalan Tol IKN Seksi 3B-2</c:v>
                  </c:pt>
                  <c:pt idx="126">
                    <c:v>Jalan Tol IKN Seksi 3B-2</c:v>
                  </c:pt>
                  <c:pt idx="127">
                    <c:v>Jalan Tol IKN Seksi 3B-2</c:v>
                  </c:pt>
                  <c:pt idx="128">
                    <c:v>Jalan Tol IKN Seksi 3B-2</c:v>
                  </c:pt>
                  <c:pt idx="129">
                    <c:v>Jalan Tol IKN Seksi 3B-2</c:v>
                  </c:pt>
                  <c:pt idx="130">
                    <c:v>Jalan Tol Probolinggo Bayuwangi Paket 3 (JOI member 25%)</c:v>
                  </c:pt>
                  <c:pt idx="131">
                    <c:v>Jalan Tol Probolinggo Bayuwangi Paket 3 (JOI member 25%)</c:v>
                  </c:pt>
                  <c:pt idx="132">
                    <c:v>Jalan Tol Probolinggo Bayuwangi Paket 3 (JOI member 25%)</c:v>
                  </c:pt>
                  <c:pt idx="133">
                    <c:v>Jalan Tol Probolinggo Bayuwangi Paket 3 (JOI member 25%)</c:v>
                  </c:pt>
                  <c:pt idx="134">
                    <c:v>Jalan Tol Probolinggo Bayuwangi Paket 3 (JOI member 25%)</c:v>
                  </c:pt>
                  <c:pt idx="135">
                    <c:v>Jalan Tol Probolinggo Bayuwangi Paket 3 (JOI member 25%)</c:v>
                  </c:pt>
                  <c:pt idx="136">
                    <c:v>Jalan Tol Probolinggo Bayuwangi Paket 3 (JOI member 25%)</c:v>
                  </c:pt>
                  <c:pt idx="137">
                    <c:v>Jalan Tol Probolinggo Bayuwangi Paket 3 (JOI member 25%)</c:v>
                  </c:pt>
                  <c:pt idx="138">
                    <c:v>Jalan Tol Probolinggo Bayuwangi Paket 3 (JOI member 25%)</c:v>
                  </c:pt>
                  <c:pt idx="139">
                    <c:v>Jalan Tol Probolinggo Bayuwangi Paket 3 (JOI member 25%)</c:v>
                  </c:pt>
                  <c:pt idx="140">
                    <c:v>Jalan Tol Probolinggo Bayuwangi Paket 3 (JOI member 25%)</c:v>
                  </c:pt>
                  <c:pt idx="141">
                    <c:v>Jalan Tol Probolinggo Bayuwangi Paket 3 (JOI member 25%)</c:v>
                  </c:pt>
                  <c:pt idx="142">
                    <c:v>Patimban Port Development Paket 5 (JOI member 16%)</c:v>
                  </c:pt>
                  <c:pt idx="143">
                    <c:v>Patimban Port Development Paket 5 (JOI member 16%)</c:v>
                  </c:pt>
                  <c:pt idx="144">
                    <c:v>Patimban Port Development Paket 5 (JOI member 16%)</c:v>
                  </c:pt>
                  <c:pt idx="145">
                    <c:v>Patimban Port Development Paket 5 (JOI member 16%)</c:v>
                  </c:pt>
                  <c:pt idx="146">
                    <c:v>Patimban Port Development Paket 5 (JOI member 16%)</c:v>
                  </c:pt>
                  <c:pt idx="147">
                    <c:v>Patimban Port Development Paket 5 (JOI member 16%)</c:v>
                  </c:pt>
                  <c:pt idx="148">
                    <c:v>Patimban Port Development Paket 5 (JOI member 16%)</c:v>
                  </c:pt>
                  <c:pt idx="149">
                    <c:v>Patimban Port Development Paket 5 (JOI member 16%)</c:v>
                  </c:pt>
                  <c:pt idx="150">
                    <c:v>Patimban Port Development Paket 5 (JOI member 16%)</c:v>
                  </c:pt>
                  <c:pt idx="151">
                    <c:v>Patimban Port Development Paket 5 (JOI member 16%)</c:v>
                  </c:pt>
                  <c:pt idx="152">
                    <c:v>Patimban Port Development Paket 5 (JOI member 16%)</c:v>
                  </c:pt>
                  <c:pt idx="153">
                    <c:v>Patimban Port Development Paket 5 (JOI member 16%)</c:v>
                  </c:pt>
                  <c:pt idx="154">
                    <c:v>Patimban Port Development Paket 5 (JOI member 16%)</c:v>
                  </c:pt>
                  <c:pt idx="155">
                    <c:v>Peningkatan Jalan Paket D KIPP 1C</c:v>
                  </c:pt>
                  <c:pt idx="156">
                    <c:v>Peningkatan Jalan Paket D KIPP 1C</c:v>
                  </c:pt>
                  <c:pt idx="157">
                    <c:v>Peningkatan Jalan Paket D KIPP 1C</c:v>
                  </c:pt>
                  <c:pt idx="158">
                    <c:v>Peningkatan Jalan Paket D KIPP 1C</c:v>
                  </c:pt>
                  <c:pt idx="159">
                    <c:v>Peningkatan Jalan Paket D KIPP 1C</c:v>
                  </c:pt>
                  <c:pt idx="160">
                    <c:v>Peningkatan Jalan Paket D KIPP 1C</c:v>
                  </c:pt>
                  <c:pt idx="161">
                    <c:v>Rekonstruksi Jembatan Palu 4</c:v>
                  </c:pt>
                  <c:pt idx="162">
                    <c:v>Rekonstruksi Jembatan Palu 4</c:v>
                  </c:pt>
                  <c:pt idx="163">
                    <c:v>Rekonstruksi Jembatan Palu 4</c:v>
                  </c:pt>
                  <c:pt idx="164">
                    <c:v>Rekonstruksi Jembatan Palu 4</c:v>
                  </c:pt>
                  <c:pt idx="165">
                    <c:v>Rekonstruksi Jembatan Palu 4</c:v>
                  </c:pt>
                  <c:pt idx="166">
                    <c:v>Rekonstruksi Jembatan Palu 4</c:v>
                  </c:pt>
                  <c:pt idx="167">
                    <c:v>Rekonstruksi Jembatan Palu 4</c:v>
                  </c:pt>
                  <c:pt idx="168">
                    <c:v>Rekonstruksi Jembatan Palu 4</c:v>
                  </c:pt>
                  <c:pt idx="169">
                    <c:v>Rekonstruksi Jembatan Palu 4</c:v>
                  </c:pt>
                  <c:pt idx="170">
                    <c:v>Rekonstruksi Jembatan Palu 4</c:v>
                  </c:pt>
                  <c:pt idx="171">
                    <c:v>Rekonstruksi Jembatan Palu 4</c:v>
                  </c:pt>
                  <c:pt idx="172">
                    <c:v>Rekonstruksi Jembatan Palu 4</c:v>
                  </c:pt>
                  <c:pt idx="173">
                    <c:v>Rekonstruksi Jl. Kwatisore, Nabire, Papua (JOI 70%)</c:v>
                  </c:pt>
                  <c:pt idx="174">
                    <c:v>Rekonstruksi Jl. Kwatisore, Nabire, Papua (JOI 70%)</c:v>
                  </c:pt>
                  <c:pt idx="175">
                    <c:v>Rekonstruksi Jl. Kwatisore, Nabire, Papua (JOI 70%)</c:v>
                  </c:pt>
                  <c:pt idx="176">
                    <c:v>Rekonstruksi Jl. Kwatisore, Nabire, Papua (JOI 70%)</c:v>
                  </c:pt>
                  <c:pt idx="177">
                    <c:v>Rekonstruksi Jl. Kwatisore, Nabire, Papua (JOI 70%)</c:v>
                  </c:pt>
                  <c:pt idx="178">
                    <c:v>Rekonstruksi Jl. Kwatisore, Nabire, Papua (JOI 70%)</c:v>
                  </c:pt>
                  <c:pt idx="179">
                    <c:v>Underpass Deltamas SS Sukabungah</c:v>
                  </c:pt>
                  <c:pt idx="180">
                    <c:v>Underpass Deltamas SS Sukabungah</c:v>
                  </c:pt>
                </c:lvl>
              </c:multiLvlStrCache>
            </c:multiLvlStrRef>
          </c:cat>
          <c:val>
            <c:numRef>
              <c:f>'Progress Test'!$D$2:$D$280</c:f>
              <c:numCache>
                <c:formatCode>0.00</c:formatCode>
                <c:ptCount val="181"/>
                <c:pt idx="0">
                  <c:v>91.364999999999995</c:v>
                </c:pt>
                <c:pt idx="1">
                  <c:v>57.712000000000003</c:v>
                </c:pt>
                <c:pt idx="2">
                  <c:v>60.862000000000002</c:v>
                </c:pt>
                <c:pt idx="3">
                  <c:v>63.319000000000003</c:v>
                </c:pt>
                <c:pt idx="4">
                  <c:v>71.509</c:v>
                </c:pt>
                <c:pt idx="5">
                  <c:v>77.971000000000004</c:v>
                </c:pt>
                <c:pt idx="6">
                  <c:v>91.447999999999993</c:v>
                </c:pt>
                <c:pt idx="7">
                  <c:v>89.63</c:v>
                </c:pt>
                <c:pt idx="8">
                  <c:v>91.968999999999994</c:v>
                </c:pt>
                <c:pt idx="9">
                  <c:v>80.590999999999994</c:v>
                </c:pt>
                <c:pt idx="10">
                  <c:v>19.757999999999999</c:v>
                </c:pt>
                <c:pt idx="11">
                  <c:v>32.395000000000003</c:v>
                </c:pt>
                <c:pt idx="12">
                  <c:v>41.701000000000001</c:v>
                </c:pt>
                <c:pt idx="13">
                  <c:v>44.802999999999997</c:v>
                </c:pt>
                <c:pt idx="14">
                  <c:v>60.674999999999997</c:v>
                </c:pt>
                <c:pt idx="15">
                  <c:v>80.031000000000006</c:v>
                </c:pt>
                <c:pt idx="16">
                  <c:v>57.69</c:v>
                </c:pt>
                <c:pt idx="17">
                  <c:v>95.427000000000007</c:v>
                </c:pt>
                <c:pt idx="18">
                  <c:v>100</c:v>
                </c:pt>
                <c:pt idx="19">
                  <c:v>5.798</c:v>
                </c:pt>
                <c:pt idx="20">
                  <c:v>6.54</c:v>
                </c:pt>
                <c:pt idx="21">
                  <c:v>7.9119999999999999</c:v>
                </c:pt>
                <c:pt idx="22">
                  <c:v>8.9450000000000003</c:v>
                </c:pt>
                <c:pt idx="23">
                  <c:v>12.861000000000001</c:v>
                </c:pt>
                <c:pt idx="24">
                  <c:v>12.861000000000001</c:v>
                </c:pt>
                <c:pt idx="25">
                  <c:v>14.847</c:v>
                </c:pt>
                <c:pt idx="26">
                  <c:v>17.091999999999999</c:v>
                </c:pt>
                <c:pt idx="27">
                  <c:v>20.707000000000001</c:v>
                </c:pt>
                <c:pt idx="28">
                  <c:v>25.369</c:v>
                </c:pt>
                <c:pt idx="29">
                  <c:v>31.361000000000001</c:v>
                </c:pt>
                <c:pt idx="30">
                  <c:v>40.281999999999996</c:v>
                </c:pt>
                <c:pt idx="31">
                  <c:v>44.726999999999997</c:v>
                </c:pt>
                <c:pt idx="32">
                  <c:v>49.267000000000003</c:v>
                </c:pt>
                <c:pt idx="33">
                  <c:v>49.267000000000003</c:v>
                </c:pt>
                <c:pt idx="34">
                  <c:v>55.145000000000003</c:v>
                </c:pt>
                <c:pt idx="35">
                  <c:v>55.414999999999999</c:v>
                </c:pt>
                <c:pt idx="36">
                  <c:v>67.944999999999993</c:v>
                </c:pt>
                <c:pt idx="37">
                  <c:v>64.64</c:v>
                </c:pt>
                <c:pt idx="38">
                  <c:v>84.72</c:v>
                </c:pt>
                <c:pt idx="39">
                  <c:v>96</c:v>
                </c:pt>
                <c:pt idx="40">
                  <c:v>25.334</c:v>
                </c:pt>
                <c:pt idx="41">
                  <c:v>31.545000000000002</c:v>
                </c:pt>
                <c:pt idx="42">
                  <c:v>35.936999999999998</c:v>
                </c:pt>
                <c:pt idx="43">
                  <c:v>44.917999999999999</c:v>
                </c:pt>
                <c:pt idx="44">
                  <c:v>48.985999999999997</c:v>
                </c:pt>
                <c:pt idx="45">
                  <c:v>54.393999999999998</c:v>
                </c:pt>
                <c:pt idx="46">
                  <c:v>59.3</c:v>
                </c:pt>
                <c:pt idx="47">
                  <c:v>64.076999999999998</c:v>
                </c:pt>
                <c:pt idx="48">
                  <c:v>69.819999999999993</c:v>
                </c:pt>
                <c:pt idx="49">
                  <c:v>75.667000000000002</c:v>
                </c:pt>
                <c:pt idx="50">
                  <c:v>94.822999999999993</c:v>
                </c:pt>
                <c:pt idx="51">
                  <c:v>35.270000000000003</c:v>
                </c:pt>
                <c:pt idx="52">
                  <c:v>39.500999999999998</c:v>
                </c:pt>
                <c:pt idx="53">
                  <c:v>44.883000000000003</c:v>
                </c:pt>
                <c:pt idx="54">
                  <c:v>56.116999999999997</c:v>
                </c:pt>
                <c:pt idx="55">
                  <c:v>61.732999999999997</c:v>
                </c:pt>
                <c:pt idx="56">
                  <c:v>67.513000000000005</c:v>
                </c:pt>
                <c:pt idx="57">
                  <c:v>73.962000000000003</c:v>
                </c:pt>
                <c:pt idx="58">
                  <c:v>78.266999999999996</c:v>
                </c:pt>
                <c:pt idx="59">
                  <c:v>86.685000000000002</c:v>
                </c:pt>
                <c:pt idx="60">
                  <c:v>93.394000000000005</c:v>
                </c:pt>
                <c:pt idx="61">
                  <c:v>2.2629999999999999</c:v>
                </c:pt>
                <c:pt idx="62">
                  <c:v>6.298</c:v>
                </c:pt>
                <c:pt idx="63">
                  <c:v>12.028</c:v>
                </c:pt>
                <c:pt idx="64">
                  <c:v>92.387</c:v>
                </c:pt>
                <c:pt idx="65">
                  <c:v>85.504000000000005</c:v>
                </c:pt>
                <c:pt idx="66">
                  <c:v>89.257000000000005</c:v>
                </c:pt>
                <c:pt idx="67">
                  <c:v>88.313000000000002</c:v>
                </c:pt>
                <c:pt idx="68">
                  <c:v>92.570999999999998</c:v>
                </c:pt>
                <c:pt idx="69">
                  <c:v>96.861000000000004</c:v>
                </c:pt>
                <c:pt idx="70">
                  <c:v>97.185000000000002</c:v>
                </c:pt>
                <c:pt idx="71">
                  <c:v>100</c:v>
                </c:pt>
                <c:pt idx="72">
                  <c:v>95.793999999999997</c:v>
                </c:pt>
                <c:pt idx="73">
                  <c:v>98.105000000000004</c:v>
                </c:pt>
                <c:pt idx="74">
                  <c:v>99.602000000000004</c:v>
                </c:pt>
                <c:pt idx="75">
                  <c:v>99.730999999999995</c:v>
                </c:pt>
                <c:pt idx="76">
                  <c:v>98.956000000000003</c:v>
                </c:pt>
                <c:pt idx="77">
                  <c:v>19.364000000000001</c:v>
                </c:pt>
                <c:pt idx="78">
                  <c:v>64.778999999999996</c:v>
                </c:pt>
                <c:pt idx="79">
                  <c:v>79.402000000000001</c:v>
                </c:pt>
                <c:pt idx="80">
                  <c:v>87.055999999999997</c:v>
                </c:pt>
                <c:pt idx="81">
                  <c:v>92.79</c:v>
                </c:pt>
                <c:pt idx="82">
                  <c:v>65.207999999999998</c:v>
                </c:pt>
                <c:pt idx="83">
                  <c:v>65.391999999999996</c:v>
                </c:pt>
                <c:pt idx="84">
                  <c:v>69.957999999999998</c:v>
                </c:pt>
                <c:pt idx="85">
                  <c:v>82.061999999999998</c:v>
                </c:pt>
                <c:pt idx="86">
                  <c:v>13.159000000000001</c:v>
                </c:pt>
                <c:pt idx="87">
                  <c:v>13.148999999999999</c:v>
                </c:pt>
                <c:pt idx="88">
                  <c:v>17.018000000000001</c:v>
                </c:pt>
                <c:pt idx="89">
                  <c:v>28.068000000000001</c:v>
                </c:pt>
                <c:pt idx="90">
                  <c:v>31.731000000000002</c:v>
                </c:pt>
                <c:pt idx="91">
                  <c:v>35.527999999999999</c:v>
                </c:pt>
                <c:pt idx="92">
                  <c:v>39.338999999999999</c:v>
                </c:pt>
                <c:pt idx="93">
                  <c:v>28.725999999999999</c:v>
                </c:pt>
                <c:pt idx="94">
                  <c:v>31.248999999999999</c:v>
                </c:pt>
                <c:pt idx="95">
                  <c:v>35.113</c:v>
                </c:pt>
                <c:pt idx="96">
                  <c:v>83.932000000000002</c:v>
                </c:pt>
                <c:pt idx="97">
                  <c:v>78.994</c:v>
                </c:pt>
                <c:pt idx="98">
                  <c:v>78.994</c:v>
                </c:pt>
                <c:pt idx="99">
                  <c:v>81.582999999999998</c:v>
                </c:pt>
                <c:pt idx="100">
                  <c:v>81.582999999999998</c:v>
                </c:pt>
                <c:pt idx="101">
                  <c:v>81.582999999999998</c:v>
                </c:pt>
                <c:pt idx="102">
                  <c:v>89.7</c:v>
                </c:pt>
                <c:pt idx="103">
                  <c:v>94.046999999999997</c:v>
                </c:pt>
                <c:pt idx="104">
                  <c:v>94.046999999999997</c:v>
                </c:pt>
                <c:pt idx="105">
                  <c:v>77.703000000000003</c:v>
                </c:pt>
                <c:pt idx="106">
                  <c:v>78.95</c:v>
                </c:pt>
                <c:pt idx="107">
                  <c:v>79.418000000000006</c:v>
                </c:pt>
                <c:pt idx="108">
                  <c:v>81.814999999999998</c:v>
                </c:pt>
                <c:pt idx="109">
                  <c:v>87.712000000000003</c:v>
                </c:pt>
                <c:pt idx="110">
                  <c:v>89.438999999999993</c:v>
                </c:pt>
                <c:pt idx="111">
                  <c:v>91.08</c:v>
                </c:pt>
                <c:pt idx="112">
                  <c:v>100</c:v>
                </c:pt>
                <c:pt idx="113">
                  <c:v>86.106999999999999</c:v>
                </c:pt>
                <c:pt idx="114">
                  <c:v>100</c:v>
                </c:pt>
                <c:pt idx="115">
                  <c:v>26.968</c:v>
                </c:pt>
                <c:pt idx="116">
                  <c:v>34.606000000000002</c:v>
                </c:pt>
                <c:pt idx="117">
                  <c:v>45.209000000000003</c:v>
                </c:pt>
                <c:pt idx="118">
                  <c:v>54.161999999999999</c:v>
                </c:pt>
                <c:pt idx="119">
                  <c:v>60.026600000000002</c:v>
                </c:pt>
                <c:pt idx="120">
                  <c:v>55.265999999999998</c:v>
                </c:pt>
                <c:pt idx="121">
                  <c:v>54.225999999999999</c:v>
                </c:pt>
                <c:pt idx="122">
                  <c:v>56.31</c:v>
                </c:pt>
                <c:pt idx="123">
                  <c:v>60.76</c:v>
                </c:pt>
                <c:pt idx="124">
                  <c:v>62.180999999999997</c:v>
                </c:pt>
                <c:pt idx="125">
                  <c:v>63.658000000000001</c:v>
                </c:pt>
                <c:pt idx="126">
                  <c:v>65.707999999999998</c:v>
                </c:pt>
                <c:pt idx="127">
                  <c:v>67.488</c:v>
                </c:pt>
                <c:pt idx="128">
                  <c:v>69.954999999999998</c:v>
                </c:pt>
                <c:pt idx="129">
                  <c:v>70.316000000000003</c:v>
                </c:pt>
                <c:pt idx="130">
                  <c:v>59.986499999999999</c:v>
                </c:pt>
                <c:pt idx="131">
                  <c:v>64.138000000000005</c:v>
                </c:pt>
                <c:pt idx="132">
                  <c:v>68.443046912612104</c:v>
                </c:pt>
                <c:pt idx="133">
                  <c:v>86.418151315098299</c:v>
                </c:pt>
                <c:pt idx="134">
                  <c:v>98.324360609530004</c:v>
                </c:pt>
                <c:pt idx="135">
                  <c:v>76.875</c:v>
                </c:pt>
                <c:pt idx="136">
                  <c:v>80.608000000000004</c:v>
                </c:pt>
                <c:pt idx="137">
                  <c:v>84.177889249725297</c:v>
                </c:pt>
                <c:pt idx="138">
                  <c:v>1.76723952</c:v>
                </c:pt>
                <c:pt idx="139">
                  <c:v>11.492448100000001</c:v>
                </c:pt>
                <c:pt idx="140">
                  <c:v>88.243536910364</c:v>
                </c:pt>
                <c:pt idx="141">
                  <c:v>94.047064467561299</c:v>
                </c:pt>
                <c:pt idx="142">
                  <c:v>68.680999999999997</c:v>
                </c:pt>
                <c:pt idx="143">
                  <c:v>83.49</c:v>
                </c:pt>
                <c:pt idx="144">
                  <c:v>78.637</c:v>
                </c:pt>
                <c:pt idx="146" formatCode="0.000">
                  <c:v>88.69</c:v>
                </c:pt>
                <c:pt idx="149" formatCode="0.000">
                  <c:v>96.201999999999998</c:v>
                </c:pt>
                <c:pt idx="150" formatCode="0.000">
                  <c:v>97.53</c:v>
                </c:pt>
                <c:pt idx="151" formatCode="0.000">
                  <c:v>9.1050000000000004</c:v>
                </c:pt>
                <c:pt idx="153" formatCode="0.000">
                  <c:v>93.200999999999993</c:v>
                </c:pt>
                <c:pt idx="155" formatCode="0.000">
                  <c:v>16.631</c:v>
                </c:pt>
                <c:pt idx="156" formatCode="0.000">
                  <c:v>16.631</c:v>
                </c:pt>
                <c:pt idx="157" formatCode="0.000">
                  <c:v>25.585999999999999</c:v>
                </c:pt>
                <c:pt idx="158" formatCode="0.000">
                  <c:v>40.026200000000003</c:v>
                </c:pt>
                <c:pt idx="159" formatCode="0.000">
                  <c:v>64.697000000000003</c:v>
                </c:pt>
                <c:pt idx="160" formatCode="0.000">
                  <c:v>64.697000000000003</c:v>
                </c:pt>
                <c:pt idx="161" formatCode="0.000">
                  <c:v>85.02</c:v>
                </c:pt>
                <c:pt idx="162" formatCode="0.000">
                  <c:v>92.02</c:v>
                </c:pt>
                <c:pt idx="163" formatCode="0.000">
                  <c:v>96.582999999999998</c:v>
                </c:pt>
                <c:pt idx="165" formatCode="0.000">
                  <c:v>98.453999999999994</c:v>
                </c:pt>
                <c:pt idx="166" formatCode="0.000">
                  <c:v>100</c:v>
                </c:pt>
                <c:pt idx="167" formatCode="0.000">
                  <c:v>100</c:v>
                </c:pt>
                <c:pt idx="168" formatCode="0.000">
                  <c:v>50.942999999999998</c:v>
                </c:pt>
                <c:pt idx="169" formatCode="0.000">
                  <c:v>53.287999999999997</c:v>
                </c:pt>
                <c:pt idx="170" formatCode="0.000">
                  <c:v>56.722000000000001</c:v>
                </c:pt>
                <c:pt idx="171" formatCode="0.000">
                  <c:v>59.735999999999997</c:v>
                </c:pt>
                <c:pt idx="172" formatCode="0.000">
                  <c:v>63.177</c:v>
                </c:pt>
                <c:pt idx="173" formatCode="0.000">
                  <c:v>39.17</c:v>
                </c:pt>
                <c:pt idx="174" formatCode="0.000">
                  <c:v>45.08</c:v>
                </c:pt>
                <c:pt idx="175" formatCode="0.000">
                  <c:v>45.08</c:v>
                </c:pt>
                <c:pt idx="176" formatCode="0.000">
                  <c:v>50.45</c:v>
                </c:pt>
                <c:pt idx="177" formatCode="0.000">
                  <c:v>57.93</c:v>
                </c:pt>
                <c:pt idx="178" formatCode="0.000">
                  <c:v>65.56</c:v>
                </c:pt>
                <c:pt idx="179" formatCode="0.000">
                  <c:v>100</c:v>
                </c:pt>
                <c:pt idx="180" formatCode="0.000">
                  <c:v>100</c:v>
                </c:pt>
              </c:numCache>
            </c:numRef>
          </c:val>
          <c:smooth val="0"/>
          <c:extLst>
            <c:ext xmlns:c16="http://schemas.microsoft.com/office/drawing/2014/chart" uri="{C3380CC4-5D6E-409C-BE32-E72D297353CC}">
              <c16:uniqueId val="{00000001-AD16-4421-B8A3-A11543C24E47}"/>
            </c:ext>
          </c:extLst>
        </c:ser>
        <c:dLbls>
          <c:showLegendKey val="0"/>
          <c:showVal val="0"/>
          <c:showCatName val="0"/>
          <c:showSerName val="0"/>
          <c:showPercent val="0"/>
          <c:showBubbleSize val="0"/>
        </c:dLbls>
        <c:smooth val="0"/>
        <c:axId val="1042973312"/>
        <c:axId val="1042973792"/>
      </c:lineChart>
      <c:catAx>
        <c:axId val="104297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2973792"/>
        <c:crosses val="autoZero"/>
        <c:auto val="1"/>
        <c:lblAlgn val="ctr"/>
        <c:lblOffset val="100"/>
        <c:noMultiLvlLbl val="0"/>
      </c:catAx>
      <c:valAx>
        <c:axId val="1042973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2973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266699</xdr:colOff>
      <xdr:row>212</xdr:row>
      <xdr:rowOff>95250</xdr:rowOff>
    </xdr:from>
    <xdr:to>
      <xdr:col>21</xdr:col>
      <xdr:colOff>314324</xdr:colOff>
      <xdr:row>270</xdr:row>
      <xdr:rowOff>190500</xdr:rowOff>
    </xdr:to>
    <xdr:graphicFrame macro="">
      <xdr:nvGraphicFramePr>
        <xdr:cNvPr id="3" name="Chart 2">
          <a:extLst>
            <a:ext uri="{FF2B5EF4-FFF2-40B4-BE49-F238E27FC236}">
              <a16:creationId xmlns:a16="http://schemas.microsoft.com/office/drawing/2014/main" id="{8E38DB08-C43E-65D2-3A14-0503036E1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ahmi_waskita_co_id/Documents/BIM%20-%20INFRA%202/Document/File%20Survey/00%20Survey%20Infra-2/GIS/Form%20Update%20Data%20-%20Infra%20II%20%5bUpdated%5d.xlsx" TargetMode="External"/><Relationship Id="rId2" Type="http://schemas.openxmlformats.org/officeDocument/2006/relationships/externalLinkPath" Target="https://ptwaskita-my.sharepoint.com/personal/fahmi_waskita_co_id/Documents/BIM%20-%20INFRA%202/Document/File%20Survey/00%20Survey%20Infra-2/GIS/Form%20Update%20Data%20-%20Infra%20II%20%5bUpdated%5d.xlsx" TargetMode="External"/><Relationship Id="rId1" Type="http://schemas.openxmlformats.org/officeDocument/2006/relationships/externalLinkPath" Target="/personal/fahmi_waskita_co_id/Documents/BIM%20-%20INFRA%202/Document/File%20Survey/00%20Survey%20Infra-2/GIS/Form%20Update%20Data%20-%20Infra%20II%20%5bUpdated%5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akhqOi0DUaua5trquLP8xxxvX13QwtEh50Vqol2MmiYvxCHYMZJTqvn1YOs8Lnc" itemId="01FRJDP7ABLZ56FQJYVJGJLYYT2N7WJY5J">
      <xxl21:absoluteUrl r:id="rId2"/>
      <xxl21:relativeUrl r:id="rId3"/>
    </xxl21:alternateUrls>
    <sheetNames>
      <sheetName val=".xlsx]Check per Project"/>
      <sheetName val=".xlsx]Alignment"/>
      <sheetName val=".xlsx]Bench Mark"/>
      <sheetName val=".xlsx]Station"/>
      <sheetName val=".xlsx]Soil Investigate"/>
      <sheetName val=".xlsx]Lokasi Project"/>
      <sheetName val=".xlsx]Site Facility"/>
      <sheetName val=".xlsx]Perimeter Project"/>
      <sheetName val=".xlsx]Check List Data"/>
      <sheetName val=".xlsx]Drop Down"/>
      <sheetName val=".xlsx]On Going Project"/>
      <sheetName val=".xlsx]Migrasi Data dari EGDB"/>
      <sheetName val=".xlsx]Sheet1"/>
      <sheetName val=".xlsx]Form_Update_Data___Infr_2"/>
      <sheetName val=".xlsx]Form_Update_Data___Infr_3"/>
      <sheetName val=".xlsx]Form_Update_Data___Infr_4"/>
      <sheetName val=".xlsx]Form_Update_Data___Infr_5"/>
      <sheetName val=".xlsx]Form_Update_Data___Infr_6"/>
      <sheetName val=".xlsx]Form_Update_Data___Infr_7"/>
      <sheetName val=".xlsx]Form_Update_Data___Infr_8"/>
      <sheetName val=".xlsx]Form_Update_Data___Infr_9"/>
      <sheetName val=".xlsx].xlsx].xlsx].xlsx]_xlsx_2"/>
      <sheetName val=".xlsx].xlsx].xlsx].xlsx]_xlsx_3"/>
      <sheetName val=".xlsx].xlsx].xlsx].xlsx]_xlsx_4"/>
      <sheetName val=".xlsx].xlsx].xlsx].xlsx]_xlsx_5"/>
      <sheetName val=".xlsx].xlsx].xlsx].xlsx]_xlsx_6"/>
      <sheetName val=".xlsx].xlsx].xlsx].xlsx]_xlsx_7"/>
      <sheetName val=".xlsx].xlsx].xlsx].xlsx]_xlsx_8"/>
      <sheetName val=".xlsx].xlsx].xlsx].xlsx]_xlsx_9"/>
      <sheetName val=".xlsx].xlsx].xlsx].xlsx]_xls_10"/>
      <sheetName val=".xlsx].xlsx].xlsx].xlsx]_xls_11"/>
      <sheetName val=".xlsx].xlsx].xlsx].xlsx]_xls_12"/>
      <sheetName val=".xlsx].xlsx].xlsx].xlsx]_xls_13"/>
      <sheetName val=".xlsx].xlsx].xlsx].xlsx]_xls_14"/>
      <sheetName val=".xlsx].xlsx].xlsx].xlsx]_xls_15"/>
      <sheetName val=".xlsx].xlsx].xlsx].xlsx]_xls_16"/>
      <sheetName val=".xlsx].xlsx].xlsx].xlsx]_xls_17"/>
      <sheetName val=".xlsx].xlsx].xlsx].xlsx]_xls_18"/>
      <sheetName val=".xlsx].xlsx].xlsx].xlsx]_xls_19"/>
      <sheetName val=".xlsx].xlsx].xlsx].xlsx]_xls_20"/>
      <sheetName val=".xlsx].xlsx].xlsx].xlsx]_xls_21"/>
      <sheetName val=".xlsx].xlsx].xlsx].xlsx]_xls_22"/>
      <sheetName val=".xlsx].xlsx].xlsx].xlsx]_xls_23"/>
      <sheetName val=".xlsx].xlsx].xlsx].xlsx]_xls_24"/>
      <sheetName val=".xlsx].xlsx].xlsx].xlsx]_xls_25"/>
      <sheetName val=".xlsx].xlsx].xlsx].xlsx]_xls_26"/>
      <sheetName val=".xlsx].xlsx].xlsx].xlsx]_xls_27"/>
      <sheetName val=".xlsx].xlsx].xlsx].xlsx]_xls_28"/>
      <sheetName val=".xlsx].xlsx].xlsx].xlsx]_xls_29"/>
      <sheetName val=".xlsx].xlsx].xlsx].xlsx]_xls_30"/>
      <sheetName val=".xlsx].xlsx].xlsx].xlsx]_xls_31"/>
      <sheetName val=".xlsx].xlsx].xlsx].xlsx]_xls_32"/>
      <sheetName val=".xlsx].xlsx].xlsx].xlsx]_xls_33"/>
      <sheetName val=".xlsx].xlsx].xlsx].xlsx]_xls_34"/>
      <sheetName val=".xlsx].xlsx].xlsx].xlsx]_xls_35"/>
      <sheetName val=".xlsx].xlsx].xlsx].xlsx]_xls_36"/>
      <sheetName val=".xlsx].xlsx].xlsx].xlsx]_xls_37"/>
      <sheetName val=".xlsx].xlsx].xlsx].xlsx]_xls_38"/>
      <sheetName val=".xlsx].xlsx].xlsx].xlsx]_xls_39"/>
      <sheetName val=".xlsx].xlsx].xlsx].xlsx]_xls_40"/>
      <sheetName val=".xlsx].xlsx].xlsx].xlsx]_xls_41"/>
      <sheetName val=".xlsx].xlsx].xlsx].xlsx]_xls_42"/>
      <sheetName val=".xlsx].xlsx].xlsx].xlsx]_xls_43"/>
      <sheetName val=".xlsx].xlsx].xlsx].xlsx]_xls_44"/>
      <sheetName val=".xlsx].xlsx].xlsx].xlsx]_xls_45"/>
      <sheetName val=".xlsx].xlsx].xlsx].xlsx]_xls_46"/>
      <sheetName val=".xlsx].xlsx].xlsx].xlsx]_xls_47"/>
      <sheetName val=".xlsx].xlsx].xlsx].xlsx]_xls_48"/>
      <sheetName val=".xlsx].xlsx].xlsx].xlsx]_xls_49"/>
      <sheetName val=".xlsx].xlsx].xlsx].xlsx]_xls_50"/>
      <sheetName val=".xlsx].xlsx].xlsx].xlsx]_xls_51"/>
      <sheetName val=".xlsx].xlsx].xlsx].xlsx]_xls_52"/>
      <sheetName val=".xlsx].xlsx].xlsx].xlsx]_xls_53"/>
      <sheetName val=".xlsx].xlsx].xlsx].xlsx]_xls_54"/>
      <sheetName val=".xlsx].xlsx].xlsx].xlsx]_xls_55"/>
      <sheetName val=".xlsx].xlsx].xlsx].xlsx]_xls_56"/>
      <sheetName val=".xlsx].xlsx].xlsx].xlsx]_xls_57"/>
      <sheetName val=".xlsx].xlsx].xlsx].xlsx]_xls_58"/>
      <sheetName val=".xlsx].xlsx].xlsx].xlsx]_xls_59"/>
      <sheetName val=".xlsx].xlsx].xlsx].xlsx]_xls_60"/>
      <sheetName val=".xlsx].xlsx].xlsx].xlsx]_xls_61"/>
      <sheetName val=".xlsx].xlsx].xlsx].xlsx]_xls_62"/>
      <sheetName val=".xlsx].xlsx].xlsx].xlsx]_xls_63"/>
      <sheetName val=".xlsx].xlsx].xlsx].xlsx]_xls_64"/>
      <sheetName val=".xlsx].xlsx].xlsx].xlsx]_xls_65"/>
      <sheetName val=".xlsx].xlsx].xlsx].xlsx]_xls_66"/>
      <sheetName val=".xlsx].xlsx].xlsx].xlsx]_xls_67"/>
      <sheetName val=".xlsx].xlsx].xlsx].xlsx]_xls_68"/>
      <sheetName val=".xlsx].xlsx].xlsx].xlsx]_xls_69"/>
      <sheetName val=".xlsx].xlsx].xlsx].xlsx]_xls_70"/>
      <sheetName val=".xlsx].xlsx].xlsx].xlsx]_xls_71"/>
      <sheetName val=".xlsx].xlsx].xlsx].xlsx]_xls_72"/>
      <sheetName val=".xlsx].xlsx].xlsx].xlsx]_xls_73"/>
      <sheetName val=".xlsx].xlsx].xlsx].xlsx]_xls_74"/>
      <sheetName val=".xlsx].xlsx].xlsx].xlsx]_xls_75"/>
      <sheetName val=".xlsx].xlsx].xlsx].xlsx]_xls_76"/>
      <sheetName val=".xlsx].xlsx].xlsx].xlsx]_xls_77"/>
      <sheetName val=".xlsx].xlsx].xlsx].xlsx]_xls_78"/>
      <sheetName val=".xlsx].xlsx].xlsx].xlsx]_xls_79"/>
      <sheetName val=".xlsx].xlsx].xlsx].xlsx]_xls_80"/>
      <sheetName val=".xlsx].xlsx].xlsx].xlsx]_xls_81"/>
      <sheetName val=".xlsx].xlsx].xlsx].xlsx]_xls_82"/>
      <sheetName val=".xlsx].xlsx].xlsx].xlsx]_xls_83"/>
      <sheetName val=".xlsx].xlsx].xlsx].xlsx]_xls_84"/>
      <sheetName val=".xlsx].xlsx].xlsx].xlsx]_xls_85"/>
      <sheetName val=".xlsx].xlsx].xlsx].xlsx]_xls_86"/>
      <sheetName val=".xlsx].xlsx].xlsx].xlsx]_xls_87"/>
      <sheetName val=".xlsx].xlsx].xlsx].xlsx]_xls_88"/>
      <sheetName val=".xlsx].xlsx].xlsx].xlsx]_xls_89"/>
      <sheetName val=".xlsx].xlsx].xlsx].xlsx]_xls_90"/>
      <sheetName val=".xlsx].xlsx].xlsx].xlsx]_xls_91"/>
      <sheetName val=".xlsx].xlsx].xlsx].xlsx]_xls_92"/>
      <sheetName val=".xlsx].xlsx].xlsx].xlsx]_xls_93"/>
      <sheetName val=".xlsx].xlsx].xlsx].xlsx]_xls_94"/>
      <sheetName val=".xlsx].xlsx].xlsx].xlsx]_xls_95"/>
      <sheetName val=".xlsx].xlsx].xlsx].xlsx]_xls_96"/>
      <sheetName val=".xlsx].xlsx].xlsx].xlsx]_xls_97"/>
      <sheetName val=".xlsx].xlsx].xlsx].xlsx]_xls_98"/>
      <sheetName val=".xlsx].xlsx].xlsx].xlsx]_xls_99"/>
      <sheetName val=".xlsx].xlsx].xlsx].xlsx]_xl_100"/>
      <sheetName val=".xlsx].xlsx].xlsx].xlsx]_xl_101"/>
      <sheetName val=".xlsx].xlsx].xlsx].xlsx]_xl_102"/>
      <sheetName val=".xlsx].xlsx].xlsx].xlsx]_xl_103"/>
      <sheetName val=".xlsx].xlsx].xlsx].xlsx]_xl_104"/>
      <sheetName val=".xlsx].xlsx].xlsx].xlsx]_xl_105"/>
      <sheetName val=".xlsx].xlsx].xlsx].xlsx]_xl_106"/>
      <sheetName val=".xlsx].xlsx].xlsx].xlsx]_xl_107"/>
      <sheetName val=".xlsx].xlsx].xlsx].xlsx]_xl_108"/>
      <sheetName val=".xlsx].xlsx].xlsx].xlsx]_xl_109"/>
      <sheetName val=".xlsx].xlsx].xlsx].xlsx]_xl_110"/>
      <sheetName val=".xlsx].xlsx].xlsx].xlsx]_xl_111"/>
      <sheetName val=".xlsx].xlsx].xlsx].xlsx]_xl_112"/>
      <sheetName val=".xlsx].xlsx].xlsx].xlsx]_xl_113"/>
      <sheetName val=".xlsx].xlsx].xlsx].xlsx]_xl_114"/>
      <sheetName val=".xlsx].xlsx].xlsx].xlsx]_xl_115"/>
      <sheetName val=".xlsx].xlsx].xlsx].xlsx]_xl_116"/>
      <sheetName val=".xlsx].xlsx].xlsx].xlsx]_xl_117"/>
      <sheetName val=".xlsx].xlsx].xlsx].xlsx]_xl_118"/>
      <sheetName val=".xlsx].xlsx].xlsx].xlsx]_xl_119"/>
      <sheetName val=".xlsx].xlsx].xlsx].xlsx]_xl_120"/>
      <sheetName val=".xlsx].xlsx].xlsx].xlsx]_xl_121"/>
      <sheetName val=".xlsx].xlsx].xlsx].xlsx]_xl_122"/>
      <sheetName val=".xlsx].xlsx].xlsx].xlsx]_xl_123"/>
      <sheetName val=".xlsx].xlsx].xlsx].xlsx]_xl_124"/>
      <sheetName val=".xlsx].xlsx].xlsx].xlsx]_xl_125"/>
      <sheetName val=".xlsx].xlsx].xlsx].xlsx]_xl_126"/>
      <sheetName val=".xlsx].xlsx].xlsx].xlsx]_xl_127"/>
      <sheetName val=".xlsx].xlsx].xlsx].xlsx]_xl_128"/>
      <sheetName val=".xlsx].xlsx].xlsx].xlsx]_xl_129"/>
      <sheetName val=".xlsx].xlsx].xlsx].xlsx]_xl_130"/>
      <sheetName val=".xlsx].xlsx].xlsx].xlsx]_xl_131"/>
      <sheetName val=".xlsx].xlsx].xlsx].xlsx]_xl_132"/>
      <sheetName val=".xlsx].xlsx].xlsx].xlsx]_xl_133"/>
      <sheetName val=".xlsx].xlsx].xlsx].xlsx]_xl_134"/>
      <sheetName val=".xlsx].xlsx].xlsx].xlsx]_xl_135"/>
      <sheetName val=".xlsx].xlsx].xlsx].xlsx]_xl_136"/>
      <sheetName val=".xlsx].xlsx].xlsx].xlsx]_xl_137"/>
      <sheetName val=".xlsx].xlsx].xlsx].xlsx]_xl_138"/>
      <sheetName val=".xlsx].xlsx].xlsx].xlsx]_xl_139"/>
      <sheetName val=".xlsx].xlsx].xlsx].xlsx]_xl_140"/>
      <sheetName val=".xlsx].xlsx].xlsx].xlsx]_xl_141"/>
      <sheetName val=".xlsx].xlsx].xlsx].xlsx]_xl_142"/>
      <sheetName val=".xlsx].xlsx].xlsx].xlsx]_xl_143"/>
      <sheetName val=".xlsx].xlsx].xlsx].xlsx]_xl_144"/>
      <sheetName val=".xlsx].xlsx].xlsx].xlsx]_xl_145"/>
      <sheetName val=".xlsx].xlsx].xlsx].xlsx]_xl_146"/>
      <sheetName val=".xlsx].xlsx].xlsx].xlsx]_xl_147"/>
      <sheetName val=".xlsx].xlsx].xlsx].xlsx]_xl_148"/>
      <sheetName val=".xlsx].xlsx].xlsx].xlsx]_xl_149"/>
      <sheetName val=".xlsx].xlsx].xlsx].xlsx]_xl_150"/>
      <sheetName val=".xlsx].xlsx].xlsx].xlsx]_xl_151"/>
      <sheetName val=".xlsx].xlsx].xlsx].xlsx]_xl_152"/>
      <sheetName val=".xlsx].xlsx].xlsx].xlsx]_xl_153"/>
      <sheetName val=".xlsx].xlsx].xlsx].xlsx]_xl_154"/>
      <sheetName val=".xlsx].xlsx].xlsx].xlsx]_xl_155"/>
      <sheetName val=".xlsx].xlsx].xlsx].xlsx]_xl_156"/>
      <sheetName val=".xlsx].xlsx].xlsx].xlsx]_xl_157"/>
      <sheetName val=".xlsx].xlsx].xlsx].xlsx]_xl_158"/>
      <sheetName val=".xlsx].xlsx].xlsx].xlsx]_xl_159"/>
      <sheetName val=".xlsx].xlsx].xlsx].xlsx]_xl_160"/>
      <sheetName val=".xlsx].xlsx].xlsx].xlsx]_xl_161"/>
      <sheetName val=".xlsx].xlsx].xlsx].xlsx]_xl_162"/>
      <sheetName val=".xlsx].xlsx].xlsx].xlsx]_xl_163"/>
      <sheetName val=".xlsx].xlsx].xlsx].xlsx]_xl_164"/>
      <sheetName val=".xlsx].xlsx].xlsx].xlsx]_xl_165"/>
      <sheetName val=".xlsx].xlsx].xlsx].xlsx]_xl_166"/>
      <sheetName val=".xlsx].xlsx].xlsx].xlsx]_xl_167"/>
      <sheetName val=".xlsx].xlsx].xlsx].xlsx]_xl_168"/>
      <sheetName val=".xlsx].xlsx].xlsx].xlsx]_xl_169"/>
      <sheetName val=".xlsx].xlsx].xlsx].xlsx]_xl_170"/>
      <sheetName val=".xlsx].xlsx].xlsx].xlsx]_xl_171"/>
      <sheetName val=".xlsx].xlsx].xlsx].xlsx]_xl_172"/>
      <sheetName val=".xlsx].xlsx].xlsx].xlsx]_xl_173"/>
      <sheetName val=".xlsx].xlsx].xlsx].xlsx]_xl_174"/>
      <sheetName val=".xlsx].xlsx].xlsx].xlsx]_xl_175"/>
      <sheetName val=".xlsx].xlsx].xlsx].xlsx]_xl_176"/>
      <sheetName val=".xlsx].xlsx].xlsx].xlsx]_xl_177"/>
      <sheetName val=".xlsx].xlsx].xlsx].xlsx]_xl_178"/>
      <sheetName val=".xlsx].xlsx].xlsx].xlsx]_xl_179"/>
      <sheetName val=".xlsx].xlsx].xlsx].xlsx]_xl_180"/>
      <sheetName val=".xlsx].xlsx].xlsx].xlsx]_xl_181"/>
      <sheetName val=".xlsx].xlsx].xlsx].xlsx]_xl_182"/>
      <sheetName val=".xlsx].xlsx].xlsx].xlsx]_xl_183"/>
      <sheetName val=".xlsx].xlsx].xlsx].xlsx]_xl_184"/>
      <sheetName val=".xlsx].xlsx].xlsx].xlsx]_xl_185"/>
      <sheetName val=".xlsx].xlsx].xlsx].xlsx]_xl_186"/>
      <sheetName val=".xlsx].xlsx].xlsx].xlsx]_xl_187"/>
      <sheetName val=".xlsx].xlsx].xlsx].xlsx]_xl_188"/>
      <sheetName val=".xlsx].xlsx].xlsx].xlsx]_xl_189"/>
      <sheetName val=".xlsx].xlsx].xlsx].xlsx]_xl_190"/>
      <sheetName val=".xlsx].xlsx].xlsx].xlsx]_xl_191"/>
      <sheetName val=".xlsx].xlsx].xlsx].xlsx]_xl_192"/>
      <sheetName val=".xlsx].xlsx].xlsx].xlsx]_xl_193"/>
      <sheetName val=".xlsx].xlsx].xlsx].xlsx]_xl_194"/>
      <sheetName val=".xlsx].xlsx].xlsx].xlsx]_xl_195"/>
      <sheetName val=".xlsx].xlsx].xlsx].xlsx]_xl_196"/>
      <sheetName val=".xlsx].xlsx].xlsx].xlsx]_xl_197"/>
      <sheetName val=".xlsx].xlsx].xlsx].xlsx]_xl_198"/>
      <sheetName val=".xlsx].xlsx].xlsx].xlsx]_xl_199"/>
      <sheetName val=".xlsx].xlsx].xlsx].xlsx]_xl_200"/>
      <sheetName val=".xlsx].xlsx].xlsx].xlsx]_xl_201"/>
      <sheetName val=".xlsx].xlsx].xlsx].xlsx]_xl_202"/>
      <sheetName val=".xlsx].xlsx].xlsx].xlsx]_xl_203"/>
      <sheetName val=".xlsx].xlsx].xlsx].xlsx]_xl_204"/>
      <sheetName val=".xlsx].xlsx].xlsx].xlsx]_xl_205"/>
      <sheetName val=".xlsx].xlsx].xlsx].xlsx]_xl_206"/>
      <sheetName val=".xlsx].xlsx].xlsx].xlsx]_xl_207"/>
      <sheetName val=".xlsx].xlsx].xlsx].xlsx]_xl_208"/>
      <sheetName val=".xlsx].xlsx].xlsx].xlsx]_xl_209"/>
      <sheetName val=".xlsx].xlsx].xlsx].xlsx]_xl_210"/>
      <sheetName val=".xlsx].xlsx].xlsx].xlsx]_xl_211"/>
      <sheetName val=".xlsx].xlsx].xlsx].xlsx]_xl_212"/>
      <sheetName val=".xlsx].xlsx].xlsx].xlsx]_xl_213"/>
      <sheetName val=".xlsx].xlsx].xlsx].xlsx]_xl_214"/>
      <sheetName val=".xlsx].xlsx].xlsx].xlsx]_xl_215"/>
      <sheetName val=".xlsx].xlsx].xlsx].xlsx]_xl_216"/>
      <sheetName val=".xlsx].xlsx].xlsx].xlsx]_xl_217"/>
      <sheetName val=".xlsx].xlsx].xlsx].xlsx]_xl_218"/>
      <sheetName val=".xlsx].xlsx].xlsx].xlsx]_xl_219"/>
      <sheetName val=".xlsx].xlsx].xlsx].xlsx]_xl_220"/>
      <sheetName val=".xlsx].xlsx].xlsx].xlsx]_xl_221"/>
      <sheetName val=".xlsx].xlsx].xlsx].xlsx]_xl_222"/>
      <sheetName val=".xlsx].xlsx].xlsx].xlsx]_xl_223"/>
      <sheetName val=".xlsx].xlsx].xlsx].xlsx]_xl_224"/>
      <sheetName val=".xlsx].xlsx].xlsx].xlsx]_xl_225"/>
      <sheetName val=".xlsx].xlsx].xlsx].xlsx]_xl_226"/>
      <sheetName val=".xlsx].xlsx].xlsx].xlsx]_xl_227"/>
      <sheetName val=".xlsx].xlsx].xlsx].xlsx]_xl_228"/>
      <sheetName val=".xlsx].xlsx].xlsx].xlsx]_xl_229"/>
      <sheetName val=".xlsx].xlsx].xlsx].xlsx]_xl_230"/>
      <sheetName val=".xlsx].xlsx].xlsx].xlsx]_xl_231"/>
      <sheetName val=".xlsx].xlsx].xlsx].xlsx]_xl_232"/>
      <sheetName val=".xlsx].xlsx].xlsx].xlsx]_xl_233"/>
      <sheetName val=".xlsx].xlsx].xlsx].xlsx]_xl_234"/>
      <sheetName val=".xlsx].xlsx].xlsx].xlsx]_xl_235"/>
      <sheetName val=".xlsx].xlsx].xlsx].xlsx]_xl_236"/>
      <sheetName val=".xlsx].xlsx].xlsx].xlsx]_xl_237"/>
      <sheetName val=".xlsx].xlsx].xlsx].xlsx]_xl_238"/>
      <sheetName val=".xlsx].xlsx].xlsx].xlsx]_xl_239"/>
      <sheetName val=".xlsx].xlsx].xlsx].xlsx]_xl_240"/>
      <sheetName val=".xlsx].xlsx].xlsx].xlsx]_xl_241"/>
      <sheetName val=".xlsx].xlsx].xlsx].xlsx]_xl_242"/>
      <sheetName val=".xlsx].xlsx].xlsx].xlsx]_xl_243"/>
      <sheetName val=".xlsx].xlsx].xlsx].xlsx]_xl_244"/>
      <sheetName val=".xlsx].xlsx].xlsx].xlsx]_xl_245"/>
      <sheetName val=".xlsx].xlsx].xlsx].xlsx]_xl_246"/>
      <sheetName val=".xlsx].xlsx].xlsx].xlsx]_xl_247"/>
      <sheetName val=".xlsx].xlsx].xlsx].xlsx]_xl_248"/>
      <sheetName val=".xlsx].xlsx].xlsx].xlsx]_xl_249"/>
      <sheetName val=".xlsx].xlsx].xlsx].xlsx]_xl_250"/>
      <sheetName val=".xlsx].xlsx].xlsx].xlsx]_xl_251"/>
      <sheetName val=".xlsx].xlsx].xlsx].xlsx]_xl_252"/>
      <sheetName val=".xlsx].xlsx].xlsx].xlsx]_xl_253"/>
      <sheetName val=".xlsx].xlsx].xlsx].xlsx]_xl_254"/>
      <sheetName val=".xlsx].xlsx].xlsx].xlsx]_xl_255"/>
      <sheetName val=".xlsx].xlsx].xlsx].xlsx]_xl_256"/>
      <sheetName val=".xlsx].xlsx].xlsx].xlsx]_xl_257"/>
      <sheetName val=".xlsx].xlsx].xlsx].xlsx]_xl_258"/>
      <sheetName val=".xlsx].xlsx].xlsx].xlsx]_xl_259"/>
      <sheetName val=".xlsx].xlsx].xlsx].xlsx]_xl_260"/>
      <sheetName val=".xlsx].xlsx].xlsx].xlsx]_xl_261"/>
      <sheetName val=".xlsx].xlsx].xlsx].xlsx]_xl_262"/>
      <sheetName val=".xlsx].xlsx].xlsx].xlsx]_xl_263"/>
      <sheetName val=".xlsx].xlsx].xlsx].xlsx]_xl_264"/>
      <sheetName val=".xlsx].xlsx].xlsx].xlsx]_xl_265"/>
      <sheetName val=".xlsx].xlsx].xlsx].xlsx]_xl_266"/>
      <sheetName val=".xlsx].xlsx].xlsx].xlsx]_xl_267"/>
      <sheetName val=".xlsx].xlsx].xlsx].xlsx]_xl_268"/>
      <sheetName val=".xlsx].xlsx].xlsx].xlsx]_xl_269"/>
      <sheetName val=".xlsx].xlsx].xlsx].xlsx]_xl_270"/>
      <sheetName val=".xlsx].xlsx].xlsx].xlsx]_xl_271"/>
      <sheetName val=".xlsx].xlsx].xlsx].xlsx]_xl_272"/>
      <sheetName val=".xlsx].xlsx].xlsx].xlsx]_xl_273"/>
      <sheetName val=".xlsx].xlsx].xlsx].xlsx]_xl_274"/>
      <sheetName val=".xlsx].xlsx].xlsx].xlsx]_xl_275"/>
      <sheetName val=".xlsx].xlsx].xlsx].xlsx]_xl_276"/>
      <sheetName val=".xlsx].xlsx].xlsx].xlsx]_xl_277"/>
      <sheetName val=".xlsx].xlsx].xlsx].xlsx]_xl_278"/>
      <sheetName val=".xlsx].xlsx].xlsx].xlsx]_xl_279"/>
      <sheetName val=".xlsx].xlsx].xlsx].xlsx]_xl_280"/>
      <sheetName val=".xlsx].xlsx].xlsx].xlsx]_xl_281"/>
      <sheetName val=".xlsx].xlsx].xlsx].xlsx]_xl_282"/>
      <sheetName val=".xlsx].xlsx].xlsx].xlsx]_xl_283"/>
      <sheetName val=".xlsx].xlsx].xlsx].xlsx]_xl_284"/>
      <sheetName val=".xlsx].xlsx].xlsx].xlsx]_xl_285"/>
      <sheetName val=".xlsx].xlsx].xlsx].xlsx]_xl_286"/>
      <sheetName val=".xlsx].xlsx].xlsx].xlsx]_xl_287"/>
      <sheetName val=".xlsx].xlsx].xlsx].xlsx]_xl_288"/>
      <sheetName val=".xlsx].xlsx].xlsx].xlsx]_xl_289"/>
      <sheetName val=".xlsx].xlsx].xlsx].xlsx]_xl_290"/>
      <sheetName val=".xlsx].xlsx].xlsx].xlsx]_xl_291"/>
      <sheetName val=".xlsx].xlsx].xlsx].xlsx]_xl_292"/>
      <sheetName val=".xlsx].xlsx].xlsx].xlsx]_xl_293"/>
      <sheetName val=".xlsx].xlsx].xlsx].xlsx]_xl_294"/>
      <sheetName val=".xlsx].xlsx].xlsx].xlsx]_xl_295"/>
      <sheetName val=".xlsx].xlsx].xlsx].xlsx]_xl_296"/>
      <sheetName val=".xlsx].xlsx].xlsx].xlsx]_xl_297"/>
      <sheetName val=".xlsx].xlsx].xlsx].xlsx]_xl_298"/>
      <sheetName val=".xlsx].xlsx].xlsx].xlsx]_xl_299"/>
      <sheetName val=".xlsx].xlsx].xlsx].xlsx]_xl_300"/>
      <sheetName val=".xlsx].xlsx].xlsx].xlsx]_xl_301"/>
      <sheetName val=".xlsx].xlsx].xlsx].xlsx]_xl_302"/>
      <sheetName val=".xlsx].xlsx].xlsx].xlsx]_xl_303"/>
      <sheetName val=".xlsx].xlsx].xlsx].xlsx]_xl_304"/>
      <sheetName val=".xlsx].xlsx].xlsx].xlsx]_xl_305"/>
      <sheetName val=".xlsx].xlsx].xlsx].xlsx]_xl_306"/>
      <sheetName val=".xlsx].xlsx].xlsx].xlsx]_xl_307"/>
      <sheetName val=".xlsx].xlsx].xlsx].xlsx]_xl_308"/>
      <sheetName val=".xlsx].xlsx].xlsx].xlsx]_xl_309"/>
      <sheetName val=".xlsx].xlsx].xlsx].xlsx]_xl_310"/>
      <sheetName val=".xlsx].xlsx].xlsx].xlsx]_xl_311"/>
      <sheetName val=".xlsx].xlsx].xlsx].xlsx]_xl_312"/>
      <sheetName val=".xlsx].xlsx].xlsx].xlsx]_xl_313"/>
      <sheetName val=".xlsx].xlsx].xlsx].xlsx]_xl_314"/>
      <sheetName val=".xlsx].xlsx].xlsx].xlsx]_xl_315"/>
      <sheetName val=".xlsx].xlsx].xlsx].xlsx]_xl_316"/>
      <sheetName val=".xlsx].xlsx].xlsx].xlsx]_xl_317"/>
      <sheetName val=".xlsx].xlsx].xlsx].xlsx]_xl_318"/>
      <sheetName val=".xlsx].xlsx].xlsx].xlsx]_xl_319"/>
      <sheetName val=".xlsx].xlsx].xlsx].xlsx]_xl_320"/>
      <sheetName val=".xlsx].xlsx].xlsx].xlsx]_xl_321"/>
      <sheetName val=".xlsx].xlsx].xlsx].xlsx]_xl_322"/>
      <sheetName val=".xlsx].xlsx].xlsx].xlsx]_xl_323"/>
      <sheetName val=".xlsx].xlsx].xlsx].xlsx]_xl_324"/>
      <sheetName val=".xlsx].xlsx].xlsx].xlsx]_xl_325"/>
      <sheetName val=".xlsx].xlsx].xlsx].xlsx]_xl_326"/>
      <sheetName val=".xlsx].xlsx].xlsx].xlsx]_xl_327"/>
      <sheetName val=".xlsx].xlsx].xlsx].xlsx]_xl_328"/>
      <sheetName val=".xlsx].xlsx].xlsx].xlsx]_xl_329"/>
      <sheetName val=".xlsx].xlsx].xlsx].xlsx]_xl_330"/>
      <sheetName val=".xlsx].xlsx].xlsx].xlsx]_xl_331"/>
      <sheetName val=".xlsx].xlsx].xlsx].xlsx]_xl_332"/>
      <sheetName val=".xlsx].xlsx].xlsx].xlsx]_xl_333"/>
      <sheetName val=".xlsx].xlsx].xlsx].xlsx]_xl_334"/>
      <sheetName val=".xlsx].xlsx].xlsx].xlsx]_xl_335"/>
      <sheetName val=".xlsx].xlsx].xlsx].xlsx]_xl_336"/>
      <sheetName val=".xlsx].xlsx].xlsx].xlsx]_xl_337"/>
      <sheetName val=".xlsx].xlsx].xlsx].xlsx]_xl_338"/>
      <sheetName val=".xlsx].xlsx].xlsx].xlsx]_xl_339"/>
      <sheetName val=".xlsx].xlsx].xlsx].xlsx]_xl_340"/>
      <sheetName val=".xlsx].xlsx].xlsx].xlsx]_xl_341"/>
      <sheetName val=".xlsx].xlsx].xlsx].xlsx]_xl_342"/>
      <sheetName val=".xlsx].xlsx].xlsx].xlsx]_xl_343"/>
      <sheetName val=".xlsx].xlsx].xlsx].xlsx]_xl_344"/>
      <sheetName val=".xlsx].xlsx].xlsx].xlsx]_xl_345"/>
      <sheetName val=".xlsx].xlsx].xlsx].xlsx]_xl_346"/>
      <sheetName val=".xlsx].xlsx].xlsx].xlsx]_xl_347"/>
      <sheetName val=".xlsx].xlsx].xlsx].xlsx]_xl_348"/>
      <sheetName val=".xlsx].xlsx].xlsx].xlsx]_xl_349"/>
      <sheetName val=".xlsx].xlsx].xlsx].xlsx]_xl_350"/>
      <sheetName val=".xlsx].xlsx].xlsx].xlsx]_xl_351"/>
      <sheetName val=".xlsx].xlsx].xlsx].xlsx]_xl_352"/>
      <sheetName val=".xlsx].xlsx].xlsx].xlsx]_xl_353"/>
      <sheetName val=".xlsx].xlsx].xlsx].xlsx]_xl_354"/>
      <sheetName val=".xlsx].xlsx].xlsx].xlsx]_xl_355"/>
      <sheetName val=".xlsx].xlsx].xlsx].xlsx]_xl_356"/>
      <sheetName val=".xlsx].xlsx].xlsx].xlsx]_xl_357"/>
      <sheetName val=".xlsx].xlsx].xlsx].xlsx]_xl_358"/>
      <sheetName val=".xlsx].xlsx].xlsx].xlsx]_xl_359"/>
      <sheetName val=".xlsx].xlsx].xlsx].xlsx]_xl_360"/>
      <sheetName val=".xlsx].xlsx].xlsx].xlsx]_xl_361"/>
      <sheetName val=".xlsx].xlsx].xlsx].xlsx]_xl_362"/>
      <sheetName val=".xlsx].xlsx].xlsx].xlsx]_xl_363"/>
      <sheetName val=".xlsx].xlsx].xlsx].xlsx]_xl_364"/>
      <sheetName val=".xlsx].xlsx].xlsx].xlsx]_xl_365"/>
      <sheetName val=".xlsx].xlsx].xlsx].xlsx]_xl_366"/>
      <sheetName val=".xlsx].xlsx].xlsx].xlsx]_xl_367"/>
      <sheetName val=".xlsx].xlsx].xlsx].xlsx]_xl_368"/>
      <sheetName val=".xlsx].xlsx].xlsx].xlsx]_xl_369"/>
      <sheetName val=".xlsx].xlsx].xlsx].xlsx]_xl_370"/>
      <sheetName val=".xlsx].xlsx].xlsx].xlsx]_xl_371"/>
      <sheetName val=".xlsx].xlsx].xlsx].xlsx]_xl_372"/>
      <sheetName val=".xlsx].xlsx].xlsx].xlsx]_xl_373"/>
      <sheetName val=".xlsx].xlsx].xlsx].xlsx]_xl_374"/>
      <sheetName val=".xlsx].xlsx].xlsx].xlsx]_xl_375"/>
      <sheetName val=".xlsx].xlsx].xlsx].xlsx]_xl_376"/>
      <sheetName val=".xlsx].xlsx].xlsx].xlsx]_xl_377"/>
      <sheetName val=".xlsx].xlsx].xlsx].xlsx]_xl_378"/>
      <sheetName val=".xlsx].xlsx].xlsx].xlsx]_xl_379"/>
      <sheetName val=".xlsx].xlsx].xlsx].xlsx]_xl_380"/>
      <sheetName val=".xlsx].xlsx].xlsx].xlsx]_xl_381"/>
      <sheetName val=".xlsx].xlsx].xlsx].xlsx]_xl_382"/>
      <sheetName val=".xlsx].xlsx].xlsx].xlsx]_xl_383"/>
      <sheetName val=".xlsx].xlsx].xlsx].xlsx]_xl_384"/>
      <sheetName val=".xlsx].xlsx].xlsx].xlsx]_xl_385"/>
      <sheetName val=".xlsx].xlsx].xlsx].xlsx]_xl_386"/>
      <sheetName val=".xlsx].xlsx].xlsx].xlsx]_xl_387"/>
      <sheetName val=".xlsx].xlsx].xlsx].xlsx]_xl_388"/>
      <sheetName val=".xlsx].xlsx].xlsx].xlsx]_xl_389"/>
      <sheetName val=".xlsx].xlsx].xlsx].xlsx]_xl_390"/>
      <sheetName val=".xlsx].xlsx].xlsx].xlsx]_xl_391"/>
      <sheetName val=".xlsx].xlsx].xlsx].xlsx]_xl_392"/>
      <sheetName val=".xlsx].xlsx].xlsx].xlsx]_xl_393"/>
      <sheetName val=".xlsx].xlsx].xlsx].xlsx]_xl_394"/>
      <sheetName val=".xlsx].xlsx].xlsx].xlsx]_xl_395"/>
      <sheetName val=".xlsx].xlsx].xlsx].xlsx]_xl_396"/>
      <sheetName val=".xlsx].xlsx].xlsx].xlsx]_xl_397"/>
      <sheetName val=".xlsx].xlsx].xlsx].xlsx]_xl_398"/>
      <sheetName val=".xlsx].xlsx].xlsx].xlsx]_xl_399"/>
      <sheetName val=".xlsx].xlsx].xlsx].xlsx]_xl_400"/>
      <sheetName val=".xlsx].xlsx].xlsx].xlsx]_xl_401"/>
      <sheetName val=".xlsx].xlsx].xlsx].xlsx]_xl_402"/>
      <sheetName val=".xlsx].xlsx].xlsx].xlsx]_xl_403"/>
      <sheetName val=".xlsx].xlsx].xlsx].xlsx]_xl_404"/>
      <sheetName val=".xlsx].xlsx].xlsx].xlsx]_xl_405"/>
      <sheetName val=".xlsx].xlsx].xlsx].xlsx]_xl_406"/>
      <sheetName val=".xlsx].xlsx].xlsx].xlsx]_xl_407"/>
      <sheetName val=".xlsx].xlsx].xlsx].xlsx]_xl_408"/>
      <sheetName val=".xlsx].xlsx].xlsx].xlsx]_xl_409"/>
      <sheetName val=".xlsx].xlsx].xlsx].xlsx]_xl_410"/>
      <sheetName val=".xlsx].xlsx].xlsx].xlsx]_xl_411"/>
      <sheetName val=".xlsx].xlsx].xlsx].xlsx]_xl_412"/>
      <sheetName val=".xlsx].xlsx].xlsx].xlsx]_xl_413"/>
      <sheetName val=".xlsx].xlsx].xlsx].xlsx]_xl_414"/>
      <sheetName val=".xlsx].xlsx].xlsx].xlsx]_xl_415"/>
      <sheetName val=".xlsx].xlsx].xlsx].xlsx]_xl_416"/>
      <sheetName val=".xlsx].xlsx].xlsx].xlsx]_xl_417"/>
      <sheetName val=".xlsx].xlsx].xlsx].xlsx]_xl_418"/>
      <sheetName val=".xlsx].xlsx].xlsx].xlsx]_xl_419"/>
      <sheetName val=".xlsx].xlsx].xlsx].xlsx]_xl_420"/>
      <sheetName val=".xlsx].xlsx].xlsx].xlsx]_xl_421"/>
      <sheetName val=".xlsx].xlsx].xlsx].xlsx]_xl_422"/>
      <sheetName val=".xlsx].xlsx].xlsx].xlsx]_xl_423"/>
      <sheetName val=".xlsx].xlsx].xlsx].xlsx]_xl_424"/>
      <sheetName val=".xlsx].xlsx].xlsx].xlsx]_xl_425"/>
      <sheetName val=".xlsx].xlsx].xlsx].xlsx]_xl_426"/>
      <sheetName val=".xlsx].xlsx].xlsx].xlsx]_xl_427"/>
      <sheetName val=".xlsx].xlsx].xlsx].xlsx]_xl_428"/>
      <sheetName val=".xlsx].xlsx].xlsx].xlsx]_xl_429"/>
      <sheetName val=".xlsx].xlsx].xlsx].xlsx]_xl_430"/>
      <sheetName val=".xlsx].xlsx].xlsx].xlsx]_xl_431"/>
      <sheetName val=".xlsx].xlsx].xlsx].xlsx]_xl_432"/>
      <sheetName val=".xlsx].xlsx].xlsx].xlsx]_xl_433"/>
      <sheetName val=".xlsx].xlsx].xlsx].xlsx]_xl_434"/>
      <sheetName val=".xlsx].xlsx].xlsx].xlsx]_xl_435"/>
      <sheetName val=".xlsx].xlsx].xlsx].xlsx]_xl_436"/>
      <sheetName val=".xlsx].xlsx].xlsx].xlsx]_xl_437"/>
      <sheetName val=".xlsx].xlsx].xlsx].xlsx]_xl_438"/>
      <sheetName val=".xlsx].xlsx].xlsx].xlsx]_xl_439"/>
      <sheetName val=".xlsx].xlsx].xlsx].xlsx]_xl_440"/>
      <sheetName val=".xlsx].xlsx].xlsx].xlsx]_xl_441"/>
      <sheetName val=".xlsx].xlsx].xlsx].xlsx]_xl_442"/>
      <sheetName val=".xlsx].xlsx].xlsx].xlsx]_xl_443"/>
      <sheetName val=".xlsx].xlsx].xlsx].xlsx]_xl_444"/>
      <sheetName val=".xlsx].xlsx].xlsx].xlsx]_xl_445"/>
      <sheetName val=".xlsx].xlsx].xlsx].xlsx]_xl_446"/>
      <sheetName val=".xlsx].xlsx].xlsx].xlsx]_xl_447"/>
      <sheetName val=".xlsx].xlsx].xlsx].xlsx]_xl_448"/>
      <sheetName val=".xlsx].xlsx].xlsx].xlsx]_xl_449"/>
      <sheetName val=".xlsx].xlsx].xlsx].xlsx]_xl_450"/>
      <sheetName val=".xlsx].xlsx].xlsx].xlsx]_xl_451"/>
      <sheetName val=".xlsx].xlsx].xlsx].xlsx]_xl_452"/>
      <sheetName val=".xlsx].xlsx].xlsx].xlsx]_xl_453"/>
      <sheetName val=".xlsx].xlsx].xlsx].xlsx]_xl_454"/>
      <sheetName val=".xlsx].xlsx].xlsx].xlsx]_xl_455"/>
      <sheetName val=".xlsx].xlsx].xlsx].xlsx]_xl_456"/>
      <sheetName val=".xlsx].xlsx].xlsx].xlsx]_xl_457"/>
      <sheetName val=".xlsx].xlsx].xlsx].xlsx]_xl_458"/>
      <sheetName val=".xlsx].xlsx].xlsx].xlsx]_xl_459"/>
      <sheetName val=".xlsx].xlsx].xlsx].xlsx]_xl_460"/>
      <sheetName val=".xlsx].xlsx].xlsx].xlsx]_xl_461"/>
      <sheetName val=".xlsx].xlsx].xlsx].xlsx]_xl_462"/>
      <sheetName val=".xlsx].xlsx].xlsx].xlsx]_xl_463"/>
      <sheetName val=".xlsx].xlsx].xlsx].xlsx]_xl_464"/>
      <sheetName val=".xlsx].xlsx].xlsx].xlsx]_xl_465"/>
      <sheetName val=".xlsx].xlsx].xlsx].xlsx]_xl_466"/>
      <sheetName val=".xlsx].xlsx].xlsx].xlsx]_xl_467"/>
      <sheetName val=".xlsx].xlsx].xlsx].xlsx]_xl_468"/>
      <sheetName val=".xlsx].xlsx].xlsx].xlsx]_xl_469"/>
      <sheetName val=".xlsx].xlsx].xlsx].xlsx]_xl_470"/>
      <sheetName val=".xlsx].xlsx].xlsx].xlsx]_xl_471"/>
      <sheetName val=".xlsx].xlsx].xlsx].xlsx]_xl_472"/>
      <sheetName val=".xlsx].xlsx].xlsx].xlsx]_xl_473"/>
      <sheetName val=".xlsx].xlsx].xlsx].xlsx]_xl_474"/>
      <sheetName val=".xlsx].xlsx].xlsx].xlsx]_xl_475"/>
      <sheetName val=".xlsx].xlsx].xlsx].xlsx]_xl_476"/>
      <sheetName val=".xlsx].xlsx].xlsx].xlsx]_xl_477"/>
      <sheetName val=".xlsx].xlsx].xlsx].xlsx]_xl_478"/>
      <sheetName val=".xlsx].xlsx].xlsx].xlsx]_xl_479"/>
      <sheetName val=".xlsx].xlsx].xlsx].xlsx]_xl_480"/>
      <sheetName val=".xlsx].xlsx].xlsx].xlsx]_xl_481"/>
      <sheetName val=".xlsx].xlsx].xlsx].xlsx]_xl_482"/>
      <sheetName val=".xlsx].xlsx].xlsx].xlsx]_xl_483"/>
      <sheetName val=".xlsx].xlsx].xlsx].xlsx]_xl_484"/>
      <sheetName val=".xlsx].xlsx].xlsx].xlsx]_xl_485"/>
      <sheetName val=".xlsx].xlsx].xlsx].xlsx]_xl_486"/>
      <sheetName val=".xlsx].xlsx].xlsx].xlsx]_xl_487"/>
      <sheetName val=".xlsx].xlsx].xlsx].xlsx]_xl_488"/>
      <sheetName val=".xlsx].xlsx].xlsx].xlsx]_xl_489"/>
      <sheetName val=".xlsx].xlsx].xlsx].xlsx]_xl_490"/>
      <sheetName val=".xlsx].xlsx].xlsx].xlsx]_xl_491"/>
      <sheetName val=".xlsx].xlsx].xlsx].xlsx]_xl_492"/>
      <sheetName val=".xlsx].xlsx].xlsx].xlsx]_xl_493"/>
      <sheetName val=".xlsx].xlsx].xlsx].xlsx]_xl_494"/>
      <sheetName val=".xlsx].xlsx].xlsx].xlsx]_xl_495"/>
      <sheetName val=".xlsx].xlsx].xlsx].xlsx]_xl_496"/>
      <sheetName val=".xlsx].xlsx].xlsx].xlsx]_xl_497"/>
      <sheetName val=".xlsx].xlsx].xlsx].xlsx]_xl_498"/>
      <sheetName val=".xlsx].xlsx].xlsx].xlsx]_xl_499"/>
      <sheetName val=".xlsx].xlsx].xlsx].xlsx]_xl_500"/>
      <sheetName val=".xlsx].xlsx].xlsx].xlsx]_xl_501"/>
      <sheetName val=".xlsx].xlsx].xlsx].xlsx]_xl_502"/>
      <sheetName val=".xlsx].xlsx].xlsx].xlsx]_xl_503"/>
      <sheetName val=".xlsx].xlsx].xlsx].xlsx]_xl_504"/>
      <sheetName val=".xlsx].xlsx].xlsx].xlsx]_xl_505"/>
      <sheetName val=".xlsx].xlsx].xlsx].xlsx]_xl_506"/>
      <sheetName val=".xlsx].xlsx].xlsx].xlsx]_xl_507"/>
      <sheetName val=".xlsx].xlsx].xlsx].xlsx]_xl_508"/>
      <sheetName val=".xlsx].xlsx].xlsx].xlsx]_xl_509"/>
      <sheetName val=".xlsx].xlsx].xlsx].xlsx]_xl_510"/>
      <sheetName val=".xlsx].xlsx].xlsx].xlsx]_xl_511"/>
      <sheetName val=".xlsx].xlsx].xlsx].xlsx]_xl_512"/>
      <sheetName val=".xlsx].xlsx].xlsx].xlsx]_xl_513"/>
      <sheetName val=".xlsx].xlsx].xlsx].xlsx]_xl_514"/>
      <sheetName val=".xlsx].xlsx].xlsx].xlsx]_xl_515"/>
      <sheetName val=".xlsx].xlsx].xlsx].xlsx]_xl_516"/>
      <sheetName val=".xlsx].xlsx].xlsx].xlsx]_xl_517"/>
      <sheetName val=".xlsx].xlsx].xlsx].xlsx]_xl_518"/>
      <sheetName val=".xlsx].xlsx].xlsx].xlsx]_xl_519"/>
      <sheetName val=".xlsx].xlsx].xlsx].xlsx]_xl_520"/>
      <sheetName val=".xlsx].xlsx].xlsx].xlsx]_xl_521"/>
      <sheetName val=".xlsx].xlsx].xlsx].xlsx]_xl_522"/>
      <sheetName val=".xlsx].xlsx].xlsx].xlsx]_xl_523"/>
      <sheetName val=".xlsx].xlsx].xlsx].xlsx]_xl_524"/>
      <sheetName val=".xlsx].xlsx].xlsx].xlsx]_xl_525"/>
      <sheetName val=".xlsx].xlsx].xlsx].xlsx]_xl_526"/>
      <sheetName val=".xlsx].xlsx].xlsx].xlsx]_xl_527"/>
      <sheetName val=".xlsx].xlsx].xlsx].xlsx]_xl_528"/>
      <sheetName val=".xlsx].xlsx].xlsx].xlsx]_xl_529"/>
      <sheetName val=".xlsx].xlsx].xlsx].xlsx]_xl_530"/>
      <sheetName val=".xlsx].xlsx].xlsx].xlsx]_xl_531"/>
      <sheetName val=".xlsx].xlsx].xlsx].xlsx]_xl_532"/>
      <sheetName val=".xlsx].xlsx].xlsx].xlsx]_xl_533"/>
      <sheetName val=".xlsx].xlsx].xlsx].xlsx]_xl_534"/>
      <sheetName val=".xlsx].xlsx].xlsx].xlsx]_xl_535"/>
      <sheetName val=".xlsx].xlsx].xlsx].xlsx]_xl_536"/>
      <sheetName val=".xlsx].xlsx].xlsx].xlsx]_xl_537"/>
      <sheetName val=".xlsx].xlsx].xlsx].xlsx]_xl_538"/>
      <sheetName val=".xlsx].xlsx].xlsx].xlsx]_xl_539"/>
      <sheetName val=".xlsx].xlsx].xlsx].xlsx]_xl_540"/>
      <sheetName val=".xlsx].xlsx].xlsx].xlsx]_xl_541"/>
      <sheetName val=".xlsx].xlsx].xlsx].xlsx]_xl_542"/>
      <sheetName val=".xlsx].xlsx].xlsx].xlsx]_xl_543"/>
      <sheetName val=".xlsx].xlsx].xlsx].xlsx]_xl_544"/>
      <sheetName val=".xlsx].xlsx].xlsx].xlsx]_xl_545"/>
      <sheetName val=".xlsx].xlsx].xlsx].xlsx]_xl_546"/>
      <sheetName val=".xlsx].xlsx].xlsx].xlsx]_xl_547"/>
      <sheetName val=".xlsx].xlsx].xlsx].xlsx]_xl_548"/>
      <sheetName val=".xlsx].xlsx].xlsx].xlsx]_xl_549"/>
      <sheetName val=".xlsx].xlsx].xlsx].xlsx]_xl_550"/>
      <sheetName val=".xlsx].xlsx].xlsx].xlsx]_xl_551"/>
      <sheetName val=".xlsx].xlsx].xlsx].xlsx]_xl_552"/>
      <sheetName val=".xlsx].xlsx].xlsx].xlsx]_xl_553"/>
      <sheetName val=".xlsx].xlsx].xlsx].xlsx]_xl_554"/>
      <sheetName val=".xlsx].xlsx].xlsx].xlsx]_xl_555"/>
      <sheetName val=".xlsx].xlsx].xlsx].xlsx]_xl_556"/>
      <sheetName val=".xlsx].xlsx].xlsx].xlsx]_xl_557"/>
      <sheetName val=".xlsx].xlsx].xlsx].xlsx]_xl_558"/>
      <sheetName val=".xlsx].xlsx].xlsx].xlsx]_xl_559"/>
      <sheetName val=".xlsx].xlsx].xlsx].xlsx]_xl_560"/>
      <sheetName val=".xlsx].xlsx].xlsx].xlsx]_xl_561"/>
      <sheetName val=".xlsx].xlsx].xlsx].xlsx]_xl_562"/>
      <sheetName val=".xlsx].xlsx].xlsx].xlsx]_xl_563"/>
      <sheetName val=".xlsx].xlsx].xlsx].xlsx]_xl_564"/>
      <sheetName val=".xlsx].xlsx].xlsx].xlsx]_xl_565"/>
      <sheetName val=".xlsx].xlsx].xlsx].xlsx]_xl_566"/>
      <sheetName val=".xlsx].xlsx].xlsx].xlsx]_xl_567"/>
      <sheetName val=".xlsx].xlsx].xlsx].xlsx]_xl_568"/>
      <sheetName val=".xlsx].xlsx].xlsx].xlsx]_xl_569"/>
      <sheetName val=".xlsx].xlsx].xlsx].xlsx]_xl_570"/>
      <sheetName val=".xlsx].xlsx].xlsx].xlsx]_xl_571"/>
      <sheetName val=".xlsx].xlsx].xlsx].xlsx]_xl_572"/>
      <sheetName val=".xlsx].xlsx].xlsx].xlsx]_xl_573"/>
      <sheetName val=".xlsx].xlsx].xlsx].xlsx]_xl_574"/>
      <sheetName val=".xlsx].xlsx].xlsx].xlsx]_xl_575"/>
      <sheetName val=".xlsx].xlsx].xlsx].xlsx]_xl_576"/>
      <sheetName val=".xlsx].xlsx].xlsx].xlsx]_xl_577"/>
      <sheetName val=".xlsx].xlsx].xlsx].xlsx]_xl_578"/>
      <sheetName val=".xlsx].xlsx].xlsx].xlsx]_xl_579"/>
      <sheetName val=".xlsx].xlsx].xlsx].xlsx]_xl_580"/>
      <sheetName val=".xlsx].xlsx].xlsx].xlsx]_xl_581"/>
      <sheetName val=".xlsx].xlsx].xlsx].xlsx]_xl_582"/>
      <sheetName val=".xlsx].xlsx].xlsx].xlsx]_xl_583"/>
      <sheetName val=".xlsx].xlsx].xlsx].xlsx]_xl_584"/>
      <sheetName val=".xlsx].xlsx].xlsx].xlsx]_xl_585"/>
      <sheetName val=".xlsx].xlsx].xlsx].xlsx]_xl_586"/>
      <sheetName val=".xlsx].xlsx].xlsx].xlsx]_xl_587"/>
      <sheetName val=".xlsx].xlsx].xlsx].xlsx]_xl_588"/>
      <sheetName val=".xlsx].xlsx].xlsx].xlsx]_xl_589"/>
      <sheetName val=".xlsx].xlsx].xlsx].xlsx]_xl_590"/>
      <sheetName val=".xlsx].xlsx].xlsx].xlsx]_xl_591"/>
      <sheetName val=".xlsx].xlsx].xlsx].xlsx]_xl_592"/>
      <sheetName val=".xlsx].xlsx].xlsx].xlsx]_xl_593"/>
      <sheetName val=".xlsx].xlsx].xlsx].xlsx]_xl_594"/>
      <sheetName val=".xlsx].xlsx].xlsx].xlsx]_xl_595"/>
      <sheetName val=".xlsx].xlsx].xlsx].xlsx]_xl_596"/>
      <sheetName val=".xlsx].xlsx].xlsx].xlsx]_xl_597"/>
      <sheetName val=".xlsx].xlsx].xlsx].xlsx]_xl_598"/>
      <sheetName val=".xlsx].xlsx].xlsx].xlsx]_xl_599"/>
      <sheetName val=".xlsx].xlsx].xlsx].xlsx]_xl_600"/>
      <sheetName val=".xlsx].xlsx].xlsx].xlsx]_xl_601"/>
      <sheetName val=".xlsx].xlsx].xlsx].xlsx]_xl_602"/>
      <sheetName val=".xlsx].xlsx].xlsx].xlsx]_xl_603"/>
      <sheetName val=".xlsx].xlsx].xlsx].xlsx]_xl_604"/>
      <sheetName val=".xlsx].xlsx].xlsx].xlsx]_xl_605"/>
      <sheetName val=".xlsx].xlsx].xlsx].xlsx]_xl_606"/>
      <sheetName val=".xlsx].xlsx].xlsx].xlsx]_xl_607"/>
      <sheetName val=".xlsx].xlsx].xlsx].xlsx]_xl_608"/>
      <sheetName val=".xlsx].xlsx].xlsx].xlsx]_xl_609"/>
      <sheetName val=".xlsx].xlsx].xlsx].xlsx]_xl_610"/>
      <sheetName val=".xlsx].xlsx].xlsx].xlsx]_xl_611"/>
      <sheetName val=".xlsx].xlsx].xlsx].xlsx]_xl_612"/>
      <sheetName val=".xlsx].xlsx].xlsx].xlsx]_xl_613"/>
      <sheetName val=".xlsx].xlsx].xlsx].xlsx]_xl_614"/>
      <sheetName val=".xlsx].xlsx].xlsx].xlsx]_xl_615"/>
      <sheetName val=".xlsx].xlsx].xlsx].xlsx]_xl_616"/>
      <sheetName val=".xlsx].xlsx].xlsx].xlsx]_xl_617"/>
      <sheetName val=".xlsx].xlsx].xlsx].xlsx]_xl_618"/>
      <sheetName val=".xlsx].xlsx].xlsx].xlsx]_xl_619"/>
      <sheetName val=".xlsx].xlsx].xlsx].xlsx]_xl_620"/>
      <sheetName val=".xlsx].xlsx].xlsx].xlsx]_xl_621"/>
      <sheetName val=".xlsx].xlsx].xlsx].xlsx]_xl_622"/>
      <sheetName val=".xlsx].xlsx].xlsx].xlsx]_xl_623"/>
      <sheetName val=".xlsx].xlsx].xlsx].xlsx]_xl_624"/>
      <sheetName val=".xlsx].xlsx].xlsx].xlsx]_xl_625"/>
      <sheetName val=".xlsx].xlsx].xlsx].xlsx]_xl_626"/>
      <sheetName val=".xlsx].xlsx].xlsx].xlsx]_xl_627"/>
      <sheetName val=".xlsx].xlsx].xlsx].xlsx]_xl_628"/>
      <sheetName val=".xlsx].xlsx].xlsx].xlsx]_xl_629"/>
      <sheetName val=".xlsx].xlsx].xlsx].xlsx]_xl_630"/>
      <sheetName val=".xlsx].xlsx].xlsx].xlsx]_xl_631"/>
      <sheetName val=".xlsx].xlsx].xlsx].xlsx]_xl_632"/>
      <sheetName val=".xlsx].xlsx].xlsx].xlsx]_xl_633"/>
      <sheetName val=".xlsx].xlsx].xlsx].xlsx]_xl_634"/>
      <sheetName val=".xlsx].xlsx].xlsx].xlsx]_xl_635"/>
      <sheetName val=".xlsx].xlsx].xlsx].xlsx]_xl_636"/>
      <sheetName val=".xlsx].xlsx].xlsx].xlsx]_xl_637"/>
      <sheetName val=".xlsx].xlsx].xlsx].xlsx]_xl_638"/>
      <sheetName val=".xlsx].xlsx].xlsx].xlsx]_xl_639"/>
      <sheetName val=".xlsx].xlsx].xlsx].xlsx]_xl_640"/>
      <sheetName val=".xlsx].xlsx].xlsx].xlsx]_xl_641"/>
      <sheetName val=".xlsx].xlsx].xlsx].xlsx]_xl_642"/>
      <sheetName val=".xlsx].xlsx].xlsx].xlsx]_xl_643"/>
      <sheetName val=".xlsx].xlsx].xlsx].xlsx]_xl_644"/>
      <sheetName val=".xlsx].xlsx].xlsx].xlsx]_xl_645"/>
      <sheetName val=".xlsx].xlsx].xlsx].xlsx]_xl_646"/>
      <sheetName val=".xlsx].xlsx].xlsx].xlsx]_xl_647"/>
      <sheetName val=".xlsx].xlsx].xlsx].xlsx]_xl_648"/>
      <sheetName val=".xlsx].xlsx].xlsx].xlsx]_xl_649"/>
      <sheetName val=".xlsx].xlsx].xlsx].xlsx]_xl_650"/>
      <sheetName val=".xlsx].xlsx].xlsx].xlsx]_xl_651"/>
      <sheetName val=".xlsx].xlsx].xlsx].xlsx]_xl_652"/>
      <sheetName val=".xlsx].xlsx].xlsx].xlsx]_xl_653"/>
      <sheetName val=".xlsx].xlsx].xlsx].xlsx]_xl_654"/>
      <sheetName val=".xlsx].xlsx].xlsx].xlsx]_xl_655"/>
      <sheetName val=".xlsx].xlsx].xlsx].xlsx]_xl_656"/>
      <sheetName val=".xlsx].xlsx].xlsx].xlsx]_xl_657"/>
      <sheetName val=".xlsx].xlsx].xlsx].xlsx]_xl_658"/>
      <sheetName val=".xlsx].xlsx].xlsx].xlsx]_xl_659"/>
      <sheetName val=".xlsx].xlsx].xlsx].xlsx]_xl_660"/>
      <sheetName val=".xlsx].xlsx].xlsx].xlsx]_xl_661"/>
      <sheetName val=".xlsx].xlsx].xlsx].xlsx]_xl_662"/>
      <sheetName val=".xlsx].xlsx].xlsx].xlsx]_xl_663"/>
      <sheetName val=".xlsx].xlsx].xlsx].xlsx]_xl_664"/>
      <sheetName val=".xlsx].xlsx].xlsx].xlsx]_xl_665"/>
      <sheetName val=".xlsx].xlsx].xlsx].xlsx]_xl_666"/>
      <sheetName val=".xlsx].xlsx].xlsx].xlsx]_xl_667"/>
      <sheetName val=".xlsx].xlsx].xlsx].xlsx]_xl_668"/>
      <sheetName val=".xlsx].xlsx].xlsx].xlsx]_xl_669"/>
      <sheetName val=".xlsx].xlsx].xlsx].xlsx]_xl_670"/>
      <sheetName val=".xlsx].xlsx].xlsx].xlsx]_xl_671"/>
      <sheetName val=".xlsx].xlsx].xlsx].xlsx]_xl_672"/>
      <sheetName val=".xlsx].xlsx].xlsx].xlsx]_xl_673"/>
      <sheetName val=".xlsx].xlsx].xlsx].xlsx]_xl_674"/>
      <sheetName val=".xlsx].xlsx].xlsx].xlsx]_xl_675"/>
      <sheetName val=".xlsx].xlsx].xlsx].xlsx]_xl_676"/>
      <sheetName val=".xlsx].xlsx].xlsx].xlsx]_xl_677"/>
      <sheetName val=".xlsx].xlsx].xlsx].xlsx]_xl_678"/>
      <sheetName val=".xlsx].xlsx].xlsx].xlsx]_xl_679"/>
      <sheetName val=".xlsx].xlsx].xlsx].xlsx]_xl_680"/>
      <sheetName val=".xlsx].xlsx].xlsx].xlsx]_xl_681"/>
      <sheetName val=".xlsx].xlsx].xlsx].xlsx]_xl_682"/>
      <sheetName val=".xlsx].xlsx].xlsx].xlsx]_xl_683"/>
      <sheetName val=".xlsx].xlsx].xlsx].xlsx]_xl_684"/>
      <sheetName val=".xlsx].xlsx].xlsx].xlsx]_xl_685"/>
      <sheetName val=".xlsx].xlsx].xlsx].xlsx]_xl_686"/>
      <sheetName val=".xlsx].xlsx].xlsx].xlsx]_xl_687"/>
      <sheetName val=".xlsx].xlsx].xlsx].xlsx]_xl_688"/>
      <sheetName val=".xlsx].xlsx].xlsx].xlsx]_xl_689"/>
      <sheetName val=".xlsx].xlsx].xlsx].xlsx]_xl_690"/>
      <sheetName val=".xlsx].xlsx].xlsx].xlsx]_xl_691"/>
      <sheetName val=".xlsx].xlsx].xlsx].xlsx]_xl_692"/>
      <sheetName val=".xlsx].xlsx].xlsx].xlsx]_xl_693"/>
      <sheetName val=".xlsx].xlsx].xlsx].xlsx]_xl_694"/>
      <sheetName val=".xlsx].xlsx].xlsx].xlsx]_xl_695"/>
      <sheetName val=".xlsx].xlsx].xlsx].xlsx]_xl_696"/>
      <sheetName val=".xlsx].xlsx].xlsx].xlsx]_xl_697"/>
      <sheetName val=".xlsx].xlsx].xlsx].xlsx]_xl_698"/>
      <sheetName val=".xlsx].xlsx].xlsx].xlsx]_xl_699"/>
      <sheetName val=".xlsx].xlsx].xlsx].xlsx]_xl_700"/>
      <sheetName val=".xlsx].xlsx].xlsx].xlsx]_xl_701"/>
      <sheetName val=".xlsx].xlsx].xlsx].xlsx]_xl_702"/>
      <sheetName val=".xlsx].xlsx].xlsx].xlsx]_xl_703"/>
      <sheetName val=".xlsx].xlsx].xlsx].xlsx]_xl_704"/>
      <sheetName val=".xlsx].xlsx].xlsx].xlsx]_xl_705"/>
      <sheetName val=".xlsx].xlsx].xlsx].xlsx]_xl_706"/>
      <sheetName val=".xlsx].xlsx].xlsx].xlsx]_xl_707"/>
      <sheetName val=".xlsx].xlsx].xlsx].xlsx]_xl_708"/>
      <sheetName val=".xlsx].xlsx].xlsx].xlsx]_xl_709"/>
      <sheetName val=".xlsx].xlsx].xlsx].xlsx]_xl_710"/>
      <sheetName val=".xlsx].xlsx].xlsx].xlsx]_xl_711"/>
      <sheetName val=".xlsx].xlsx].xlsx].xlsx]_xl_712"/>
      <sheetName val=".xlsx].xlsx].xlsx].xlsx]_xl_713"/>
      <sheetName val=".xlsx].xlsx].xlsx].xlsx]_xl_714"/>
      <sheetName val=".xlsx].xlsx].xlsx].xlsx]_xl_715"/>
      <sheetName val=".xlsx].xlsx].xlsx].xlsx]_xl_716"/>
      <sheetName val=".xlsx].xlsx].xlsx].xlsx]_xl_717"/>
      <sheetName val=".xlsx].xlsx].xlsx].xlsx]_xl_718"/>
      <sheetName val=".xlsx].xlsx].xlsx].xlsx]_xl_719"/>
      <sheetName val=".xlsx].xlsx].xlsx].xlsx]_xl_720"/>
      <sheetName val=".xlsx].xlsx].xlsx].xlsx]_xl_721"/>
      <sheetName val=".xlsx].xlsx].xlsx].xlsx]_xl_722"/>
      <sheetName val=".xlsx].xlsx].xlsx].xlsx]_xl_723"/>
      <sheetName val=".xlsx].xlsx].xlsx].xlsx]_xl_724"/>
      <sheetName val=".xlsx].xlsx].xlsx].xlsx]_xl_725"/>
      <sheetName val=".xlsx].xlsx].xlsx].xlsx]_xl_726"/>
      <sheetName val=".xlsx].xlsx].xlsx].xlsx]_xl_727"/>
      <sheetName val=".xlsx].xlsx].xlsx].xlsx]_xl_728"/>
      <sheetName val=".xlsx].xlsx].xlsx].xlsx]_xl_729"/>
      <sheetName val=".xlsx].xlsx].xlsx].xlsx]_xl_730"/>
      <sheetName val=".xlsx].xlsx].xlsx].xlsx]_xl_731"/>
      <sheetName val=".xlsx].xlsx].xlsx].xlsx]_xl_732"/>
      <sheetName val=".xlsx].xlsx].xlsx].xlsx]_xl_733"/>
      <sheetName val=".xlsx].xlsx].xlsx].xlsx]_xl_734"/>
      <sheetName val=".xlsx].xlsx].xlsx].xlsx]_xl_735"/>
      <sheetName val=".xlsx].xlsx].xlsx].xlsx]_xl_736"/>
      <sheetName val=".xlsx].xlsx].xlsx].xlsx]_xl_737"/>
      <sheetName val=".xlsx].xlsx].xlsx].xlsx]_xl_738"/>
      <sheetName val=".xlsx].xlsx].xlsx].xlsx]_xl_739"/>
      <sheetName val=".xlsx].xlsx].xlsx].xlsx]_xl_740"/>
      <sheetName val=".xlsx].xlsx].xlsx].xlsx]_xl_741"/>
      <sheetName val=".xlsx].xlsx].xlsx].xlsx]_xl_742"/>
      <sheetName val=".xlsx].xlsx].xlsx].xlsx]_xl_743"/>
      <sheetName val=".xlsx].xlsx].xlsx].xlsx]_xl_744"/>
      <sheetName val=".xlsx].xlsx].xlsx].xlsx]_xl_745"/>
      <sheetName val=".xlsx].xlsx].xlsx].xlsx]_xl_746"/>
      <sheetName val=".xlsx].xlsx].xlsx].xlsx]_xl_747"/>
      <sheetName val=".xlsx].xlsx].xlsx].xlsx]_xl_748"/>
      <sheetName val=".xlsx].xlsx].xlsx].xlsx]_xl_749"/>
      <sheetName val=".xlsx].xlsx].xlsx].xlsx]_xl_750"/>
      <sheetName val=".xlsx].xlsx].xlsx].xlsx]_xl_751"/>
      <sheetName val=".xlsx].xlsx].xlsx].xlsx]_xl_752"/>
      <sheetName val=".xlsx].xlsx].xlsx].xlsx]_xl_753"/>
      <sheetName val=".xlsx].xlsx].xlsx].xlsx]_xl_754"/>
      <sheetName val=".xlsx].xlsx].xlsx].xlsx]_xl_755"/>
      <sheetName val=".xlsx].xlsx].xlsx].xlsx]_xl_756"/>
      <sheetName val=".xlsx].xlsx].xlsx].xlsx]_xl_757"/>
      <sheetName val=".xlsx].xlsx].xlsx].xlsx]_xl_758"/>
      <sheetName val=".xlsx].xlsx].xlsx].xlsx]_xl_759"/>
      <sheetName val=".xlsx].xlsx].xlsx].xlsx]_xl_760"/>
      <sheetName val=".xlsx].xlsx].xlsx].xlsx]_xl_761"/>
      <sheetName val=".xlsx].xlsx].xlsx].xlsx]_xl_762"/>
      <sheetName val=".xlsx].xlsx].xlsx].xlsx]_xl_763"/>
      <sheetName val=".xlsx].xlsx].xlsx].xlsx]_xl_764"/>
      <sheetName val=".xlsx].xlsx].xlsx].xlsx]_xl_765"/>
      <sheetName val=".xlsx].xlsx].xlsx].xlsx]_xl_766"/>
      <sheetName val=".xlsx].xlsx].xlsx].xlsx]_xl_767"/>
      <sheetName val=".xlsx].xlsx].xlsx].xlsx]_xl_768"/>
      <sheetName val=".xlsx].xlsx].xlsx].xlsx]_xl_769"/>
      <sheetName val=".xlsx].xlsx].xlsx].xlsx]_xl_770"/>
      <sheetName val=".xlsx].xlsx].xlsx].xlsx]_xl_771"/>
      <sheetName val=".xlsx].xlsx].xlsx].xlsx]_xl_772"/>
      <sheetName val=".xlsx].xlsx].xlsx].xlsx]_xl_773"/>
      <sheetName val=".xlsx].xlsx].xlsx].xlsx]_xl_774"/>
      <sheetName val=".xlsx].xlsx].xlsx].xlsx]_xl_775"/>
      <sheetName val=".xlsx].xlsx].xlsx].xlsx]_xl_776"/>
      <sheetName val=".xlsx].xlsx].xlsx].xlsx]_xl_777"/>
      <sheetName val=".xlsx].xlsx].xlsx].xlsx]_xl_778"/>
      <sheetName val=".xlsx].xlsx].xlsx].xlsx]_xl_779"/>
      <sheetName val=".xlsx].xlsx].xlsx].xlsx]_xl_780"/>
      <sheetName val=".xlsx].xlsx].xlsx].xlsx]_xl_781"/>
      <sheetName val=".xlsx].xlsx].xlsx].xlsx]_xl_782"/>
      <sheetName val=".xlsx].xlsx].xlsx].xlsx]_xl_783"/>
      <sheetName val=".xlsx].xlsx].xlsx].xlsx]_xl_784"/>
      <sheetName val=".xlsx].xlsx].xlsx].xlsx]_xl_785"/>
      <sheetName val=".xlsx].xlsx].xlsx].xlsx]_xl_786"/>
      <sheetName val=".xlsx].xlsx].xlsx].xlsx]_xl_787"/>
      <sheetName val=".xlsx].xlsx].xlsx].xlsx]_xl_788"/>
      <sheetName val=".xlsx].xlsx].xlsx].xlsx]_xl_789"/>
      <sheetName val=".xlsx].xlsx].xlsx].xlsx]_xl_790"/>
      <sheetName val=".xlsx].xlsx].xlsx].xlsx]_xl_791"/>
      <sheetName val=".xlsx].xlsx].xlsx].xlsx]_xl_792"/>
      <sheetName val=".xlsx].xlsx].xlsx].xlsx]_xl_793"/>
      <sheetName val=".xlsx].xlsx].xlsx].xlsx]_xl_794"/>
      <sheetName val=".xlsx].xlsx].xlsx].xlsx]_xl_795"/>
      <sheetName val=".xlsx].xlsx].xlsx].xlsx]_xl_796"/>
      <sheetName val=".xlsx].xlsx].xlsx].xlsx]_xl_797"/>
      <sheetName val=".xlsx].xlsx].xlsx].xlsx]_xl_798"/>
      <sheetName val=".xlsx].xlsx].xlsx].xlsx]_xl_799"/>
      <sheetName val=".xlsx].xlsx].xlsx].xlsx]_xl_800"/>
      <sheetName val=".xlsx].xlsx].xlsx].xlsx]_xl_801"/>
      <sheetName val=".xlsx].xlsx].xlsx].xlsx]_xl_802"/>
      <sheetName val=".xlsx].xlsx].xlsx].xlsx]_xl_803"/>
      <sheetName val=".xlsx].xlsx].xlsx].xlsx]_xl_804"/>
      <sheetName val=".xlsx].xlsx].xlsx].xlsx]_xl_805"/>
      <sheetName val=".xlsx].xlsx].xlsx].xlsx]_xl_806"/>
      <sheetName val=".xlsx].xlsx].xlsx].xlsx]_xl_807"/>
      <sheetName val=".xlsx].xlsx].xlsx].xlsx]_xl_808"/>
      <sheetName val=".xlsx].xlsx].xlsx].xlsx]_xl_809"/>
      <sheetName val=".xlsx].xlsx].xlsx].xlsx]_xl_810"/>
      <sheetName val=".xlsx].xlsx].xlsx].xlsx]_xl_811"/>
      <sheetName val=".xlsx].xlsx].xlsx].xlsx]_xl_812"/>
      <sheetName val=".xlsx].xlsx].xlsx].xlsx]_xl_813"/>
      <sheetName val=".xlsx].xlsx].xlsx].xlsx]_xl_814"/>
      <sheetName val=".xlsx].xlsx].xlsx].xlsx]_xl_815"/>
      <sheetName val=".xlsx].xlsx].xlsx].xlsx]_xl_816"/>
      <sheetName val=".xlsx].xlsx].xlsx].xlsx]_xl_817"/>
      <sheetName val=".xlsx].xlsx].xlsx].xlsx]_xl_818"/>
      <sheetName val=".xlsx].xlsx].xlsx].xlsx]_xl_819"/>
      <sheetName val=".xlsx].xlsx].xlsx].xlsx]_xl_820"/>
      <sheetName val=".xlsx].xlsx].xlsx].xlsx]_xl_821"/>
      <sheetName val=".xlsx].xlsx].xlsx].xlsx]_xl_822"/>
      <sheetName val=".xlsx].xlsx].xlsx].xlsx]_xl_823"/>
      <sheetName val=".xlsx].xlsx].xlsx].xlsx]_xl_824"/>
      <sheetName val=".xlsx].xlsx].xlsx].xlsx]_xl_825"/>
      <sheetName val=".xlsx].xlsx].xlsx].xlsx]_xl_826"/>
      <sheetName val=".xlsx].xlsx].xlsx].xlsx]_xl_827"/>
      <sheetName val=".xlsx].xlsx].xlsx].xlsx]_xl_828"/>
      <sheetName val=".xlsx].xlsx].xlsx].xlsx]_xl_829"/>
      <sheetName val=".xlsx].xlsx].xlsx].xlsx]_xl_830"/>
      <sheetName val=".xlsx].xlsx].xlsx].xlsx]_xl_831"/>
      <sheetName val=".xlsx].xlsx].xlsx].xlsx]_xl_832"/>
      <sheetName val=".xlsx].xlsx].xlsx].xlsx]_xl_833"/>
      <sheetName val=".xlsx].xlsx].xlsx].xlsx]_xl_834"/>
      <sheetName val=".xlsx].xlsx].xlsx].xlsx]_xl_835"/>
      <sheetName val=".xlsx].xlsx].xlsx].xlsx]_xl_836"/>
      <sheetName val=".xlsx].xlsx].xlsx].xlsx]_xl_837"/>
      <sheetName val=".xlsx].xlsx].xlsx].xlsx]_xl_838"/>
      <sheetName val=".xlsx].xlsx].xlsx].xlsx]_xl_839"/>
      <sheetName val=".xlsx].xlsx].xlsx].xlsx]_xl_840"/>
      <sheetName val=".xlsx].xlsx].xlsx].xlsx]_xl_841"/>
      <sheetName val=".xlsx].xlsx].xlsx].xlsx]_xl_842"/>
      <sheetName val=".xlsx].xlsx].xlsx].xlsx]_xl_843"/>
      <sheetName val=".xlsx].xlsx].xlsx].xlsx]_xl_844"/>
      <sheetName val=".xlsx].xlsx].xlsx].xlsx]_xl_845"/>
      <sheetName val=".xlsx].xlsx].xlsx].xlsx]_xl_846"/>
      <sheetName val=".xlsx].xlsx].xlsx].xlsx]_xl_847"/>
      <sheetName val=".xlsx].xlsx].xlsx].xlsx]_xl_848"/>
      <sheetName val=".xlsx].xlsx].xlsx].xlsx]_xl_849"/>
      <sheetName val=".xlsx].xlsx].xlsx].xlsx]_xl_850"/>
      <sheetName val=".xlsx].xlsx].xlsx].xlsx]_xl_851"/>
      <sheetName val=".xlsx].xlsx].xlsx].xlsx]_xl_852"/>
      <sheetName val=".xlsx].xlsx].xlsx].xlsx]_xl_853"/>
      <sheetName val=".xlsx].xlsx].xlsx].xlsx]_xl_854"/>
      <sheetName val=".xlsx].xlsx].xlsx].xlsx]_xl_855"/>
      <sheetName val=".xlsx].xlsx].xlsx].xlsx]_xl_856"/>
      <sheetName val=".xlsx].xlsx].xlsx].xlsx]_xl_857"/>
      <sheetName val=".xlsx].xlsx].xlsx].xlsx]_xl_858"/>
      <sheetName val=".xlsx].xlsx].xlsx].xlsx]_xl_859"/>
      <sheetName val=".xlsx].xlsx].xlsx].xlsx]_xl_860"/>
      <sheetName val=".xlsx].xlsx].xlsx].xlsx]_xl_861"/>
      <sheetName val=".xlsx].xlsx].xlsx].xlsx]_xl_862"/>
      <sheetName val=".xlsx].xlsx].xlsx].xlsx]_xl_863"/>
      <sheetName val=".xlsx].xlsx].xlsx].xlsx]_xl_864"/>
      <sheetName val=".xlsx].xlsx].xlsx].xlsx]_xl_865"/>
      <sheetName val=".xlsx].xlsx].xlsx].xlsx]_xl_866"/>
      <sheetName val=".xlsx].xlsx].xlsx].xlsx]_xl_867"/>
      <sheetName val=".xlsx].xlsx].xlsx].xlsx]_xl_868"/>
      <sheetName val=".xlsx].xlsx].xlsx].xlsx]_xl_869"/>
      <sheetName val=".xlsx].xlsx].xlsx].xlsx]_xl_870"/>
      <sheetName val=".xlsx].xlsx].xlsx].xlsx]_xl_871"/>
      <sheetName val=".xlsx].xlsx].xlsx].xlsx]_xl_872"/>
      <sheetName val=".xlsx].xlsx].xlsx].xlsx]_xl_873"/>
      <sheetName val=".xlsx].xlsx].xlsx].xlsx]_xl_874"/>
      <sheetName val=".xlsx].xlsx].xlsx].xlsx]_xl_875"/>
      <sheetName val=".xlsx].xlsx].xlsx].xlsx]_xl_876"/>
      <sheetName val=".xlsx].xlsx].xlsx].xlsx]_xl_877"/>
      <sheetName val=".xlsx].xlsx].xlsx].xlsx]_xl_878"/>
      <sheetName val=".xlsx].xlsx].xlsx].xlsx]_xl_879"/>
      <sheetName val=".xlsx].xlsx].xlsx].xlsx]_xl_880"/>
      <sheetName val=".xlsx].xlsx].xlsx].xlsx]_xl_881"/>
      <sheetName val=".xlsx].xlsx].xlsx].xlsx]_xl_882"/>
      <sheetName val=".xlsx].xlsx].xlsx].xlsx]_xl_883"/>
      <sheetName val=".xlsx].xlsx].xlsx].xlsx]_xl_884"/>
      <sheetName val=".xlsx].xlsx].xlsx].xlsx]_xl_885"/>
      <sheetName val=".xlsx].xlsx].xlsx].xlsx]_xl_886"/>
      <sheetName val=".xlsx].xlsx].xlsx].xlsx]_xl_887"/>
      <sheetName val=".xlsx].xlsx].xlsx].xlsx]_xl_888"/>
      <sheetName val=".xlsx].xlsx].xlsx].xlsx]_xl_889"/>
      <sheetName val=".xlsx].xlsx].xlsx].xlsx]_xl_890"/>
      <sheetName val=".xlsx].xlsx].xlsx].xlsx]_xl_891"/>
      <sheetName val=".xlsx].xlsx].xlsx].xlsx]_xl_892"/>
      <sheetName val=".xlsx].xlsx].xlsx].xlsx]_xl_893"/>
      <sheetName val=".xlsx].xlsx].xlsx].xlsx]_xl_894"/>
      <sheetName val=".xlsx].xlsx].xlsx].xlsx]_xl_895"/>
      <sheetName val=".xlsx].xlsx].xlsx].xlsx]_xl_896"/>
      <sheetName val=".xlsx].xlsx].xlsx].xlsx]_xl_897"/>
      <sheetName val=".xlsx].xlsx].xlsx].xlsx]_xl_898"/>
      <sheetName val=".xlsx].xlsx].xlsx].xlsx]_xl_899"/>
      <sheetName val=".xlsx].xlsx].xlsx].xlsx]_xl_900"/>
      <sheetName val=".xlsx].xlsx].xlsx].xlsx]_xl_901"/>
      <sheetName val=".xlsx].xlsx].xlsx].xlsx]_xl_902"/>
      <sheetName val=".xlsx].xlsx].xlsx].xlsx]_xl_903"/>
      <sheetName val=".xlsx].xlsx].xlsx].xlsx]_xl_904"/>
      <sheetName val=".xlsx].xlsx].xlsx].xlsx]_xl_905"/>
      <sheetName val=".xlsx].xlsx].xlsx].xlsx]_xl_906"/>
      <sheetName val=".xlsx].xlsx].xlsx].xlsx]_xl_907"/>
      <sheetName val=".xlsx].xlsx].xlsx].xlsx]_xl_908"/>
      <sheetName val=".xlsx].xlsx].xlsx].xlsx]_xl_909"/>
      <sheetName val=".xlsx].xlsx].xlsx].xlsx]_xl_910"/>
      <sheetName val=".xlsx].xlsx].xlsx].xlsx]_xl_911"/>
      <sheetName val=".xlsx].xlsx].xlsx].xlsx]_xl_912"/>
      <sheetName val=".xlsx].xlsx].xlsx].xlsx]_xl_913"/>
      <sheetName val=".xlsx].xlsx].xlsx].xlsx]_xl_914"/>
      <sheetName val=".xlsx].xlsx].xlsx].xlsx]_xl_915"/>
      <sheetName val=".xlsx].xlsx].xlsx].xlsx]_xl_916"/>
      <sheetName val=".xlsx].xlsx].xlsx].xlsx]_xl_917"/>
      <sheetName val=".xlsx].xlsx].xlsx].xlsx]_xl_918"/>
      <sheetName val=".xlsx].xlsx].xlsx].xlsx]_xl_919"/>
      <sheetName val=".xlsx].xlsx].xlsx].xlsx]_xl_920"/>
      <sheetName val=".xlsx].xlsx].xlsx].xlsx]_xl_921"/>
      <sheetName val=".xlsx].xlsx].xlsx].xlsx]_xl_922"/>
      <sheetName val=".xlsx].xlsx].xlsx].xlsx]_xl_923"/>
      <sheetName val=".xlsx].xlsx].xlsx].xlsx]_xl_924"/>
      <sheetName val=".xlsx].xlsx].xlsx].xlsx]_xl_925"/>
      <sheetName val=".xlsx].xlsx].xlsx].xlsx]_xl_926"/>
      <sheetName val=".xlsx].xlsx].xlsx].xlsx]_xl_927"/>
      <sheetName val=".xlsx].xlsx].xlsx].xlsx]_xl_928"/>
      <sheetName val=".xlsx].xlsx].xlsx].xlsx]_xl_929"/>
      <sheetName val=".xlsx].xlsx].xlsx].xlsx]_xl_930"/>
      <sheetName val=".xlsx].xlsx].xlsx].xlsx]_xl_931"/>
      <sheetName val=".xlsx].xlsx].xlsx].xlsx]_xl_932"/>
      <sheetName val=".xlsx].xlsx].xlsx].xlsx]_xl_933"/>
      <sheetName val=".xlsx].xlsx].xlsx].xlsx]_xl_934"/>
      <sheetName val=".xlsx].xlsx].xlsx].xlsx]_xl_935"/>
      <sheetName val=".xlsx].xlsx].xlsx].xlsx]_xl_936"/>
      <sheetName val=".xlsx].xlsx].xlsx].xlsx]_xl_937"/>
      <sheetName val=".xlsx].xlsx].xlsx].xlsx]_xl_938"/>
      <sheetName val=".xlsx].xlsx].xlsx].xlsx]_xl_939"/>
      <sheetName val=".xlsx].xlsx].xlsx].xlsx]_xl_940"/>
      <sheetName val=".xlsx].xlsx].xlsx].xlsx]_xl_941"/>
      <sheetName val=".xlsx].xlsx].xlsx].xlsx]_xl_942"/>
      <sheetName val=".xlsx].xlsx].xlsx].xlsx]_xl_943"/>
      <sheetName val=".xlsx].xlsx].xlsx].xlsx]_xl_944"/>
      <sheetName val=".xlsx].xlsx].xlsx].xlsx]_xl_945"/>
      <sheetName val=".xlsx].xlsx].xlsx].xlsx]_xl_946"/>
      <sheetName val=".xlsx].xlsx].xlsx].xlsx]_xl_947"/>
      <sheetName val=".xlsx].xlsx].xlsx].xlsx]_xl_948"/>
      <sheetName val=".xlsx].xlsx].xlsx].xlsx]_xl_949"/>
      <sheetName val=".xlsx].xlsx].xlsx].xlsx]_xl_950"/>
      <sheetName val=".xlsx].xlsx].xlsx].xlsx]_xl_951"/>
      <sheetName val=".xlsx].xlsx].xlsx].xlsx]_xl_952"/>
      <sheetName val=".xlsx].xlsx].xlsx].xlsx]_xl_953"/>
      <sheetName val=".xlsx].xlsx].xlsx].xlsx]_xl_954"/>
      <sheetName val=".xlsx].xlsx].xlsx].xlsx]_xl_955"/>
      <sheetName val=".xlsx].xlsx].xlsx].xlsx]_xl_956"/>
      <sheetName val=".xlsx].xlsx].xlsx].xlsx]_xl_957"/>
      <sheetName val=".xlsx].xlsx].xlsx].xlsx]_xl_958"/>
      <sheetName val=".xlsx].xlsx].xlsx].xlsx]_xl_959"/>
      <sheetName val=".xlsx].xlsx].xlsx].xlsx]_xl_960"/>
      <sheetName val=".xlsx].xlsx].xlsx].xlsx]_xl_961"/>
      <sheetName val=".xlsx].xlsx].xlsx].xlsx]_xl_962"/>
      <sheetName val=".xlsx].xlsx].xlsx].xlsx]_xl_963"/>
      <sheetName val=".xlsx].xlsx].xlsx].xlsx]_xl_964"/>
      <sheetName val=".xlsx].xlsx].xlsx].xlsx]_xl_965"/>
      <sheetName val=".xlsx].xlsx].xlsx].xlsx]_xl_966"/>
      <sheetName val=".xlsx].xlsx].xlsx].xlsx]_xl_967"/>
      <sheetName val=".xlsx].xlsx].xlsx].xlsx]_xl_968"/>
      <sheetName val=".xlsx].xlsx].xlsx].xlsx]_xl_969"/>
      <sheetName val=".xlsx].xlsx].xlsx].xlsx]_xl_970"/>
      <sheetName val=".xlsx].xlsx].xlsx].xlsx]_xl_971"/>
      <sheetName val=".xlsx].xlsx].xlsx].xlsx]_xl_972"/>
      <sheetName val=".xlsx].xlsx].xlsx].xlsx]_xl_973"/>
      <sheetName val=".xlsx].xlsx].xlsx].xlsx]_xl_974"/>
      <sheetName val=".xlsx].xlsx].xlsx].xlsx]_xl_975"/>
      <sheetName val=".xlsx].xlsx].xlsx].xlsx]_xl_976"/>
      <sheetName val=".xlsx].xlsx].xlsx].xlsx]_xl_977"/>
      <sheetName val=".xlsx].xlsx].xlsx].xlsx]_xl_978"/>
      <sheetName val=".xlsx].xlsx].xlsx].xlsx]_xl_979"/>
      <sheetName val=".xlsx].xlsx].xlsx].xlsx]_xl_980"/>
      <sheetName val=".xlsx].xlsx].xlsx].xlsx]_xl_981"/>
      <sheetName val=".xlsx].xlsx].xlsx].xlsx]_xl_982"/>
      <sheetName val=".xlsx].xlsx].xlsx].xlsx]_xl_983"/>
      <sheetName val=".xlsx].xlsx].xlsx].xlsx]_xl_984"/>
      <sheetName val=".xlsx].xlsx].xlsx].xlsx]_xl_985"/>
      <sheetName val=".xlsx].xlsx].xlsx].xlsx]_xl_986"/>
      <sheetName val=".xlsx].xlsx].xlsx].xlsx]_xl_987"/>
      <sheetName val=".xlsx].xlsx].xlsx].xlsx]_xl_988"/>
      <sheetName val=".xlsx].xlsx].xlsx].xlsx]_xl_989"/>
      <sheetName val=".xlsx].xlsx].xlsx].xlsx]_xl_990"/>
      <sheetName val=".xlsx].xlsx].xlsx].xlsx]_xl_991"/>
      <sheetName val=".xlsx].xlsx].xlsx].xlsx]_xl_992"/>
      <sheetName val=".xlsx].xlsx].xlsx].xlsx]_xl_993"/>
      <sheetName val=".xlsx].xlsx].xlsx].xlsx]_xl_994"/>
      <sheetName val=".xlsx].xlsx].xlsx].xlsx]_xl_995"/>
      <sheetName val=".xlsx].xlsx].xlsx].xlsx]_xl_996"/>
      <sheetName val=".xlsx].xlsx].xlsx].xlsx]_xl_997"/>
      <sheetName val=".xlsx].xlsx].xlsx].xlsx]_xl_998"/>
      <sheetName val=".xlsx].xlsx].xlsx].xlsx]_xl_999"/>
      <sheetName val=".xlsx].xlsx].xlsx].xlsx]_x_1000"/>
      <sheetName val=".xlsx].xlsx].xlsx].xlsx]_x_1001"/>
      <sheetName val=".xlsx].xlsx].xlsx].xlsx]_x_1002"/>
      <sheetName val=".xlsx].xlsx].xlsx].xlsx]_x_1003"/>
      <sheetName val=".xlsx].xlsx].xlsx].xlsx]_x_1004"/>
      <sheetName val=".xlsx].xlsx].xlsx].xlsx]_x_1005"/>
      <sheetName val=".xlsx].xlsx].xlsx].xlsx]_x_1006"/>
      <sheetName val=".xlsx].xlsx].xlsx].xlsx]_x_1007"/>
      <sheetName val=".xlsx].xlsx].xlsx].xlsx]_x_1008"/>
      <sheetName val=".xlsx].xlsx].xlsx].xlsx]_x_1009"/>
      <sheetName val=".xlsx].xlsx].xlsx].xlsx]_x_1010"/>
      <sheetName val=".xlsx].xlsx].xlsx].xlsx]_x_1011"/>
      <sheetName val=".xlsx].xlsx].xlsx].xlsx]_x_1012"/>
      <sheetName val=".xlsx].xlsx].xlsx].xlsx]_x_1013"/>
      <sheetName val=".xlsx].xlsx].xlsx].xlsx]_x_1014"/>
      <sheetName val=".xlsx].xlsx].xlsx].xlsx]_x_1015"/>
      <sheetName val=".xlsx].xlsx].xlsx].xlsx]_x_1016"/>
      <sheetName val=".xlsx].xlsx].xlsx].xlsx]_x_1017"/>
      <sheetName val=".xlsx].xlsx].xlsx].xlsx]_x_1018"/>
      <sheetName val=".xlsx].xlsx].xlsx].xlsx]_x_1019"/>
      <sheetName val=".xlsx].xlsx].xlsx].xlsx]_x_1020"/>
      <sheetName val=".xlsx].xlsx].xlsx].xlsx]_x_1021"/>
      <sheetName val=".xlsx].xlsx].xlsx].xlsx]_x_1022"/>
      <sheetName val=".xlsx].xlsx].xlsx].xlsx]_x_1023"/>
      <sheetName val=".xlsx].xlsx].xlsx].xlsx]_x_1024"/>
      <sheetName val=".xlsx].xlsx].xlsx].xlsx]_x_1025"/>
      <sheetName val=".xlsx].xlsx].xlsx].xlsx]_x_1026"/>
      <sheetName val=".xlsx].xlsx].xlsx].xlsx]_x_1027"/>
      <sheetName val=".xlsx].xlsx].xlsx].xlsx]_x_1028"/>
      <sheetName val=".xlsx].xlsx].xlsx].xlsx]_x_1029"/>
      <sheetName val=".xlsx].xlsx].xlsx].xlsx]_x_1030"/>
      <sheetName val=".xlsx].xlsx].xlsx].xlsx]_x_1031"/>
      <sheetName val=".xlsx].xlsx].xlsx].xlsx]_x_1032"/>
      <sheetName val=".xlsx].xlsx].xlsx].xlsx]_x_1033"/>
      <sheetName val=".xlsx].xlsx].xlsx].xlsx]_x_1034"/>
      <sheetName val=".xlsx].xlsx].xlsx].xlsx]_x_1035"/>
      <sheetName val=".xlsx].xlsx].xlsx].xlsx]_x_1036"/>
      <sheetName val=".xlsx].xlsx].xlsx].xlsx]_x_1037"/>
      <sheetName val=".xlsx].xlsx].xlsx].xlsx]_x_1038"/>
      <sheetName val=".xlsx].xlsx].xlsx].xlsx]_x_1039"/>
      <sheetName val=".xlsx].xlsx].xlsx].xlsx]_x_1040"/>
      <sheetName val=".xlsx].xlsx].xlsx].xlsx]_x_1041"/>
      <sheetName val=".xlsx].xlsx].xlsx].xlsx]_x_1042"/>
      <sheetName val=".xlsx].xlsx].xlsx].xlsx]_x_1043"/>
      <sheetName val=".xlsx].xlsx].xlsx].xlsx]_x_1044"/>
      <sheetName val=".xlsx].xlsx].xlsx].xlsx]_x_1045"/>
      <sheetName val=".xlsx].xlsx].xlsx].xlsx]_x_1046"/>
      <sheetName val=".xlsx].xlsx].xlsx].xlsx]_x_1047"/>
      <sheetName val=".xlsx].xlsx].xlsx].xlsx]_x_1048"/>
      <sheetName val=".xlsx].xlsx].xlsx].xlsx]_x_1049"/>
      <sheetName val=".xlsx].xlsx].xlsx].xlsx]_x_1050"/>
      <sheetName val=".xlsx].xlsx].xlsx].xlsx]_x_1051"/>
      <sheetName val=".xlsx].xlsx].xlsx].xlsx]_x_1052"/>
      <sheetName val=".xlsx].xlsx].xlsx].xlsx]_x_1053"/>
      <sheetName val=".xlsx].xlsx].xlsx].xlsx]_x_1054"/>
      <sheetName val=".xlsx].xlsx].xlsx].xlsx]_x_1055"/>
      <sheetName val=".xlsx].xlsx].xlsx].xlsx]_x_1056"/>
      <sheetName val=".xlsx].xlsx].xlsx].xlsx]_x_1057"/>
      <sheetName val=".xlsx].xlsx].xlsx].xlsx]_x_1058"/>
      <sheetName val=".xlsx].xlsx].xlsx].xlsx]_x_1059"/>
      <sheetName val=".xlsx].xlsx].xlsx].xlsx]_x_1060"/>
      <sheetName val=".xlsx].xlsx].xlsx].xlsx]_x_1061"/>
      <sheetName val=".xlsx].xlsx].xlsx].xlsx]_x_1062"/>
      <sheetName val=".xlsx].xlsx].xlsx].xlsx]_x_1063"/>
      <sheetName val=".xlsx].xlsx].xlsx].xlsx]_x_1064"/>
      <sheetName val=".xlsx].xlsx].xlsx].xlsx]_x_1065"/>
      <sheetName val=".xlsx].xlsx].xlsx].xlsx]_x_1066"/>
      <sheetName val=".xlsx].xlsx].xlsx].xlsx]_x_1067"/>
      <sheetName val=".xlsx].xlsx].xlsx].xlsx]_x_1068"/>
      <sheetName val=".xlsx].xlsx].xlsx].xlsx]_x_1069"/>
      <sheetName val=".xlsx].xlsx].xlsx].xlsx]_x_1070"/>
      <sheetName val=".xlsx].xlsx].xlsx].xlsx]_x_1071"/>
      <sheetName val=".xlsx].xlsx].xlsx].xlsx]_x_1072"/>
      <sheetName val=".xlsx].xlsx].xlsx].xlsx]_x_1073"/>
      <sheetName val=".xlsx].xlsx].xlsx].xlsx]_x_1074"/>
      <sheetName val=".xlsx].xlsx].xlsx].xlsx]_x_1075"/>
      <sheetName val=".xlsx].xlsx].xlsx].xlsx]_x_1076"/>
      <sheetName val=".xlsx].xlsx].xlsx].xlsx]_x_1077"/>
      <sheetName val=".xlsx].xlsx].xlsx].xlsx]_x_1078"/>
      <sheetName val=".xlsx].xlsx].xlsx].xlsx]_x_1079"/>
      <sheetName val=".xlsx].xlsx].xlsx].xlsx]_x_1080"/>
      <sheetName val=".xlsx].xlsx].xlsx].xlsx]_x_1081"/>
      <sheetName val=".xlsx].xlsx].xlsx].xlsx]_x_1082"/>
      <sheetName val=".xlsx].xlsx].xlsx].xlsx]_x_1083"/>
      <sheetName val=".xlsx].xlsx].xlsx].xlsx]_x_1084"/>
      <sheetName val=".xlsx].xlsx].xlsx].xlsx]_x_1085"/>
      <sheetName val=".xlsx].xlsx].xlsx].xlsx]_x_1086"/>
      <sheetName val=".xlsx].xlsx].xlsx].xlsx]_x_1087"/>
      <sheetName val=".xlsx].xlsx].xlsx].xlsx]_x_1088"/>
      <sheetName val=".xlsx].xlsx].xlsx].xlsx]_x_1089"/>
      <sheetName val=".xlsx].xlsx].xlsx].xlsx]_x_1090"/>
      <sheetName val=".xlsx].xlsx].xlsx].xlsx]_x_1091"/>
      <sheetName val=".xlsx].xlsx].xlsx].xlsx]_x_1092"/>
      <sheetName val=".xlsx].xlsx].xlsx].xlsx]_x_1093"/>
      <sheetName val=".xlsx].xlsx].xlsx].xlsx]_x_1094"/>
      <sheetName val=".xlsx].xlsx].xlsx].xlsx]_x_1095"/>
      <sheetName val=".xlsx].xlsx].xlsx].xlsx]_x_1096"/>
      <sheetName val=".xlsx].xlsx].xlsx].xlsx]_x_1097"/>
      <sheetName val=".xlsx].xlsx].xlsx].xlsx]_x_1098"/>
      <sheetName val=".xlsx].xlsx].xlsx].xlsx]_x_1099"/>
      <sheetName val=".xlsx].xlsx].xlsx].xlsx]_x_1100"/>
      <sheetName val=".xlsx].xlsx].xlsx].xlsx]_x_1101"/>
      <sheetName val=".xlsx].xlsx].xlsx].xlsx]_x_1102"/>
      <sheetName val=".xlsx].xlsx].xlsx].xlsx]_x_1103"/>
      <sheetName val=".xlsx].xlsx].xlsx].xlsx]_x_1104"/>
      <sheetName val=".xlsx].xlsx].xlsx].xlsx]_x_1105"/>
      <sheetName val=".xlsx].xlsx].xlsx].xlsx]_x_1106"/>
      <sheetName val=".xlsx].xlsx].xlsx].xlsx]_x_1107"/>
      <sheetName val=".xlsx].xlsx].xlsx].xlsx]_x_1108"/>
      <sheetName val=".xlsx].xlsx].xlsx].xlsx]_x_1109"/>
      <sheetName val=".xlsx].xlsx].xlsx].xlsx]_x_1110"/>
      <sheetName val=".xlsx].xlsx].xlsx].xlsx]_x_1111"/>
      <sheetName val=".xlsx].xlsx].xlsx].xlsx]_x_1112"/>
      <sheetName val=".xlsx].xlsx].xlsx].xlsx]_x_1113"/>
      <sheetName val=".xlsx].xlsx].xlsx].xlsx]_x_1114"/>
      <sheetName val=".xlsx].xlsx].xlsx].xlsx]_x_1115"/>
      <sheetName val=".xlsx].xlsx].xlsx].xlsx]_x_1116"/>
      <sheetName val=".xlsx].xlsx].xlsx].xlsx]_x_1117"/>
      <sheetName val=".xlsx].xlsx].xlsx].xlsx]_x_1118"/>
      <sheetName val=".xlsx].xlsx].xlsx].xlsx]_x_1119"/>
      <sheetName val=".xlsx].xlsx].xlsx].xlsx]_x_1120"/>
      <sheetName val=".xlsx].xlsx].xlsx].xlsx]_x_1121"/>
      <sheetName val=".xlsx].xlsx].xlsx].xlsx]_x_1122"/>
      <sheetName val=".xlsx].xlsx].xlsx].xlsx]_x_1123"/>
      <sheetName val=".xlsx].xlsx].xlsx].xlsx]_x_1124"/>
      <sheetName val=".xlsx].xlsx].xlsx].xlsx]_x_1125"/>
      <sheetName val=".xlsx].xlsx].xlsx].xlsx]_x_1126"/>
      <sheetName val=".xlsx].xlsx].xlsx].xlsx]_x_1127"/>
      <sheetName val=".xlsx].xlsx].xlsx].xlsx]_x_1128"/>
      <sheetName val=".xlsx].xlsx].xlsx].xlsx]_x_1129"/>
      <sheetName val=".xlsx].xlsx].xlsx].xlsx]_x_1130"/>
      <sheetName val=".xlsx].xlsx].xlsx].xlsx]_x_1131"/>
      <sheetName val=".xlsx].xlsx].xlsx].xlsx]_x_1132"/>
      <sheetName val=".xlsx].xlsx].xlsx].xlsx]_x_1133"/>
      <sheetName val=".xlsx].xlsx].xlsx].xlsx]_x_1134"/>
      <sheetName val=".xlsx].xlsx].xlsx].xlsx]_x_1135"/>
      <sheetName val=".xlsx].xlsx].xlsx].xlsx]_x_1136"/>
      <sheetName val=".xlsx].xlsx].xlsx].xlsx]_x_1137"/>
      <sheetName val=".xlsx].xlsx].xlsx].xlsx]_x_1138"/>
      <sheetName val=".xlsx].xlsx].xlsx].xlsx]_x_1139"/>
      <sheetName val=".xlsx].xlsx].xlsx].xlsx]_x_1140"/>
      <sheetName val=".xlsx].xlsx].xlsx].xlsx]_x_1141"/>
      <sheetName val=".xlsx].xlsx].xlsx].xlsx]_x_1142"/>
      <sheetName val=".xlsx].xlsx].xlsx].xlsx]_x_1143"/>
      <sheetName val=".xlsx].xlsx].xlsx].xlsx]_x_1144"/>
      <sheetName val=".xlsx].xlsx].xlsx].xlsx]_x_1145"/>
      <sheetName val=".xlsx].xlsx].xlsx].xlsx]_x_1146"/>
      <sheetName val=".xlsx].xlsx].xlsx].xlsx]_x_1147"/>
      <sheetName val=".xlsx].xlsx].xlsx].xlsx]_x_1148"/>
      <sheetName val=".xlsx].xlsx].xlsx].xlsx]_x_1149"/>
      <sheetName val=".xlsx].xlsx].xlsx].xlsx]_x_1150"/>
      <sheetName val=".xlsx].xlsx].xlsx].xlsx]_x_1151"/>
      <sheetName val=".xlsx].xlsx].xlsx].xlsx]_x_1152"/>
      <sheetName val=".xlsx].xlsx].xlsx].xlsx]_x_1153"/>
      <sheetName val=".xlsx].xlsx].xlsx].xlsx]_x_1154"/>
      <sheetName val=".xlsx].xlsx].xlsx].xlsx]_x_1155"/>
      <sheetName val=".xlsx].xlsx].xlsx].xlsx]_x_1156"/>
      <sheetName val=".xlsx].xlsx].xlsx].xlsx]_x_1157"/>
      <sheetName val=".xlsx].xlsx].xlsx].xlsx]_x_1158"/>
      <sheetName val=".xlsx].xlsx].xlsx].xlsx]_x_1159"/>
      <sheetName val=".xlsx].xlsx].xlsx].xlsx]_x_1160"/>
      <sheetName val=".xlsx].xlsx].xlsx].xlsx]_x_1161"/>
      <sheetName val=".xlsx].xlsx].xlsx].xlsx]_x_1162"/>
      <sheetName val=".xlsx].xlsx].xlsx].xlsx]_x_1163"/>
      <sheetName val=".xlsx].xlsx].xlsx].xlsx]_x_1164"/>
      <sheetName val=".xlsx].xlsx].xlsx].xlsx]_x_1165"/>
      <sheetName val=".xlsx].xlsx].xlsx].xlsx]_x_1166"/>
      <sheetName val=".xlsx].xlsx].xlsx].xlsx]_x_1167"/>
      <sheetName val=".xlsx].xlsx].xlsx].xlsx]_x_1168"/>
      <sheetName val=".xlsx].xlsx].xlsx].xlsx]_x_1169"/>
      <sheetName val=".xlsx].xlsx].xlsx].xlsx]_x_1170"/>
      <sheetName val=".xlsx].xlsx].xlsx].xlsx]_x_1171"/>
      <sheetName val=".xlsx].xlsx].xlsx].xlsx]_x_1172"/>
      <sheetName val=".xlsx].xlsx].xlsx].xlsx]_x_1173"/>
      <sheetName val=".xlsx].xlsx].xlsx].xlsx]_x_1174"/>
      <sheetName val=".xlsx].xlsx].xlsx].xlsx]_x_1175"/>
      <sheetName val=".xlsx].xlsx].xlsx].xlsx]_x_1176"/>
      <sheetName val=".xlsx].xlsx].xlsx].xlsx]_x_1177"/>
      <sheetName val=".xlsx].xlsx].xlsx].xlsx]_x_1178"/>
      <sheetName val=".xlsx].xlsx].xlsx].xlsx]_x_1179"/>
      <sheetName val=".xlsx].xlsx].xlsx].xlsx]_x_1180"/>
      <sheetName val=".xlsx].xlsx].xlsx].xlsx]_x_1181"/>
      <sheetName val=".xlsx].xlsx].xlsx].xlsx]_x_1182"/>
      <sheetName val=".xlsx].xlsx].xlsx].xlsx]_x_1183"/>
      <sheetName val=".xlsx].xlsx].xlsx].xlsx]_x_1184"/>
      <sheetName val=".xlsx].xlsx].xlsx].xlsx]_x_1185"/>
      <sheetName val=".xlsx].xlsx].xlsx].xlsx]_x_1186"/>
      <sheetName val=".xlsx].xlsx].xlsx].xlsx]_x_1187"/>
      <sheetName val=".xlsx].xlsx].xlsx].xlsx]_x_1188"/>
      <sheetName val=".xlsx].xlsx].xlsx].xlsx]_x_1189"/>
      <sheetName val=".xlsx].xlsx].xlsx].xlsx]_x_1190"/>
      <sheetName val=".xlsx].xlsx].xlsx].xlsx]_x_1191"/>
      <sheetName val=".xlsx].xlsx].xlsx].xlsx]_x_1192"/>
      <sheetName val=".xlsx].xlsx].xlsx].xlsx]_x_1193"/>
      <sheetName val=".xlsx].xlsx].xlsx].xlsx]_x_1194"/>
      <sheetName val=".xlsx].xlsx].xlsx].xlsx]_x_1195"/>
      <sheetName val=".xlsx].xlsx].xlsx].xlsx]_x_1196"/>
      <sheetName val=".xlsx].xlsx].xlsx].xlsx]_x_1197"/>
      <sheetName val=".xlsx].xlsx].xlsx].xlsx]_x_1198"/>
      <sheetName val=".xlsx].xlsx].xlsx].xlsx]_x_1199"/>
      <sheetName val=".xlsx].xlsx].xlsx].xlsx]_x_1200"/>
      <sheetName val=".xlsx].xlsx].xlsx].xlsx]_x_1201"/>
      <sheetName val=".xlsx].xlsx].xlsx].xlsx]_x_1202"/>
      <sheetName val=".xlsx].xlsx].xlsx].xlsx]_x_1203"/>
      <sheetName val=".xlsx].xlsx].xlsx].xlsx]_x_1204"/>
      <sheetName val=".xlsx].xlsx].xlsx].xlsx]_x_1205"/>
      <sheetName val=".xlsx].xlsx].xlsx].xlsx]_x_1206"/>
      <sheetName val=".xlsx].xlsx].xlsx].xlsx]_x_1207"/>
      <sheetName val=".xlsx].xlsx].xlsx].xlsx]_x_1208"/>
      <sheetName val=".xlsx].xlsx].xlsx].xlsx]_x_1209"/>
      <sheetName val=".xlsx].xlsx].xlsx].xlsx]_x_1210"/>
      <sheetName val=".xlsx].xlsx].xlsx].xlsx]_x_1211"/>
      <sheetName val=".xlsx].xlsx].xlsx].xlsx]_x_1212"/>
      <sheetName val=".xlsx].xlsx].xlsx].xlsx]_x_1213"/>
      <sheetName val=".xlsx].xlsx].xlsx].xlsx]_x_1214"/>
      <sheetName val=".xlsx].xlsx].xlsx].xlsx]_x_1215"/>
      <sheetName val=".xlsx].xlsx].xlsx].xlsx]_x_1216"/>
      <sheetName val=".xlsx].xlsx].xlsx].xlsx]_x_1217"/>
      <sheetName val=".xlsx].xlsx].xlsx].xlsx]_x_1218"/>
      <sheetName val=".xlsx].xlsx].xlsx].xlsx]_x_1219"/>
      <sheetName val=".xlsx].xlsx].xlsx].xlsx]_x_1220"/>
      <sheetName val=".xlsx].xlsx].xlsx].xlsx]_x_1221"/>
      <sheetName val=".xlsx].xlsx].xlsx].xlsx]_x_1222"/>
      <sheetName val=".xlsx].xlsx].xlsx].xlsx]_x_1223"/>
      <sheetName val=".xlsx].xlsx].xlsx].xlsx]_x_1224"/>
      <sheetName val=".xlsx].xlsx].xlsx].xlsx]_x_1225"/>
      <sheetName val=".xlsx].xlsx].xlsx].xlsx]_x_1226"/>
      <sheetName val=".xlsx].xlsx].xlsx].xlsx]_x_1227"/>
      <sheetName val=".xlsx].xlsx].xlsx].xlsx]_x_1228"/>
      <sheetName val=".xlsx].xlsx].xlsx].xlsx]_x_1229"/>
      <sheetName val=".xlsx].xlsx].xlsx].xlsx]_x_1230"/>
      <sheetName val=".xlsx].xlsx].xlsx].xlsx]_x_1231"/>
      <sheetName val=".xlsx].xlsx].xlsx].xlsx]_x_1232"/>
      <sheetName val=".xlsx].xlsx].xlsx].xlsx]_x_1233"/>
      <sheetName val=".xlsx].xlsx].xlsx].xlsx]_x_1234"/>
      <sheetName val=".xlsx].xlsx].xlsx].xlsx]_x_1235"/>
      <sheetName val=".xlsx].xlsx].xlsx].xlsx]_x_1236"/>
      <sheetName val=".xlsx].xlsx].xlsx].xlsx]_x_1237"/>
      <sheetName val=".xlsx].xlsx].xlsx].xlsx]_x_1238"/>
      <sheetName val=".xlsx].xlsx].xlsx].xlsx]_x_1239"/>
      <sheetName val=".xlsx].xlsx].xlsx].xlsx]_x_1240"/>
      <sheetName val=".xlsx].xlsx].xlsx].xlsx]_x_1241"/>
      <sheetName val=".xlsx].xlsx].xlsx].xlsx]_x_1242"/>
      <sheetName val=".xlsx].xlsx].xlsx].xlsx]_x_1243"/>
      <sheetName val=".xlsx].xlsx].xlsx].xlsx]_x_1244"/>
      <sheetName val=".xlsx].xlsx].xlsx].xlsx]_x_1245"/>
      <sheetName val=".xlsx].xlsx].xlsx].xlsx]_x_1246"/>
      <sheetName val=".xlsx].xlsx].xlsx].xlsx]_x_1247"/>
      <sheetName val=".xlsx].xlsx].xlsx].xlsx]_x_1248"/>
      <sheetName val=".xlsx].xlsx].xlsx].xlsx]_x_1249"/>
      <sheetName val=".xlsx].xlsx].xlsx].xlsx]_x_1250"/>
      <sheetName val=".xlsx].xlsx].xlsx].xlsx]_x_1251"/>
      <sheetName val=".xlsx].xlsx].xlsx].xlsx]_x_1252"/>
      <sheetName val=".xlsx].xlsx].xlsx].xlsx]_x_1253"/>
      <sheetName val=".xlsx].xlsx].xlsx].xlsx]_x_1254"/>
      <sheetName val=".xlsx].xlsx].xlsx].xlsx]_x_1255"/>
      <sheetName val=".xlsx].xlsx].xlsx].xlsx]_x_1256"/>
      <sheetName val=".xlsx].xlsx].xlsx].xlsx]_x_1257"/>
      <sheetName val=".xlsx].xlsx].xlsx].xlsx]_x_1258"/>
      <sheetName val=".xlsx].xlsx].xlsx].xlsx]_x_1259"/>
      <sheetName val=".xlsx].xlsx].xlsx].xlsx]_x_1260"/>
      <sheetName val=".xlsx].xlsx].xlsx].xlsx]_x_1261"/>
      <sheetName val=".xlsx].xlsx].xlsx].xlsx]_x_1262"/>
      <sheetName val=".xlsx].xlsx].xlsx].xlsx]_x_1263"/>
      <sheetName val=".xlsx].xlsx].xlsx].xlsx]_x_1264"/>
      <sheetName val=".xlsx].xlsx].xlsx].xlsx]_x_1265"/>
      <sheetName val=".xlsx].xlsx].xlsx].xlsx]_x_1266"/>
      <sheetName val=".xlsx].xlsx].xlsx].xlsx]_x_1267"/>
      <sheetName val=".xlsx].xlsx].xlsx].xlsx]_x_1268"/>
      <sheetName val=".xlsx].xlsx].xlsx].xlsx]_x_1269"/>
      <sheetName val=".xlsx].xlsx].xlsx].xlsx]_x_1270"/>
      <sheetName val=".xlsx].xlsx].xlsx].xlsx]_x_1271"/>
      <sheetName val=".xlsx].xlsx].xlsx].xlsx]_x_1272"/>
      <sheetName val=".xlsx].xlsx].xlsx].xlsx]_x_1273"/>
      <sheetName val=".xlsx].xlsx].xlsx].xlsx]_x_1274"/>
      <sheetName val=".xlsx].xlsx].xlsx].xlsx]_x_1275"/>
      <sheetName val=".xlsx].xlsx].xlsx].xlsx]_x_1276"/>
      <sheetName val=".xlsx].xlsx].xlsx].xlsx]_x_1277"/>
      <sheetName val=".xlsx].xlsx].xlsx].xlsx]_x_1278"/>
      <sheetName val=".xlsx].xlsx].xlsx].xlsx]_x_1279"/>
      <sheetName val=".xlsx].xlsx].xlsx].xlsx]_x_1280"/>
      <sheetName val=".xlsx].xlsx].xlsx].xlsx]_x_1281"/>
      <sheetName val=".xlsx].xlsx].xlsx].xlsx]_x_1282"/>
      <sheetName val=".xlsx].xlsx].xlsx].xlsx]_x_1283"/>
      <sheetName val=".xlsx].xlsx].xlsx].xlsx]_x_1284"/>
      <sheetName val=".xlsx].xlsx].xlsx].xlsx]_x_1285"/>
      <sheetName val=".xlsx].xlsx].xlsx].xlsx]_x_1286"/>
      <sheetName val=".xlsx].xlsx].xlsx].xlsx]_x_1287"/>
      <sheetName val=".xlsx].xlsx].xlsx].xlsx]_x_1288"/>
      <sheetName val=".xlsx].xlsx].xlsx].xlsx]_x_1289"/>
      <sheetName val=".xlsx].xlsx].xlsx].xlsx]_x_1290"/>
      <sheetName val=".xlsx].xlsx].xlsx].xlsx]_x_1291"/>
      <sheetName val=".xlsx].xlsx].xlsx].xlsx]_x_1292"/>
      <sheetName val=".xlsx].xlsx].xlsx].xlsx]_x_1293"/>
      <sheetName val=".xlsx].xlsx].xlsx].xlsx]_x_1294"/>
      <sheetName val=".xlsx].xlsx].xlsx].xlsx]_x_1295"/>
      <sheetName val=".xlsx].xlsx].xlsx].xlsx]_x_1296"/>
      <sheetName val=".xlsx].xlsx].xlsx].xlsx]_x_1297"/>
      <sheetName val=".xlsx].xlsx].xlsx].xlsx]_x_1298"/>
      <sheetName val=".xlsx].xlsx].xlsx].xlsx]_x_1299"/>
      <sheetName val=".xlsx].xlsx].xlsx].xlsx]_x_1300"/>
      <sheetName val=".xlsx].xlsx].xlsx].xlsx]_x_1301"/>
      <sheetName val=".xlsx].xlsx].xlsx].xlsx]_x_1302"/>
      <sheetName val=".xlsx].xlsx].xlsx].xlsx]_x_1303"/>
      <sheetName val=".xlsx].xlsx].xlsx].xlsx]_x_1304"/>
      <sheetName val=".xlsx].xlsx].xlsx].xlsx]_x_1305"/>
      <sheetName val=".xlsx].xlsx].xlsx].xlsx]_x_1306"/>
      <sheetName val=".xlsx].xlsx].xlsx].xlsx]_x_1307"/>
      <sheetName val=".xlsx].xlsx].xlsx].xlsx]_x_1308"/>
      <sheetName val=".xlsx].xlsx].xlsx].xlsx]_x_1309"/>
      <sheetName val=".xlsx].xlsx].xlsx].xlsx]_x_1310"/>
      <sheetName val=".xlsx].xlsx].xlsx].xlsx]_x_1311"/>
      <sheetName val=".xlsx].xlsx].xlsx].xlsx]_x_1312"/>
      <sheetName val=".xlsx].xlsx].xlsx].xlsx]_x_1313"/>
      <sheetName val=".xlsx].xlsx].xlsx].xlsx]_x_1314"/>
      <sheetName val=".xlsx].xlsx].xlsx].xlsx]_x_1315"/>
      <sheetName val=".xlsx].xlsx].xlsx].xlsx]_x_1316"/>
      <sheetName val=".xlsx].xlsx].xlsx].xlsx]_x_1317"/>
      <sheetName val=".xlsx].xlsx].xlsx].xlsx]_x_1318"/>
      <sheetName val=".xlsx].xlsx].xlsx].xlsx]_x_1319"/>
      <sheetName val=".xlsx].xlsx].xlsx].xlsx]_x_1320"/>
      <sheetName val=".xlsx].xlsx].xlsx].xlsx]_x_1321"/>
      <sheetName val=".xlsx].xlsx].xlsx].xlsx]_x_1322"/>
      <sheetName val=".xlsx].xlsx].xlsx].xlsx]Form__2"/>
      <sheetName val=".xlsx].xlsx].xlsx].xlsx]Form__3"/>
      <sheetName val=".xlsx].xlsx].xlsx].xlsx]Form__4"/>
      <sheetName val=".xlsx].xlsx].xlsx].xlsx]Form__5"/>
      <sheetName val=".xlsx].xlsx].xlsx].xlsx]Form__6"/>
      <sheetName val=".xlsx].xlsx].xlsx].xlsx]Form__7"/>
      <sheetName val=".xlsx].xlsx].xlsx].xlsx]Form__8"/>
      <sheetName val=".xlsx].xlsx].xlsx].xlsx]Form__9"/>
      <sheetName val=".xlsx].xlsx].xlsx].xlsx]Check_2"/>
      <sheetName val=".xlsx].xlsx].xlsx].xlsx]Align_2"/>
      <sheetName val=".xlsx].xlsx].xlsx].xlsx]Bench_2"/>
      <sheetName val=".xlsx].xlsx].xlsx].xlsx]Station"/>
      <sheetName val=".xlsx].xlsx].xlsx].xlsx]Soil__2"/>
      <sheetName val=".xlsx].xlsx].xlsx].xlsx]Lokas_2"/>
      <sheetName val=".xlsx].xlsx].xlsx].xlsx]Site__2"/>
      <sheetName val=".xlsx].xlsx].xlsx].xlsx]Perim_2"/>
      <sheetName val=".xlsx].xlsx].xlsx].xlsx]Check_3"/>
      <sheetName val=".xlsx].xlsx].xlsx].xlsx]Drop__2"/>
      <sheetName val=".xlsx].xlsx].xlsx].xlsx]On_Go_2"/>
      <sheetName val=".xlsx].xlsx].xlsx].xlsx]Migra_2"/>
      <sheetName val=".xlsx].xlsx].xlsx].xlsx]Sheet1"/>
      <sheetName val=".xlsx].xlsx].xlsx]Form_Update_2"/>
      <sheetName val=".xlsx].xlsx].xlsx]Form_Update_3"/>
      <sheetName val=".xlsx].xlsx].xlsx]Form_Update_4"/>
      <sheetName val=".xlsx].xlsx].xlsx]Form_Update_5"/>
      <sheetName val=".xlsx].xlsx].xlsx]Form_Update_6"/>
      <sheetName val=".xlsx].xlsx].xlsx]Form_Update_7"/>
      <sheetName val=".xlsx].xlsx].xlsx]Form_Update_8"/>
      <sheetName val=".xlsx].xlsx].xlsx]Form_Update_9"/>
      <sheetName val=".xlsx].xlsx].xlsx]Check_per_P_2"/>
      <sheetName val=".xlsx].xlsx].xlsx]Alignment"/>
      <sheetName val=".xlsx].xlsx].xlsx]Bench Mark"/>
      <sheetName val=".xlsx].xlsx].xlsx]Station"/>
      <sheetName val=".xlsx].xlsx].xlsx]Soil_Invest_2"/>
      <sheetName val=".xlsx].xlsx].xlsx]Lokasi_Proj_2"/>
      <sheetName val=".xlsx].xlsx].xlsx]Site Facility"/>
      <sheetName val=".xlsx].xlsx].xlsx]Perimeter_P_2"/>
      <sheetName val=".xlsx].xlsx].xlsx]Check_List__2"/>
      <sheetName val=".xlsx].xlsx].xlsx]Drop Down"/>
      <sheetName val=".xlsx].xlsx].xlsx]On_Going_Pr_2"/>
      <sheetName val=".xlsx].xlsx].xlsx]Migrasi_Dat_2"/>
      <sheetName val=".xlsx].xlsx].xlsx]Sheet1"/>
      <sheetName val=".xlsx].xlsx]Form_Update_Data__2"/>
      <sheetName val=".xlsx].xlsx]Form_Update_Data__3"/>
      <sheetName val=".xlsx].xlsx]Form_Update_Data__4"/>
      <sheetName val=".xlsx].xlsx]Form_Update_Data__5"/>
      <sheetName val=".xlsx].xlsx]Form_Update_Data__6"/>
      <sheetName val=".xlsx].xlsx]Form_Update_Data__7"/>
      <sheetName val=".xlsx].xlsx]Form_Update_Data__8"/>
      <sheetName val=".xlsx].xlsx]Form_Update_Data__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#REF!</fb>
    <v>3</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K1341" totalsRowShown="0">
  <autoFilter ref="A1:AK1341" xr:uid="{00000000-0009-0000-0100-000001000000}">
    <filterColumn colId="3">
      <filters blank="1">
        <filter val="agnes.shelvira@waskita.co.id"/>
        <filter val="ahmad.rival@waskita.co.id"/>
        <filter val="ajik.prastiyo@waskita.co.id"/>
        <filter val="aldian.winata@waskita.co.id"/>
        <filter val="alfian.budi@waskita.co.id"/>
        <filter val="ali.amirrudin@waskita.co.id"/>
        <filter val="andi.firdaus_waskitakarya"/>
        <filter val="andiran.dwi@waskita.co.id"/>
        <filter val="andri.j@waskita.co.id"/>
        <filter val="anonymous"/>
        <filter val="arif.setiawan@waskita.co.id"/>
        <filter val="basuki.rahmat@waskita.co.id"/>
        <filter val="Dhani.ramdhani@Waskita.co.id"/>
        <filter val="fajar.kurniawan@waskita.co.id"/>
        <filter val="fajar.sodiq@waskita.co.id"/>
        <filter val="fian.aziz@waskita.co.id"/>
        <filter val="iklam.choeru@waskita.co.id"/>
        <filter val="imam.islami@waskita.co.id"/>
        <filter val="imam.nuraziz@waskita.co.id"/>
        <filter val="isnaen.dwi@waskita.co.id"/>
        <filter val="kretek.girijati@waskita.co.id"/>
        <filter val="lot2blitar@waskita.co.id"/>
        <filter val="msaifudin.ashari@waskita.co.id"/>
        <filter val="muhammad.ardian@waskita.co.id"/>
        <filter val="muhammad.yusron@waskita.co.id"/>
        <filter val="nizar.zulkarnain@waskita.co.id"/>
        <filter val="nungki.herdiana@waskita.co.id"/>
        <filter val="olhika.adzalia@waskita.co.id"/>
        <filter val="portaladminwskt"/>
        <filter val="raymond.andhika@waskita.co.id"/>
        <filter val="rezky.yudhaseno@waskita.co.id"/>
        <filter val="rio.david@waskita.co.id"/>
        <filter val="rizky.saputra@waskita.co.id"/>
      </filters>
    </filterColumn>
  </autoFilter>
  <sortState xmlns:xlrd2="http://schemas.microsoft.com/office/spreadsheetml/2017/richdata2" ref="A2:AK1335">
    <sortCondition ref="B1:B1335"/>
  </sortState>
  <tableColumns count="37">
    <tableColumn id="1" xr3:uid="{00000000-0010-0000-0000-000001000000}" name="Id" dataDxfId="61">
      <extLst>
        <ext xmlns:xlmsforms="http://schemas.microsoft.com/office/spreadsheetml/2023/msForms" uri="{FCC71383-01E1-4257-9335-427F07BE8D7F}">
          <xlmsforms:question id="id"/>
        </ext>
      </extLst>
    </tableColumn>
    <tableColumn id="2" xr3:uid="{00000000-0010-0000-0000-000002000000}" name="Start time" dataDxfId="60">
      <extLst>
        <ext xmlns:xlmsforms="http://schemas.microsoft.com/office/spreadsheetml/2023/msForms" uri="{FCC71383-01E1-4257-9335-427F07BE8D7F}">
          <xlmsforms:question id="startDate"/>
        </ext>
      </extLst>
    </tableColumn>
    <tableColumn id="3" xr3:uid="{00000000-0010-0000-0000-000003000000}" name="Completion time" dataDxfId="59">
      <extLst>
        <ext xmlns:xlmsforms="http://schemas.microsoft.com/office/spreadsheetml/2023/msForms" uri="{FCC71383-01E1-4257-9335-427F07BE8D7F}">
          <xlmsforms:question id="submitDate"/>
        </ext>
      </extLst>
    </tableColumn>
    <tableColumn id="4" xr3:uid="{00000000-0010-0000-0000-000004000000}" name="Email" dataDxfId="58">
      <extLst>
        <ext xmlns:xlmsforms="http://schemas.microsoft.com/office/spreadsheetml/2023/msForms" uri="{FCC71383-01E1-4257-9335-427F07BE8D7F}">
          <xlmsforms:question id="responder"/>
        </ext>
      </extLst>
    </tableColumn>
    <tableColumn id="5" xr3:uid="{00000000-0010-0000-0000-000005000000}" name="Name" dataDxfId="57">
      <extLst>
        <ext xmlns:xlmsforms="http://schemas.microsoft.com/office/spreadsheetml/2023/msForms" uri="{FCC71383-01E1-4257-9335-427F07BE8D7F}">
          <xlmsforms:question id="responderName"/>
        </ext>
      </extLst>
    </tableColumn>
    <tableColumn id="6" xr3:uid="{00000000-0010-0000-0000-000006000000}" name="Nama Pelapor" dataDxfId="56">
      <extLst>
        <ext xmlns:xlmsforms="http://schemas.microsoft.com/office/spreadsheetml/2023/msForms" uri="{FCC71383-01E1-4257-9335-427F07BE8D7F}">
          <xlmsforms:question id="r1123a6296de045a6b5fd870f053d57cc"/>
        </ext>
      </extLst>
    </tableColumn>
    <tableColumn id="7" xr3:uid="{00000000-0010-0000-0000-000007000000}" name="Nama Proyek" dataDxfId="55">
      <extLst>
        <ext xmlns:xlmsforms="http://schemas.microsoft.com/office/spreadsheetml/2023/msForms" uri="{FCC71383-01E1-4257-9335-427F07BE8D7F}">
          <xlmsforms:question id="r8ab42dc4f717419d9409db05dde51dcc"/>
        </ext>
      </extLst>
    </tableColumn>
    <tableColumn id="8" xr3:uid="{00000000-0010-0000-0000-000008000000}" name="Periode Progres" dataDxfId="54">
      <extLst>
        <ext xmlns:xlmsforms="http://schemas.microsoft.com/office/spreadsheetml/2023/msForms" uri="{FCC71383-01E1-4257-9335-427F07BE8D7F}">
          <xlmsforms:question id="r8f39eed1fc53493994bed8782ba030cc"/>
        </ext>
      </extLst>
    </tableColumn>
    <tableColumn id="9" xr3:uid="{00000000-0010-0000-0000-000009000000}" name="Presentase Aktual Progress" dataDxfId="53">
      <extLst>
        <ext xmlns:xlmsforms="http://schemas.microsoft.com/office/spreadsheetml/2023/msForms" uri="{FCC71383-01E1-4257-9335-427F07BE8D7F}">
          <xlmsforms:question id="r5e4d59bdab104704b4ef86813097d2e5"/>
        </ext>
      </extLst>
    </tableColumn>
    <tableColumn id="10" xr3:uid="{00000000-0010-0000-0000-00000A000000}" name="Presentase Rencana Progress" dataDxfId="52">
      <extLst>
        <ext xmlns:xlmsforms="http://schemas.microsoft.com/office/spreadsheetml/2023/msForms" uri="{FCC71383-01E1-4257-9335-427F07BE8D7F}">
          <xlmsforms:question id="rcd0383c526be4796849f407be9f7ca06"/>
        </ext>
      </extLst>
    </tableColumn>
    <tableColumn id="11" xr3:uid="{00000000-0010-0000-0000-00000B000000}" name="Presentase BAB 1" dataDxfId="51">
      <extLst>
        <ext xmlns:xlmsforms="http://schemas.microsoft.com/office/spreadsheetml/2023/msForms" uri="{FCC71383-01E1-4257-9335-427F07BE8D7F}">
          <xlmsforms:question id="r7e9e0a63d1d941b487ea6ec3ee68d131"/>
        </ext>
      </extLst>
    </tableColumn>
    <tableColumn id="12" xr3:uid="{00000000-0010-0000-0000-00000C000000}" name="Presentase BAB 2" dataDxfId="50">
      <extLst>
        <ext xmlns:xlmsforms="http://schemas.microsoft.com/office/spreadsheetml/2023/msForms" uri="{FCC71383-01E1-4257-9335-427F07BE8D7F}">
          <xlmsforms:question id="r5b66793b6cac4ba9accaa929693778c1"/>
        </ext>
      </extLst>
    </tableColumn>
    <tableColumn id="13" xr3:uid="{00000000-0010-0000-0000-00000D000000}" name="Presentase BAB 3" dataDxfId="49">
      <extLst>
        <ext xmlns:xlmsforms="http://schemas.microsoft.com/office/spreadsheetml/2023/msForms" uri="{FCC71383-01E1-4257-9335-427F07BE8D7F}">
          <xlmsforms:question id="r69bfe5cac88346eaafe0aa310f899e4a"/>
        </ext>
      </extLst>
    </tableColumn>
    <tableColumn id="14" xr3:uid="{00000000-0010-0000-0000-00000E000000}" name="Presentase BAB 4" dataDxfId="48">
      <extLst>
        <ext xmlns:xlmsforms="http://schemas.microsoft.com/office/spreadsheetml/2023/msForms" uri="{FCC71383-01E1-4257-9335-427F07BE8D7F}">
          <xlmsforms:question id="ra890d7562a6340a1b9eb787a3dfc9fde"/>
        </ext>
      </extLst>
    </tableColumn>
    <tableColumn id="15" xr3:uid="{00000000-0010-0000-0000-00000F000000}" name="Presentase BAB 5" dataDxfId="47">
      <extLst>
        <ext xmlns:xlmsforms="http://schemas.microsoft.com/office/spreadsheetml/2023/msForms" uri="{FCC71383-01E1-4257-9335-427F07BE8D7F}">
          <xlmsforms:question id="r5f2e81f37b7640a8b5fec9ba8c6b990e"/>
        </ext>
      </extLst>
    </tableColumn>
    <tableColumn id="16" xr3:uid="{00000000-0010-0000-0000-000010000000}" name="Presentase BAB 6" dataDxfId="46">
      <extLst>
        <ext xmlns:xlmsforms="http://schemas.microsoft.com/office/spreadsheetml/2023/msForms" uri="{FCC71383-01E1-4257-9335-427F07BE8D7F}">
          <xlmsforms:question id="r1e88102f5ffd43a08bb9a37d03c1df45"/>
        </ext>
      </extLst>
    </tableColumn>
    <tableColumn id="17" xr3:uid="{00000000-0010-0000-0000-000011000000}" name="Presentase BAB 7" dataDxfId="45">
      <extLst>
        <ext xmlns:xlmsforms="http://schemas.microsoft.com/office/spreadsheetml/2023/msForms" uri="{FCC71383-01E1-4257-9335-427F07BE8D7F}">
          <xlmsforms:question id="rd52b5f3e59ed42da8cfc8b4b66cd935d"/>
        </ext>
      </extLst>
    </tableColumn>
    <tableColumn id="18" xr3:uid="{00000000-0010-0000-0000-000012000000}" name="Presentase BAB 8" dataDxfId="44">
      <extLst>
        <ext xmlns:xlmsforms="http://schemas.microsoft.com/office/spreadsheetml/2023/msForms" uri="{FCC71383-01E1-4257-9335-427F07BE8D7F}">
          <xlmsforms:question id="r0616be6d21b14191a5ad620b6c5fb67a"/>
        </ext>
      </extLst>
    </tableColumn>
    <tableColumn id="19" xr3:uid="{00000000-0010-0000-0000-000013000000}" name="Presentase BAB 9" dataDxfId="43">
      <extLst>
        <ext xmlns:xlmsforms="http://schemas.microsoft.com/office/spreadsheetml/2023/msForms" uri="{FCC71383-01E1-4257-9335-427F07BE8D7F}">
          <xlmsforms:question id="r277395e1d72748508f9a8a05dedda26d"/>
        </ext>
      </extLst>
    </tableColumn>
    <tableColumn id="20" xr3:uid="{00000000-0010-0000-0000-000014000000}" name="Presentase BAB 10" dataDxfId="42">
      <extLst>
        <ext xmlns:xlmsforms="http://schemas.microsoft.com/office/spreadsheetml/2023/msForms" uri="{FCC71383-01E1-4257-9335-427F07BE8D7F}">
          <xlmsforms:question id="r6918a44a56ff4350bb5bb76541b453a6"/>
        </ext>
      </extLst>
    </tableColumn>
    <tableColumn id="21" xr3:uid="{00000000-0010-0000-0000-000015000000}" name="Presentase BAB 11" dataDxfId="41">
      <extLst>
        <ext xmlns:xlmsforms="http://schemas.microsoft.com/office/spreadsheetml/2023/msForms" uri="{FCC71383-01E1-4257-9335-427F07BE8D7F}">
          <xlmsforms:question id="r8c044e0589d1429a98fbb8efd6c5bce6"/>
        </ext>
      </extLst>
    </tableColumn>
    <tableColumn id="22" xr3:uid="{00000000-0010-0000-0000-000016000000}" name="Presentase BAB 12" dataDxfId="40">
      <extLst>
        <ext xmlns:xlmsforms="http://schemas.microsoft.com/office/spreadsheetml/2023/msForms" uri="{FCC71383-01E1-4257-9335-427F07BE8D7F}">
          <xlmsforms:question id="racd554d1a09846b49b9a42b50b9b7708"/>
        </ext>
      </extLst>
    </tableColumn>
    <tableColumn id="23" xr3:uid="{00000000-0010-0000-0000-000017000000}" name="Presentase BAB 13" dataDxfId="39">
      <extLst>
        <ext xmlns:xlmsforms="http://schemas.microsoft.com/office/spreadsheetml/2023/msForms" uri="{FCC71383-01E1-4257-9335-427F07BE8D7F}">
          <xlmsforms:question id="rdf0a29719bbe46e9853a09e9f81a5144"/>
        </ext>
      </extLst>
    </tableColumn>
    <tableColumn id="24" xr3:uid="{00000000-0010-0000-0000-000018000000}" name="Presentase BAB 14" dataDxfId="38">
      <extLst>
        <ext xmlns:xlmsforms="http://schemas.microsoft.com/office/spreadsheetml/2023/msForms" uri="{FCC71383-01E1-4257-9335-427F07BE8D7F}">
          <xlmsforms:question id="r198ed0825a024d0d8888886040571dcb"/>
        </ext>
      </extLst>
    </tableColumn>
    <tableColumn id="25" xr3:uid="{00000000-0010-0000-0000-000019000000}" name="Presentase BAB 15" dataDxfId="37">
      <extLst>
        <ext xmlns:xlmsforms="http://schemas.microsoft.com/office/spreadsheetml/2023/msForms" uri="{FCC71383-01E1-4257-9335-427F07BE8D7F}">
          <xlmsforms:question id="rb8400c112ac84d7f893afb7beb8e4b70"/>
        </ext>
      </extLst>
    </tableColumn>
    <tableColumn id="26" xr3:uid="{00000000-0010-0000-0000-00001A000000}" name="Presentase BAB 16" dataDxfId="36">
      <extLst>
        <ext xmlns:xlmsforms="http://schemas.microsoft.com/office/spreadsheetml/2023/msForms" uri="{FCC71383-01E1-4257-9335-427F07BE8D7F}">
          <xlmsforms:question id="r8e7be41a67044718ad7014707a9e0b6e"/>
        </ext>
      </extLst>
    </tableColumn>
    <tableColumn id="27" xr3:uid="{00000000-0010-0000-0000-00001B000000}" name="Link Dokumentasi Video Drone" dataDxfId="35">
      <extLst>
        <ext xmlns:xlmsforms="http://schemas.microsoft.com/office/spreadsheetml/2023/msForms" uri="{FCC71383-01E1-4257-9335-427F07BE8D7F}">
          <xlmsforms:question id="r41e3b128b72b404598702f447a89239d"/>
        </ext>
      </extLst>
    </tableColumn>
    <tableColumn id="28" xr3:uid="{00000000-0010-0000-0000-00001C000000}" name="Link Dokumentasi Foto" dataDxfId="34">
      <extLst>
        <ext xmlns:xlmsforms="http://schemas.microsoft.com/office/spreadsheetml/2023/msForms" uri="{FCC71383-01E1-4257-9335-427F07BE8D7F}">
          <xlmsforms:question id="r0eb58bdcda1b4b4fa4950ea8ed8b49d5"/>
        </ext>
      </extLst>
    </tableColumn>
    <tableColumn id="29" xr3:uid="{00000000-0010-0000-0000-00001D000000}" name="Link Orthophoto" dataDxfId="33">
      <extLst>
        <ext xmlns:xlmsforms="http://schemas.microsoft.com/office/spreadsheetml/2023/msForms" uri="{FCC71383-01E1-4257-9335-427F07BE8D7F}">
          <xlmsforms:question id="rd6dbe27a503b46c6ad0e01ac79f15c6e"/>
        </ext>
      </extLst>
    </tableColumn>
    <tableColumn id="30" xr3:uid="{00000000-0010-0000-0000-00001E000000}" name="Link Reality Modeling" dataDxfId="32">
      <extLst>
        <ext xmlns:xlmsforms="http://schemas.microsoft.com/office/spreadsheetml/2023/msForms" uri="{FCC71383-01E1-4257-9335-427F07BE8D7F}">
          <xlmsforms:question id="r2ca3b440d2ab4c67b13bca14fbd6fba3"/>
        </ext>
      </extLst>
    </tableColumn>
    <tableColumn id="31" xr3:uid="{00000000-0010-0000-0000-00001F000000}" name="Periode Issue" dataDxfId="31">
      <extLst>
        <ext xmlns:xlmsforms="http://schemas.microsoft.com/office/spreadsheetml/2023/msForms" uri="{FCC71383-01E1-4257-9335-427F07BE8D7F}">
          <xlmsforms:question id="rd71bd134816742a7bb6afec40cc39178"/>
        </ext>
      </extLst>
    </tableColumn>
    <tableColumn id="32" xr3:uid="{00000000-0010-0000-0000-000020000000}" name="Issue" dataDxfId="30">
      <extLst>
        <ext xmlns:xlmsforms="http://schemas.microsoft.com/office/spreadsheetml/2023/msForms" uri="{FCC71383-01E1-4257-9335-427F07BE8D7F}">
          <xlmsforms:question id="rb1c7da519cdd4100b4af4ac7272e15e4"/>
        </ext>
      </extLst>
    </tableColumn>
    <tableColumn id="33" xr3:uid="{1A601CD1-4C73-4370-815F-45EBD40A85E4}" name="Koordinat Proyek" dataDxfId="29">
      <calculatedColumnFormula>VLOOKUP(OfficeForms.Table[[#This Row],[Nama Proyek]],'Nama Proyek'!$D$2:$G$29,4,0)</calculatedColumnFormula>
    </tableColumn>
    <tableColumn id="34" xr3:uid="{220DBB6B-6E37-4952-98A8-37743C21A55A}" name="Lat" dataDxfId="28"/>
    <tableColumn id="35" xr3:uid="{C8BCE5A5-51FE-4A67-A570-9358EB799A3F}" name="Long" dataDxfId="27"/>
    <tableColumn id="36" xr3:uid="{66F6C374-EBEB-43C0-A27B-EC8EE169A49A}" name="Status" dataDxfId="26"/>
    <tableColumn id="37" xr3:uid="{08E2839D-85DE-4E17-ADB6-51FA400FFD8E}" name="__PowerAppsId__" dataDxfId="25"/>
  </tableColumns>
  <tableStyleInfo name="TableStyleMedium2" showFirstColumn="0" showLastColumn="0" showRowStripes="1" showColumnStripes="0"/>
  <extLst>
    <ext xmlns:xlmsforms="http://schemas.microsoft.com/office/spreadsheetml/2023/msForms" uri="{839C7E11-91E4-4DBD-9C5D-0DEA604FA9AC}">
      <xlmsforms:msForm id="RdCsFpoeKkaDanGXf3barfwI81zcb5hAs-kIHfAtS1ZUNU1JQktQSUJEVENVNkk0WThRTUY3MTZLUi4u" isFormConnected="1" maxResponseId="252" latestEventMarker="26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r1123a6296de045a6b5fd870f053d57cc</xlmsforms:syncedQuestionId>
        <xlmsforms:syncedQuestionId>r8ab42dc4f717419d9409db05dde51dcc</xlmsforms:syncedQuestionId>
        <xlmsforms:syncedQuestionId>r8f39eed1fc53493994bed8782ba030cc</xlmsforms:syncedQuestionId>
        <xlmsforms:syncedQuestionId>r5e4d59bdab104704b4ef86813097d2e5</xlmsforms:syncedQuestionId>
        <xlmsforms:syncedQuestionId>rcd0383c526be4796849f407be9f7ca06</xlmsforms:syncedQuestionId>
        <xlmsforms:syncedQuestionId>r7e9e0a63d1d941b487ea6ec3ee68d131</xlmsforms:syncedQuestionId>
        <xlmsforms:syncedQuestionId>r5b66793b6cac4ba9accaa929693778c1</xlmsforms:syncedQuestionId>
        <xlmsforms:syncedQuestionId>r69bfe5cac88346eaafe0aa310f899e4a</xlmsforms:syncedQuestionId>
        <xlmsforms:syncedQuestionId>ra890d7562a6340a1b9eb787a3dfc9fde</xlmsforms:syncedQuestionId>
        <xlmsforms:syncedQuestionId>r5f2e81f37b7640a8b5fec9ba8c6b990e</xlmsforms:syncedQuestionId>
        <xlmsforms:syncedQuestionId>r1e88102f5ffd43a08bb9a37d03c1df45</xlmsforms:syncedQuestionId>
        <xlmsforms:syncedQuestionId>rd52b5f3e59ed42da8cfc8b4b66cd935d</xlmsforms:syncedQuestionId>
        <xlmsforms:syncedQuestionId>r0616be6d21b14191a5ad620b6c5fb67a</xlmsforms:syncedQuestionId>
        <xlmsforms:syncedQuestionId>r277395e1d72748508f9a8a05dedda26d</xlmsforms:syncedQuestionId>
        <xlmsforms:syncedQuestionId>r6918a44a56ff4350bb5bb76541b453a6</xlmsforms:syncedQuestionId>
        <xlmsforms:syncedQuestionId>r8c044e0589d1429a98fbb8efd6c5bce6</xlmsforms:syncedQuestionId>
        <xlmsforms:syncedQuestionId>racd554d1a09846b49b9a42b50b9b7708</xlmsforms:syncedQuestionId>
        <xlmsforms:syncedQuestionId>rdf0a29719bbe46e9853a09e9f81a5144</xlmsforms:syncedQuestionId>
        <xlmsforms:syncedQuestionId>r198ed0825a024d0d8888886040571dcb</xlmsforms:syncedQuestionId>
        <xlmsforms:syncedQuestionId>rb8400c112ac84d7f893afb7beb8e4b70</xlmsforms:syncedQuestionId>
        <xlmsforms:syncedQuestionId>r8e7be41a67044718ad7014707a9e0b6e</xlmsforms:syncedQuestionId>
        <xlmsforms:syncedQuestionId>r41e3b128b72b404598702f447a89239d</xlmsforms:syncedQuestionId>
        <xlmsforms:syncedQuestionId>r0eb58bdcda1b4b4fa4950ea8ed8b49d5</xlmsforms:syncedQuestionId>
        <xlmsforms:syncedQuestionId>rd6dbe27a503b46c6ad0e01ac79f15c6e</xlmsforms:syncedQuestionId>
        <xlmsforms:syncedQuestionId>r2ca3b440d2ab4c67b13bca14fbd6fba3</xlmsforms:syncedQuestionId>
        <xlmsforms:syncedQuestionId>rd71bd134816742a7bb6afec40cc39178</xlmsforms:syncedQuestionId>
        <xlmsforms:syncedQuestionId>rb1c7da519cdd4100b4af4ac7272e15e4</xlmsforms:syncedQuestionId>
      </xlmsforms:msForm>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77A1DD-7425-4026-842F-66509211E7C7}" name="Table5" displayName="Table5" ref="A1:D280" totalsRowShown="0" dataDxfId="24" tableBorderDxfId="23">
  <autoFilter ref="A1:D280" xr:uid="{7277A1DD-7425-4026-842F-66509211E7C7}">
    <filterColumn colId="1">
      <customFilters>
        <customFilter operator="notEqual" val=" "/>
      </customFilters>
    </filterColumn>
  </autoFilter>
  <sortState xmlns:xlrd2="http://schemas.microsoft.com/office/spreadsheetml/2017/richdata2" ref="A2:D280">
    <sortCondition ref="A1:A280"/>
  </sortState>
  <tableColumns count="4">
    <tableColumn id="1" xr3:uid="{CED73F56-84CB-4D4E-AD33-7C177A3AAC4D}" name="Nama Proyek" dataDxfId="22"/>
    <tableColumn id="2" xr3:uid="{37D806E5-276E-45F4-BFBA-DEDA851E97DC}" name="Periode" dataDxfId="21"/>
    <tableColumn id="3" xr3:uid="{06A5616A-D27B-4BA3-AEA2-209715680160}" name="Rencana" dataDxfId="20"/>
    <tableColumn id="4" xr3:uid="{4EB599D5-87A6-4656-80DB-4E96D41F2AFD}" name="Realisasi" dataDxf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8BB142-40C8-4976-BB51-0B9947E3008F}" name="Table3" displayName="Table3" ref="A1:K37" totalsRowShown="0" headerRowDxfId="18" dataDxfId="17" tableBorderDxfId="16">
  <autoFilter ref="A1:K37" xr:uid="{F38BB142-40C8-4976-BB51-0B9947E3008F}"/>
  <sortState xmlns:xlrd2="http://schemas.microsoft.com/office/spreadsheetml/2017/richdata2" ref="A2:K35">
    <sortCondition ref="A1:A35"/>
  </sortState>
  <tableColumns count="11">
    <tableColumn id="1" xr3:uid="{46B4CFEA-D5EB-4BBE-8B74-0C4E15D495B4}" name="No" dataDxfId="15"/>
    <tableColumn id="2" xr3:uid="{8FEF2B4C-A38D-4B6D-B8CA-ABD7730BCDB9}" name="ID_Project" dataDxfId="14"/>
    <tableColumn id="3" xr3:uid="{E73CA548-B119-4B81-B3D8-0B2F57650F88}" name="BU" dataDxfId="13"/>
    <tableColumn id="4" xr3:uid="{1F65E826-2A54-4DC8-B2EF-43A848EBD6FA}" name="Nama Proyek" dataDxfId="12"/>
    <tableColumn id="5" xr3:uid="{20583226-556B-47F3-8C4E-636586A90087}" name="Lat" dataDxfId="11"/>
    <tableColumn id="6" xr3:uid="{0366DDDF-8EDE-402A-9973-CC23E8B0BAD1}" name="Long" dataDxfId="10"/>
    <tableColumn id="7" xr3:uid="{673E1261-C37D-4948-BF2B-BAAE44879EB1}" name="Koord" dataDxfId="9"/>
    <tableColumn id="8" xr3:uid="{28883142-41FC-42E9-B7D2-E70C5C2E38F7}" name="Status Project" dataDxfId="8"/>
    <tableColumn id="11" xr3:uid="{68B15DE8-DB14-497E-A7F1-A7CCDDE677BC}" name="Panjang" dataDxfId="7"/>
    <tableColumn id="9" xr3:uid="{5156FF65-D6DC-4FF1-BDAA-767D5FA15AF2}" name="Cesium ION" dataDxfId="6"/>
    <tableColumn id="10" xr3:uid="{5C0E523B-3C98-45BB-9B93-0C17205C69CD}" name="BimViewer"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7E76D2-A3B6-4311-AFB4-D165109F0011}" name="Table4" displayName="Table4" ref="A1:M22" totalsRowShown="0" headerRowDxfId="4">
  <autoFilter ref="A1:M22" xr:uid="{9E7E76D2-A3B6-4311-AFB4-D165109F0011}"/>
  <tableColumns count="13">
    <tableColumn id="1" xr3:uid="{AFD68ABB-AC62-45E8-8371-A2495CCA2B53}" name="Nama Proyek" dataDxfId="3"/>
    <tableColumn id="2" xr3:uid="{CC2973FE-548C-4550-98BE-61681DA20B5E}" name="Nama Proyek " dataDxfId="2"/>
    <tableColumn id="3" xr3:uid="{B5B5C479-45BF-46F7-A06A-F6371B1EED56}" name="Pengguna Jasa"/>
    <tableColumn id="4" xr3:uid="{1DCE320C-54DC-4176-BBAF-52DD37AB37CF}" name="Lokasi Proyek"/>
    <tableColumn id="5" xr3:uid="{D8FDBB91-DEEE-4958-9090-FD9DAF58CE1D}" name="Tanggal SPMK" dataDxfId="1"/>
    <tableColumn id="6" xr3:uid="{00179427-534D-4D07-B32C-A62545608ADA}" name="Jangka Waktu Pelaksanaan"/>
    <tableColumn id="7" xr3:uid="{09B1EF80-4C10-4586-9954-951D0BE27F52}" name="Masa Pemeliharaan"/>
    <tableColumn id="8" xr3:uid="{34C9B9E7-4326-40DC-BB29-99B7278E9CF5}" name="Jenis Kontrak"/>
    <tableColumn id="9" xr3:uid="{CC1E6709-FB6F-4548-A7A4-633A2099A954}" name="Cara Pembayaran"/>
    <tableColumn id="10" xr3:uid="{B8FC4EB5-9E58-4826-A5ED-5CE143426814}" name="Nilai Kontrak" dataDxfId="0"/>
    <tableColumn id="11" xr3:uid="{238535C3-6BE0-4699-AE98-9CC08DE1E5A2}" name="Retensi"/>
    <tableColumn id="12" xr3:uid="{1D07F3A8-DF17-4C86-90D3-1F69B797FDA5}" name="Kontraktor Pelaksana"/>
    <tableColumn id="13" xr3:uid="{44D8AF80-5A8B-4732-A2CE-0BBCD0D80E4C}" name="Lingkup Pekerjaa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A943BB-B1D5-40EA-823C-6F59DE746B88}" name="Table2" displayName="Table2" ref="A1:E289" totalsRowShown="0">
  <autoFilter ref="A1:E289" xr:uid="{6DA943BB-B1D5-40EA-823C-6F59DE746B88}"/>
  <tableColumns count="5">
    <tableColumn id="1" xr3:uid="{A6284956-E174-4896-A430-40B0C567970B}" name="No"/>
    <tableColumn id="2" xr3:uid="{EC3C1A6B-AD62-4693-BFE3-8F4696AB346C}" name="Item"/>
    <tableColumn id="3" xr3:uid="{8AED6B1E-D676-46F0-9B99-5F877956F402}" name="Deskripsi"/>
    <tableColumn id="4" xr3:uid="{BB6B8D61-AF94-4BEE-959C-506887B52384}" name="Nama Proyek"/>
    <tableColumn id="5" xr3:uid="{B752F999-B89E-4649-9972-2C09A05FAEFE}" name="ID_Proje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onedrive.live.com/?authkey=%21AO46hJbzSa%5Fv65A&amp;id=3D1AE30B12F3D181%2113476&amp;cid=3D1AE30B12F3D181" TargetMode="External"/><Relationship Id="rId299" Type="http://schemas.openxmlformats.org/officeDocument/2006/relationships/hyperlink" Target="../../../:f:/g/personal/rio_david_waskita_co_id/Ehn_z7llFtdNuHduWUxCkDkBXYBxrtc5wSIZacDB-KvxJA?e=9tlXME" TargetMode="External"/><Relationship Id="rId21" Type="http://schemas.openxmlformats.org/officeDocument/2006/relationships/hyperlink" Target="https://drive.google.com/file/d/1T6JGGGBN0cJitwTTnvWWI7qfsod-NA5w/view?usp=drivesdk" TargetMode="External"/><Relationship Id="rId63" Type="http://schemas.openxmlformats.org/officeDocument/2006/relationships/hyperlink" Target="https://1drv.ms/f/s!AoHR8xIL4xo9nhATgjHkfswf7dGL?e=ZVfCxZ" TargetMode="External"/><Relationship Id="rId159" Type="http://schemas.openxmlformats.org/officeDocument/2006/relationships/hyperlink" Target="../../../:f:/g/personal/fahmi_waskita_co_id/Ejd6gCZyyGhBkuX8brR-eLABxYcXlUM_lA4_pmkayKscvQ?e=8js0gR" TargetMode="External"/><Relationship Id="rId324" Type="http://schemas.openxmlformats.org/officeDocument/2006/relationships/hyperlink" Target="https://ptwaskita-my.sharepoint.com/:f:/g/personal/basuki_rahmat_waskita_co_id/IgCMVJqeFolYSqfHCj1mHDwhATq2hUT8G-Dsz9QG_rg6Gho" TargetMode="External"/><Relationship Id="rId170" Type="http://schemas.openxmlformats.org/officeDocument/2006/relationships/hyperlink" Target="../../../:f:/g/personal/lot2blitar_waskita_co_id/EmGPE3vyStNNmz9nPOwv7dUB9zVSMXBwTL8w6mcz3Kb1OQ?e=twwuLk" TargetMode="External"/><Relationship Id="rId226" Type="http://schemas.openxmlformats.org/officeDocument/2006/relationships/hyperlink" Target="../../../:f:/g/personal/fahmi_waskita_co_id/Eonpdf6p0eBDnibeEwpDOwMBY0i2qJWneCIZ28O-SLkTBA?e=Ey0a3z" TargetMode="External"/><Relationship Id="rId268" Type="http://schemas.openxmlformats.org/officeDocument/2006/relationships/hyperlink" Target="../../../:f:/g/personal/basuki_rahmat_waskita_co_id/IgCl-I6lwgnUQaLeg9CB9YpTAQMB2Q06yDuPDcdG5b6cBaM?e=i8ecej" TargetMode="External"/><Relationship Id="rId32" Type="http://schemas.openxmlformats.org/officeDocument/2006/relationships/hyperlink" Target="../../../:f:/g/personal/lot2blitar_waskita_co_id/Els-WljjQdxKkgzYvG8CDMAB1gglocic3Qm91_tYMWxZqA?e=OE8vUp" TargetMode="External"/><Relationship Id="rId74" Type="http://schemas.openxmlformats.org/officeDocument/2006/relationships/hyperlink" Target="https://drive.google.com/drive/folders/1O84eLrUnsiPc_puop_MhlRBBU831nrf1" TargetMode="External"/><Relationship Id="rId128" Type="http://schemas.openxmlformats.org/officeDocument/2006/relationships/hyperlink" Target="https://drive.google.com/file/d/1DWYivUjxt12TgHVN846FeeF0n2xof-sQ/view?usp=drivesdk" TargetMode="External"/><Relationship Id="rId335" Type="http://schemas.openxmlformats.org/officeDocument/2006/relationships/hyperlink" Target="https://ptwaskita-my.sharepoint.com/:v:/g/personal/rio_david_waskita_co_id/IQCzjkm7vA0kQY7t2A-4TGzCAUjMjyHvWOj4xsfeL8Z_elM?nav=eyJyZWZlcnJhbEluZm8iOnsicmVmZXJyYWxBcHAiOiJPbmVEcml2ZUZvckJ1c2luZXNzIiwicmVmZXJyYWxBcHBQbGF0Zm9ybSI6IldlYiIsInJlZmVycmFsTW9kZSI6InZpZXciLCJyZWZlcnJhbFZpZXciOiJNeUZpbGVzTGlua0NvcHkifX0&amp;e=wncOcd" TargetMode="External"/><Relationship Id="rId5" Type="http://schemas.openxmlformats.org/officeDocument/2006/relationships/hyperlink" Target="https://drive.google.com/file/d/14YfEwHHS7_iAE8HnUv6IBS-qikEQmnWb/view?usp=sharing" TargetMode="External"/><Relationship Id="rId181" Type="http://schemas.openxmlformats.org/officeDocument/2006/relationships/hyperlink" Target="../../../:f:/r/personal/fahmi_waskita_co_id/Documents/BIM%20-%20INFRA%202/Project/WKINF2%20-%201323020%20Jalan%20Tol%20Probowangi/1.%20WIP/GIS/13.%20Update%20Orthophoto?csf=1&amp;web=1&amp;e=hUflvD" TargetMode="External"/><Relationship Id="rId237" Type="http://schemas.openxmlformats.org/officeDocument/2006/relationships/hyperlink" Target="../../../:f:/g/personal/kretek_girijati_waskita_co_id/Ev2WNezcXYpJqkXFU8WYLAgBIbIAygCapEnl_TY54RL1rA?e=YvzJRD" TargetMode="External"/><Relationship Id="rId279" Type="http://schemas.openxmlformats.org/officeDocument/2006/relationships/hyperlink" Target="../../../:f:/g/personal/fahmi_waskita_co_id/ElGAd9_R_tZDvs3VWI8j23cBNUZZuS7cjw_x-2XdpSLdxg?e=MhW06J" TargetMode="External"/><Relationship Id="rId43" Type="http://schemas.openxmlformats.org/officeDocument/2006/relationships/hyperlink" Target="https://drive.google.com/file/d/1jO6iAKfhKIOpfdpvhMi_-PYt-bNV6hak/view?usp=sharing" TargetMode="External"/><Relationship Id="rId139" Type="http://schemas.openxmlformats.org/officeDocument/2006/relationships/hyperlink" Target="../../../:f:/g/personal/fahmi_waskita_co_id/Et8DNPwN3RFNn6FKrR0ZWHsBBtGGKhBZ2Vymi2BiNgGAWQ?e=Q2h3VI" TargetMode="External"/><Relationship Id="rId290" Type="http://schemas.openxmlformats.org/officeDocument/2006/relationships/hyperlink" Target="https://drive.google.com/file/d/1gGFvFTcFFp4NhLiXTdLIiMVGsdGGqnd_/view?usp=sharing" TargetMode="External"/><Relationship Id="rId304" Type="http://schemas.openxmlformats.org/officeDocument/2006/relationships/hyperlink" Target="../../../:f:/g/personal/basuki_rahmat_waskita_co_id/IgADGA_jjzVvS5tfRGGiHPumAYV2YusI3G6F0XAqVIYIH_k?e=5zPIN9" TargetMode="External"/><Relationship Id="rId85" Type="http://schemas.openxmlformats.org/officeDocument/2006/relationships/hyperlink" Target="https://drive.google.com/file/d/1c7FMSLa45dM05wRH_D1oEtUcV1F66J80/view?usp=share_link;%20https://drive.google.com/file/d/1O4I1zuyJeyjr40DshCJOerpZy95cC5f6/view?usp=share_link;%20https://drive.google.com/file/d/1JLTZnVinxoGH9GaDIaGbI0uU4I-Dfb1j/view?usp=share" TargetMode="External"/><Relationship Id="rId150" Type="http://schemas.openxmlformats.org/officeDocument/2006/relationships/hyperlink" Target="../../../:f:/g/personal/lot2blitar_waskita_co_id/EkwdE_1CwHVCrPpKBzmVDWQBNuUekVG90URO-nkeO3QqFA" TargetMode="External"/><Relationship Id="rId192" Type="http://schemas.openxmlformats.org/officeDocument/2006/relationships/hyperlink" Target="https://drive.google.com/drive/folders/1JRtQ07W2P52kIlqoeUzZ0e7hz1-A5Inp?usp=sharing" TargetMode="External"/><Relationship Id="rId206" Type="http://schemas.openxmlformats.org/officeDocument/2006/relationships/hyperlink" Target="../../../:v:/g/personal/basuki_rahmat_waskita_co_id/EQ70k4uFugJJki93zGdJUVkB87LAMUfuM3GgPWXvbCYm0Q?e=O18Enu" TargetMode="External"/><Relationship Id="rId248" Type="http://schemas.openxmlformats.org/officeDocument/2006/relationships/hyperlink" Target="https://drive.google.com/drive/folders/1J2HBSVlOrSI6Si8PC0TYR78-ND0xq5dE?usp=drive_link" TargetMode="External"/><Relationship Id="rId12" Type="http://schemas.openxmlformats.org/officeDocument/2006/relationships/hyperlink" Target="https://os5.mycloud.com/action/share/7f1eb8a7-cb8b-40e9-a066-4cfd4161d33e" TargetMode="External"/><Relationship Id="rId108" Type="http://schemas.openxmlformats.org/officeDocument/2006/relationships/hyperlink" Target="mailto:olhika.adzalia@waskita.co.id" TargetMode="External"/><Relationship Id="rId315" Type="http://schemas.openxmlformats.org/officeDocument/2006/relationships/hyperlink" Target="../../../:v:/g/personal/rio_david_waskita_co_id/IQD43al7ou4sQoFJ22WqZXqwAaCXnvpg46T7d7MC03Y743o?nav=eyJyZWZlcnJhbEluZm8iOnsicmVmZXJyYWxBcHAiOiJPbmVEcml2ZUZvckJ1c2luZXNzIiwicmVmZXJyYWxBcHBQbGF0Zm9ybSI6IldlYiIsInJlZmVycmFsTW9kZSI6InZpZXciLCJyZWZlcnJhbFZpZXciOiJNeUZpbGVzTGlua0NvcHkifX0&amp;e=CQ84FJ" TargetMode="External"/><Relationship Id="rId54" Type="http://schemas.openxmlformats.org/officeDocument/2006/relationships/hyperlink" Target="../../../:f:/g/personal/kretek_girijati_waskita_co_id/EhtNpQVRG01Or54Rsv5nNB0BGynriS0inVmTRdwbY9w1sw?e=yWHemm" TargetMode="External"/><Relationship Id="rId96" Type="http://schemas.openxmlformats.org/officeDocument/2006/relationships/hyperlink" Target="https://drive.google.com/file/d/1bVT5m7wDKeUOZ2qPtGhVsbTavzJpP4CA/view?usp=sharing" TargetMode="External"/><Relationship Id="rId161" Type="http://schemas.openxmlformats.org/officeDocument/2006/relationships/hyperlink" Target="../../../:f:/g/personal/fahmi_waskita_co_id/Ejd6gCZyyGhBkuX8brR-eLABxYcXlUM_lA4_pmkayKscvQ?e=8js0gR" TargetMode="External"/><Relationship Id="rId217" Type="http://schemas.openxmlformats.org/officeDocument/2006/relationships/hyperlink" Target="../../../:f:/g/personal/kretek_girijati_waskita_co_id/EhvVu_IzjHVKtyvK0c-RgoYBAZIUi99Kz1N67Edgpoto0A?e=2ZBa0A" TargetMode="External"/><Relationship Id="rId259" Type="http://schemas.openxmlformats.org/officeDocument/2006/relationships/hyperlink" Target="https://drive.google.com/file/d/1aUnhwCp4M0yLxo2cGntkn3xzH1nkPP46/view?usp=sharing" TargetMode="External"/><Relationship Id="rId23" Type="http://schemas.openxmlformats.org/officeDocument/2006/relationships/hyperlink" Target="https://drive.google.com/drive/folders/1YVDFRnfIFyFCGb3TNAao1I35f0XedSLr" TargetMode="External"/><Relationship Id="rId119" Type="http://schemas.openxmlformats.org/officeDocument/2006/relationships/hyperlink" Target="https://drive.google.com/file/d/143WVBqbWzbXyz1WiprhwxdHcXJ2J-_lj/view?usp=sharing" TargetMode="External"/><Relationship Id="rId270" Type="http://schemas.openxmlformats.org/officeDocument/2006/relationships/hyperlink" Target="../../../:f:/g/personal/kretek_girijati_waskita_co_id/IgD8HdP1aEKJQ58GQuEdnfwAAaU9q7BOTJ_FLBlk4bWnP1M?e=ObBu0U" TargetMode="External"/><Relationship Id="rId326" Type="http://schemas.openxmlformats.org/officeDocument/2006/relationships/hyperlink" Target="https://ptwaskita-my.sharepoint.com/:f:/g/personal/fahmi_waskita_co_id/IgAkM3P2ln2WTJd5u3ju6F6iARbH4yQfMQqcCoDRlAboUaQ?e=L03mzz" TargetMode="External"/><Relationship Id="rId65" Type="http://schemas.openxmlformats.org/officeDocument/2006/relationships/hyperlink" Target="../../fahmi_waskita_co_id/_layouts/15/onedrive.aspx?ga=1&amp;id=%2Fpersonal%2Ffahmi%5Fwaskita%5Fco%5Fid%2FDocuments%2FBIM%20%2D%20INFRA%202%2FProject%2FWKINF2%20%2D%20%20Jalan%20Tol%20Akses%20Patimban%20Paket%202%2F3%2E%20PUBLISHED" TargetMode="External"/><Relationship Id="rId130" Type="http://schemas.openxmlformats.org/officeDocument/2006/relationships/hyperlink" Target="https://drive.google.com/drive/folders/1HKw_v4GO_zyBAtr89QhRhA-5HJmMtApX?usp=drive_link" TargetMode="External"/><Relationship Id="rId172" Type="http://schemas.openxmlformats.org/officeDocument/2006/relationships/hyperlink" Target="../../../:f:/g/personal/fahmi_waskita_co_id/EuslJIGICeJPm008dyNYn4MBVnzmPKOlv_qMot0ndlKDEQ?e=BOF9zu" TargetMode="External"/><Relationship Id="rId228" Type="http://schemas.openxmlformats.org/officeDocument/2006/relationships/hyperlink" Target="../../../:v:/g/personal/fahmi_waskita_co_id/EbTuXY9IdmJKoWgfFJMDqQUB7kLtITF3YSKxmDoo4qi-ig?nav=eyJyZWZlcnJhbEluZm8iOnsicmVmZXJyYWxBcHAiOiJPbmVEcml2ZUZvckJ1c2luZXNzIiwicmVmZXJyYWxBcHBQbGF0Zm9ybSI6IldlYiIsInJlZmVycmFsTW9kZSI6InZpZXciLCJyZWZlcnJhbFZpZXciOiJNeUZpbGVzTGlua0NvcHkifX0&amp;e=vmpuUh" TargetMode="External"/><Relationship Id="rId281" Type="http://schemas.openxmlformats.org/officeDocument/2006/relationships/hyperlink" Target="https://drive.google.com/file/d/1HTkEuszpnVXKQsJOEOkJcjla2UPe6wuB/view?usp=sharing" TargetMode="External"/><Relationship Id="rId337" Type="http://schemas.openxmlformats.org/officeDocument/2006/relationships/printerSettings" Target="../printerSettings/printerSettings1.bin"/><Relationship Id="rId34" Type="http://schemas.openxmlformats.org/officeDocument/2006/relationships/hyperlink" Target="../../../:v:/g/personal/wayabula1_infra2_waskita_co_id/Ecsg8Ru8RX1KuJdK5IxBqNIBktblgL3ai9Dn95TYXj98Qw?e=dW1srG" TargetMode="External"/><Relationship Id="rId76" Type="http://schemas.openxmlformats.org/officeDocument/2006/relationships/hyperlink" Target="https://drive.google.com/file/d/1_ag_E_ivTVWcG-asy0ShEAOHkR02H8MD/view?usp=sharing" TargetMode="External"/><Relationship Id="rId141" Type="http://schemas.openxmlformats.org/officeDocument/2006/relationships/hyperlink" Target="https://youtu.be/3aJzW2GZ3gg" TargetMode="External"/><Relationship Id="rId7" Type="http://schemas.openxmlformats.org/officeDocument/2006/relationships/hyperlink" Target="../../../:f:/g/personal/fahmi_waskita_co_id/EkooO8B9S7RDkcinstGlgEEBoCFWsnUB2it-bNZNpZ0Rhg?e=brWG7N" TargetMode="External"/><Relationship Id="rId183" Type="http://schemas.openxmlformats.org/officeDocument/2006/relationships/hyperlink" Target="../../../:v:/g/personal/rio_david_waskita_co_id/ER4SRc71QsZJpGutmLVZQX0BpJfMpbenZGTb2I7PrLkRYA?nav=eyJyZWZlcnJhbEluZm8iOnsicmVmZXJyYWxBcHAiOiJPbmVEcml2ZUZvckJ1c2luZXNzIiwicmVmZXJyYWxBcHBQbGF0Zm9ybSI6IldlYiIsInJlZmVycmFsTW9kZSI6InZpZXciLCJyZWZlcnJhbFZpZXciOiJNeUZpbGVzTGlua0NvcHkifX0&amp;e=x2aml1" TargetMode="External"/><Relationship Id="rId239" Type="http://schemas.openxmlformats.org/officeDocument/2006/relationships/hyperlink" Target="https://drive.google.com/file/d/1ZY9JjdhwzdxLLqfP5zhAuLC3xVWIwsOw/view?usp=sharing" TargetMode="External"/><Relationship Id="rId250" Type="http://schemas.openxmlformats.org/officeDocument/2006/relationships/hyperlink" Target="../../../:f:/g/personal/fahmi_waskita_co_id/EpnWwCzvvjNPt1u0UTzNZkUBST3OK8KFqSJ_LFS92UHtmA?e=JcEXnJ" TargetMode="External"/><Relationship Id="rId292" Type="http://schemas.openxmlformats.org/officeDocument/2006/relationships/hyperlink" Target="../../../:v:/g/personal/lot2blitar_waskita_co_id/IQCMPGdkJSt4T4IFuT082Lq_ATMCMf8kOw3fNm842tsJF90?nav=eyJyZWZlcnJhbEluZm8iOnsicmVmZXJyYWxBcHAiOiJPbmVEcml2ZUZvckJ1c2luZXNzIiwicmVmZXJyYWxBcHBQbGF0Zm9ybSI6IldlYiIsInJlZmVycmFsTW9kZSI6InZpZXciLCJyZWZlcnJhbFZpZXciOiJNeUZpbGVzTGlua0NvcHkifX0&amp;e=tAymhb" TargetMode="External"/><Relationship Id="rId306" Type="http://schemas.openxmlformats.org/officeDocument/2006/relationships/hyperlink" Target="../../../:f:/g/personal/fahmi_waskita_co_id/IgDyXYS7SAJRR5PNLQ4XtE0tAdxbalXXSflxtB7kK05plU8?e=kd4fMH" TargetMode="External"/><Relationship Id="rId45" Type="http://schemas.openxmlformats.org/officeDocument/2006/relationships/hyperlink" Target="https://os5.mycloud.com/action/share/10673f12-5f66-46d4-b49a-57919272226a" TargetMode="External"/><Relationship Id="rId87" Type="http://schemas.openxmlformats.org/officeDocument/2006/relationships/hyperlink" Target="https://drive.google.com/drive/folders/1c8Q6eDiiI1O-z4cBhl-2LTzH0swhzD3-?usp=share_link" TargetMode="External"/><Relationship Id="rId110" Type="http://schemas.openxmlformats.org/officeDocument/2006/relationships/hyperlink" Target="mailto:muhammad.yusron@waskita.co.id" TargetMode="External"/><Relationship Id="rId152" Type="http://schemas.openxmlformats.org/officeDocument/2006/relationships/hyperlink" Target="../../../:f:/g/personal/fahmi_waskita_co_id/EkpLGRQcNShPu6lX1MJruH4By_nk52i9plccCvkBgL4_SQ?e=aiapap" TargetMode="External"/><Relationship Id="rId173" Type="http://schemas.openxmlformats.org/officeDocument/2006/relationships/hyperlink" Target="../../../:v:/g/personal/basuki_rahmat_waskita_co_id/ER8c6FTncqpGsBdpPqDW5jYBpuUekw0qf8j5tV6jc8dS9A?e=uyRFIL" TargetMode="External"/><Relationship Id="rId194" Type="http://schemas.openxmlformats.org/officeDocument/2006/relationships/hyperlink" Target="https://drive.google.com/drive/folders/1fzASNASaqlf3ym1Lwju8OK8ezJljLu5J?usp=sharing" TargetMode="External"/><Relationship Id="rId208" Type="http://schemas.openxmlformats.org/officeDocument/2006/relationships/hyperlink" Target="../../../:f:/g/personal/kretek_girijati_waskita_co_id/Ek_X_Eva9fZLmgBfdc1TAd8B9nn-JfiFKwzJI0azwaLsoA?e=vNlBEz" TargetMode="External"/><Relationship Id="rId229" Type="http://schemas.openxmlformats.org/officeDocument/2006/relationships/hyperlink" Target="https://youtu.be/FqbM4jzdmx8" TargetMode="External"/><Relationship Id="rId240" Type="http://schemas.openxmlformats.org/officeDocument/2006/relationships/hyperlink" Target="../../../:f:/g/personal/fahmi_waskita_co_id/Eten3vlJWYtEjwcHj0rlB4EBGaTTcxsTD3FOT3HDpaJNYw?e=JMoJff" TargetMode="External"/><Relationship Id="rId261" Type="http://schemas.openxmlformats.org/officeDocument/2006/relationships/hyperlink" Target="../../../:f:/g/personal/lot2blitar_waskita_co_id/IgBhjxN78krTTZs_ZzzsL-3VAfc1UjFwcEy_MOpnM9ym9Tk?e=hUgO47" TargetMode="External"/><Relationship Id="rId14" Type="http://schemas.openxmlformats.org/officeDocument/2006/relationships/hyperlink" Target="https://drive.google.com/drive/folders/1v9DZkPgs5PgDUVl9XlwjY6evxMe87vAm?usp=drive_link" TargetMode="External"/><Relationship Id="rId35" Type="http://schemas.openxmlformats.org/officeDocument/2006/relationships/hyperlink" Target="../../../:i:/g/personal/wayabula1_infra2_waskita_co_id/EeyGwxhYNKpHuLm1KOYg4NQB6SsoV8QhvxyskdcyW7VN5A?e=ensFOe" TargetMode="External"/><Relationship Id="rId56" Type="http://schemas.openxmlformats.org/officeDocument/2006/relationships/hyperlink" Target="https://os5.mycloud.com/action/share/25249297-333c-4c2e-838f-feb00b35937d" TargetMode="External"/><Relationship Id="rId77" Type="http://schemas.openxmlformats.org/officeDocument/2006/relationships/hyperlink" Target="https://drive.google.com/drive/folders/174dH9LHc4nrsoZ8Bb2U7l9CQFnXG2Z2G?usp=drive_link" TargetMode="External"/><Relationship Id="rId100" Type="http://schemas.openxmlformats.org/officeDocument/2006/relationships/hyperlink" Target="https://drive.google.com/drive/folders/10fIIyrUPObrac8htRb18WhQCS6BAcsrO?usp=sharing" TargetMode="External"/><Relationship Id="rId282" Type="http://schemas.openxmlformats.org/officeDocument/2006/relationships/hyperlink" Target="../../../:f:/r/personal/fahmi_waskita_co_id/Documents/BIM%20-%20INFRA%202/Project/WKINF2%20-%201323020%20Jalan%20Tol%20Probowangi/1.%20WIP/GIS/13.%20Update%20Orthophoto?csf=1&amp;web=1&amp;e=hUflvD" TargetMode="External"/><Relationship Id="rId317" Type="http://schemas.openxmlformats.org/officeDocument/2006/relationships/hyperlink" Target="https://ptwaskita-my.sharepoint.com/:f:/g/personal/kretek_girijati_waskita_co_id/IgCum4bSxEeGS4X-Ak5HAOh2AaeC_3YnzJIfwGoJUgHk3bI?e=Z8mzIF" TargetMode="External"/><Relationship Id="rId338" Type="http://schemas.openxmlformats.org/officeDocument/2006/relationships/table" Target="../tables/table1.xml"/><Relationship Id="rId8" Type="http://schemas.openxmlformats.org/officeDocument/2006/relationships/hyperlink" Target="https://drive.google.com/file/d/144yjK4aRpj6RI4N06Kvivi5Lml5SicaW/view?usp=sharing" TargetMode="External"/><Relationship Id="rId98" Type="http://schemas.openxmlformats.org/officeDocument/2006/relationships/hyperlink" Target="../../../:i:/g/personal/dhani_ramdhani_waskita_co_id/Ebc3Au4NFIJOtJO0XYARhqABf5F-VyZflz40JJPXoCzmyg?e=eEF9AK" TargetMode="External"/><Relationship Id="rId121" Type="http://schemas.openxmlformats.org/officeDocument/2006/relationships/hyperlink" Target="https://drive.google.com/file/d/1cnz39QaXDnDtSqmZjWL-k3ltDk3vK4qt/view?usp=sharing" TargetMode="External"/><Relationship Id="rId142" Type="http://schemas.openxmlformats.org/officeDocument/2006/relationships/hyperlink" Target="../../../:i:/g/personal/dhani_ramdhani_waskita_co_id/Ef3Gih1py19El_4ztI9tx34BhSWbpQKtfW0qKR8lPpUUbw?e=jpZWND" TargetMode="External"/><Relationship Id="rId163" Type="http://schemas.openxmlformats.org/officeDocument/2006/relationships/hyperlink" Target="../../fahmi_waskita_co_id/_layouts/15/onedrive.aspx?csf=1&amp;web=1&amp;e=hUflvD&amp;CID=3a5f9cf3%2D0b69%2D46b4%2D962e%2D74d852bb0306&amp;id=%2Fpersonal%2Ffahmi%5Fwaskita%5Fco%5Fid%2FDocuments%2FBIM%20%2D%20INFRA%202%2FProject%2FWKINF2%20%2D%201323020%20Jalan%20Tol%20Probowangi%2F1%2E%20WIP%2FGIS%2F13%2E%20Update%20Orthophoto&amp;FolderCTID=0x0120008AE2C3201DBDD44A93E08450C0DB2828&amp;view=0" TargetMode="External"/><Relationship Id="rId184" Type="http://schemas.openxmlformats.org/officeDocument/2006/relationships/hyperlink" Target="../../../:f:/g/personal/basuki_rahmat_waskita_co_id/Ejap-OChktRBt0LaLnVvhjYBWTPIG32RAddMckXzMSWt5g?e=7mHt0Z" TargetMode="External"/><Relationship Id="rId219" Type="http://schemas.openxmlformats.org/officeDocument/2006/relationships/hyperlink" Target="../../../:f:/g/personal/rio_david_waskita_co_id/EunDpC_kLaVAvNZn2Z5zFaQBPJe8hpTwJrdY7XghQZ8otg?e=kWiP5K" TargetMode="External"/><Relationship Id="rId230" Type="http://schemas.openxmlformats.org/officeDocument/2006/relationships/hyperlink" Target="../../../:f:/r/personal/fahmi_waskita_co_id/Documents/BIM%20-%20INFRA%202/Project/WKINF2%20-%201323020%20Jalan%20Tol%20Probowangi/1.%20WIP/GIS/13.%20Update%20Orthophoto?csf=1&amp;web=1&amp;e=hUflvD" TargetMode="External"/><Relationship Id="rId251" Type="http://schemas.openxmlformats.org/officeDocument/2006/relationships/hyperlink" Target="../../../:f:/g/personal/rio_david_waskita_co_id/Ejsk_I4h3gJLumQew6G2pgYB6lrDSaZv70fdrOdCMc_Smg?e=QeK6FY" TargetMode="External"/><Relationship Id="rId25" Type="http://schemas.openxmlformats.org/officeDocument/2006/relationships/hyperlink" Target="https://drive.google.com/drive/folders/1Ial3lhx6ZevKjsP7tQbrL2yTkrQ_8_6a?usp=sharing" TargetMode="External"/><Relationship Id="rId46" Type="http://schemas.openxmlformats.org/officeDocument/2006/relationships/hyperlink" Target="https://drive.google.com/file/d/1Arfn0gQ7UYYWK9xBsYW8CrZEEBl4qfS6/view?usp=sharing" TargetMode="External"/><Relationship Id="rId67" Type="http://schemas.openxmlformats.org/officeDocument/2006/relationships/hyperlink" Target="https://drive.google.com/drive/folders/1AVkGKEb1JSTSONCRWuDWyZtdfXJjsTRV?usp=drive_link" TargetMode="External"/><Relationship Id="rId272" Type="http://schemas.openxmlformats.org/officeDocument/2006/relationships/hyperlink" Target="../../../:f:/r/personal/fahmi_waskita_co_id/Documents/BIM%20-%20INFRA%202/Project/WKINF2%20-%201323020%20Jalan%20Tol%20Probowangi/1.%20WIP/GIS/13.%20Update%20Orthophoto?csf=1&amp;web=1&amp;e=hUflvD" TargetMode="External"/><Relationship Id="rId293" Type="http://schemas.openxmlformats.org/officeDocument/2006/relationships/hyperlink" Target="../../../:i:/g/personal/lot2blitar_waskita_co_id/IQCxl6xI58WPS7NhOx1yGrAsAYY_66fVfXTBeNY-EAdSNBE?e=qhFIHe" TargetMode="External"/><Relationship Id="rId307" Type="http://schemas.openxmlformats.org/officeDocument/2006/relationships/hyperlink" Target="https://drive.google.com/drive/folders/1ArjA_k_ufT95IFqEtamooCyL-G9bYTza?usp=sharing" TargetMode="External"/><Relationship Id="rId328" Type="http://schemas.openxmlformats.org/officeDocument/2006/relationships/hyperlink" Target="https://ptwaskita-my.sharepoint.com/:f:/r/personal/fahmi_waskita_co_id/Documents/BIM%20-%20INFRA%202/Project/WKINF2%20-%201323020%20Jalan%20Tol%20Probowangi/1.%20WIP/GIS/13.%20Update%20Orthophoto?csf=1&amp;web=1&amp;e=hUflvD" TargetMode="External"/><Relationship Id="rId88" Type="http://schemas.openxmlformats.org/officeDocument/2006/relationships/hyperlink" Target="https://drive.google.com/drive/folders/1c9i9v1eaLkC45juC8gvXgqc63DYw9_FW?usp=sharing" TargetMode="External"/><Relationship Id="rId111" Type="http://schemas.openxmlformats.org/officeDocument/2006/relationships/hyperlink" Target="mailto:imam.islami@waskita.co.id" TargetMode="External"/><Relationship Id="rId132" Type="http://schemas.openxmlformats.org/officeDocument/2006/relationships/hyperlink" Target="../../../:f:/r/personal/fahmi_waskita_co_id/Documents/BIM%20-%20INFRA%202/Project/WKINF2%20-%201323020%20Jalan%20Tol%20Probowangi/1.%20WIP/GIS/13.%20Update%20Orthophoto?csf=1&amp;web=1&amp;e=hUflvD" TargetMode="External"/><Relationship Id="rId153" Type="http://schemas.openxmlformats.org/officeDocument/2006/relationships/hyperlink" Target="https://drive.google.com/drive/folders/1KKYQm5Kun-Rr87rWyJLl2KX2iqnYCFy_?usp=share_link" TargetMode="External"/><Relationship Id="rId174" Type="http://schemas.openxmlformats.org/officeDocument/2006/relationships/hyperlink" Target="../../../:f:/g/personal/rio_david_waskita_co_id/ElecCz-OpDRArqiAdk2mYfcBmIEUmrI7eP-L63YC6rnDfg?e=iGTTGM" TargetMode="External"/><Relationship Id="rId195" Type="http://schemas.openxmlformats.org/officeDocument/2006/relationships/hyperlink" Target="../../../:u:/g/personal/rezky_yudhaseno_waskita_co_id/EcDPQa_2wgJKgAnOaqpYackBHC1knNPpzs0RFpHl6wVTCQ?e=OWoEzt" TargetMode="External"/><Relationship Id="rId209" Type="http://schemas.openxmlformats.org/officeDocument/2006/relationships/hyperlink" Target="../../../:f:/r/personal/fahmi_waskita_co_id/Documents/BIM%20-%20INFRA%202/Project/WKINF2%20-%201323020%20Jalan%20Tol%20Probowangi/1.%20WIP/GIS/13.%20Update%20Orthophoto?csf=1&amp;web=1&amp;e=hUflvD" TargetMode="External"/><Relationship Id="rId220" Type="http://schemas.openxmlformats.org/officeDocument/2006/relationships/hyperlink" Target="../../../:f:/g/personal/fahmi_waskita_co_id/Ejd6gCZyyGhBkuX8brR-eLABb7Iwpu1tJiECLNH3aHe54g?e=MGgc5g" TargetMode="External"/><Relationship Id="rId241" Type="http://schemas.openxmlformats.org/officeDocument/2006/relationships/hyperlink" Target="../../../:f:/g/personal/basuki_rahmat_waskita_co_id/Eo0RL2m9v2tHt1Avldq2hdMBWraVMf8dtimMdphhGfbIXg?e=fiyFFu" TargetMode="External"/><Relationship Id="rId15" Type="http://schemas.openxmlformats.org/officeDocument/2006/relationships/hyperlink" Target="https://toa-const3.box.com/s/ywduvv2p9dc5jp1s82n2335atdsmxd7x" TargetMode="External"/><Relationship Id="rId36" Type="http://schemas.openxmlformats.org/officeDocument/2006/relationships/hyperlink" Target="../../../:u:/g/personal/wayabula1_infra2_waskita_co_id/EeP9AslF46FEv7TGPWzQ94oBQpYqxYhApo4SYhUVQLBliA?e=iS7M97" TargetMode="External"/><Relationship Id="rId57" Type="http://schemas.openxmlformats.org/officeDocument/2006/relationships/hyperlink" Target="https://drive.google.com/file/d/1kJ0L-3ZIwPCEikOcsvw7yzHpLjXQVn1K/view?usp=sharing" TargetMode="External"/><Relationship Id="rId262" Type="http://schemas.openxmlformats.org/officeDocument/2006/relationships/hyperlink" Target="../../../:f:/g/personal/lot2blitar_waskita_co_id/EiroWEBo0BROtB2KTaPjUI4BeWrkDmyZA4cGm2ML-X84AA?e=sFE6tq" TargetMode="External"/><Relationship Id="rId283" Type="http://schemas.openxmlformats.org/officeDocument/2006/relationships/hyperlink" Target="../../../:f:/g/personal/fahmi_waskita_co_id/IgBjGsJV944MSbeGi3lFMQhcAf_iJdTPJ-_aEOq_hsJdHYk?e=8VdxkU" TargetMode="External"/><Relationship Id="rId318" Type="http://schemas.openxmlformats.org/officeDocument/2006/relationships/hyperlink" Target="https://ptwaskita-my.sharepoint.com/:f:/g/personal/singarajamengwitani_sc910_waskita_co_id/IgBRAzczBgWBT6Y1_UCDS8R2AWB_ojJZrTkyDl-J1P9xlzY?e=C41UuP" TargetMode="External"/><Relationship Id="rId78" Type="http://schemas.openxmlformats.org/officeDocument/2006/relationships/hyperlink" Target="https://drive.google.com/drive/folders/1Lpm3C5920E4SnMigbOsln1rN81o5CGEc" TargetMode="External"/><Relationship Id="rId99" Type="http://schemas.openxmlformats.org/officeDocument/2006/relationships/hyperlink" Target="https://youtu.be/65ZFLITWnV4" TargetMode="External"/><Relationship Id="rId101" Type="http://schemas.openxmlformats.org/officeDocument/2006/relationships/hyperlink" Target="https://drive.google.com/drive/folders/1r2yQhCJKQ7DCfEhNXptTGYM1nzL7dL-B?usp=drive_link" TargetMode="External"/><Relationship Id="rId122" Type="http://schemas.openxmlformats.org/officeDocument/2006/relationships/hyperlink" Target="https://drive.google.com/file/d/1rX7ntTLZiF2eOW6giOzq7W0fX1r65N55/view" TargetMode="External"/><Relationship Id="rId143" Type="http://schemas.openxmlformats.org/officeDocument/2006/relationships/hyperlink" Target="https://drive.google.com/drive/folders/1ZhCnOkxZyy1YQ5K70rI6Ccyx60F0XNPJ?usp=sharing" TargetMode="External"/><Relationship Id="rId164" Type="http://schemas.openxmlformats.org/officeDocument/2006/relationships/hyperlink" Target="../../../shared?id=%2Fpersonal%2Ffahmi%5Fwaskita%5Fco%5Fid%2FDocuments%2FBIM%20%2D%20INFRA%202%2FProject%2FWKINF2%20%2D%201324001%20Jalan%20Tol%20Akses%20Patimban%20Paket%202%2F2%2E%20SHARED%20%28NEW%29%2F02%2E%20Reality%20Modeling%2F19%2E%20Juli%202025&amp;listurl=%2Fpersonal%2Ffahmi%5Fwaskita%5Fco%5Fid%2FDocuments" TargetMode="External"/><Relationship Id="rId185" Type="http://schemas.openxmlformats.org/officeDocument/2006/relationships/hyperlink" Target="https://drive.google.com/drive/folders/1TBl8sKe5NvqoO4tFBcjMS6UJU16VAYjp?usp=sharing" TargetMode="External"/><Relationship Id="rId9" Type="http://schemas.openxmlformats.org/officeDocument/2006/relationships/hyperlink" Target="https://drive.google.com/file/d/1d2K3BnUaTqdYreDla7VKV61CrQco8AL4/view?usp=sharing" TargetMode="External"/><Relationship Id="rId210" Type="http://schemas.openxmlformats.org/officeDocument/2006/relationships/hyperlink" Target="https://youtu.be/CDN7ItbGyZ4" TargetMode="External"/><Relationship Id="rId26" Type="http://schemas.openxmlformats.org/officeDocument/2006/relationships/hyperlink" Target="https://drive.google.com/drive/folders/173bg7dBQS_gXC0xKlrqw5PARDGbTLOjt?usp=sharing" TargetMode="External"/><Relationship Id="rId231" Type="http://schemas.openxmlformats.org/officeDocument/2006/relationships/hyperlink" Target="../../../:f:/g/personal/basuki_rahmat_waskita_co_id/EhGUOzpPqLJJlfxZqGlfaccBhGdxk9cMWR6kD4dBnIjmAg?e=8Whp9k" TargetMode="External"/><Relationship Id="rId252" Type="http://schemas.openxmlformats.org/officeDocument/2006/relationships/hyperlink" Target="../../../:f:/g/personal/fahmi_waskita_co_id/EgeQp6t2rqFIlB_9HcE_WxkBpE1Onz_l1up1_jGBnSkZJA?e=S2eoQT" TargetMode="External"/><Relationship Id="rId273" Type="http://schemas.openxmlformats.org/officeDocument/2006/relationships/hyperlink" Target="https://youtu.be/-Tc_ReH4OVQ?si=7OyTUTnfXO1yb-Vg" TargetMode="External"/><Relationship Id="rId294" Type="http://schemas.openxmlformats.org/officeDocument/2006/relationships/hyperlink" Target="../../../:f:/r/personal/fahmi_waskita_co_id/Documents/BIM%20-%20INFRA%202/Project/WKINF2%20-%201323020%20Jalan%20Tol%20Probowangi/1.%20WIP/GIS/13.%20Update%20Orthophoto?csf=1&amp;web=1&amp;e=hUflvD" TargetMode="External"/><Relationship Id="rId308" Type="http://schemas.openxmlformats.org/officeDocument/2006/relationships/hyperlink" Target="../../../:f:/g/personal/fahmi_waskita_co_id/IgAGQNHKHERnRpfE8NEwlLrtAW6PpyNbLAGeUmAxwKKw-Ak?e=1DH5Cu" TargetMode="External"/><Relationship Id="rId329" Type="http://schemas.openxmlformats.org/officeDocument/2006/relationships/hyperlink" Target="https://youtu.be/auuW6vf23CQ" TargetMode="External"/><Relationship Id="rId47" Type="http://schemas.openxmlformats.org/officeDocument/2006/relationships/hyperlink" Target="../../fahmi_waskita_co_id/_layouts/15/onedrive.aspx?ga=1&amp;id=%2Fpersonal%2Ffahmi%5Fwaskita%5Fco%5Fid%2FDocuments%2FBIM%20%2D%20INFRA%202%2FProject%2FWKINF2%20%2D%20%20Jalan%20Tol%20Akses%20Patimban%20Paket%202%2F3%2E%20PUBLISHED" TargetMode="External"/><Relationship Id="rId68" Type="http://schemas.openxmlformats.org/officeDocument/2006/relationships/hyperlink" Target="https://drive.google.com/drive/folders/1i1BbY-q5KUw4RS2M4Ti9wJnxnZeI1JPE?usp=sharing" TargetMode="External"/><Relationship Id="rId89" Type="http://schemas.openxmlformats.org/officeDocument/2006/relationships/hyperlink" Target="../../../:v:/g/personal/tri_suseno_waskita_co_id/ETlQt7QJ5bdKsJ2WthaiAd0Be25FM9X3LlhT167v5uSumQ?e=hxDHuK" TargetMode="External"/><Relationship Id="rId112" Type="http://schemas.openxmlformats.org/officeDocument/2006/relationships/hyperlink" Target="mailto:msaifudin.ashari@waskita.co.id" TargetMode="External"/><Relationship Id="rId133" Type="http://schemas.openxmlformats.org/officeDocument/2006/relationships/hyperlink" Target="https://drive.google.com/file/d/1RQ4ENBdMkx9PPsswURqYJ-YVoo3J8ygJ/view?usp=sharing" TargetMode="External"/><Relationship Id="rId154" Type="http://schemas.openxmlformats.org/officeDocument/2006/relationships/hyperlink" Target="../../../:f:/g/personal/basuki_rahmat_waskita_co_id/Eo3YC2Y9_-pPmWYGhB8JbiwBSJXb0c7nFM0RQ6kUw4oQRg?e=JwOoKH" TargetMode="External"/><Relationship Id="rId175" Type="http://schemas.openxmlformats.org/officeDocument/2006/relationships/hyperlink" Target="../../../:f:/g/personal/rio_david_waskita_co_id/EjdndtHWGitDtXTiK2ng9YcBi6FvUybnI_pOIC4JsmO5ng?e=tnSaIW" TargetMode="External"/><Relationship Id="rId196" Type="http://schemas.openxmlformats.org/officeDocument/2006/relationships/hyperlink" Target="https://drive.google.com/file/d/134gnntgmV_1m-k4I8ygkq2igoLDPRnrh/view?usp=sharing" TargetMode="External"/><Relationship Id="rId200" Type="http://schemas.openxmlformats.org/officeDocument/2006/relationships/hyperlink" Target="https://drive.google.com/file/d/1FRvERC6iHAvjBkszkikOwJO3dKwZqFFK/view?usp=sharing" TargetMode="External"/><Relationship Id="rId16" Type="http://schemas.openxmlformats.org/officeDocument/2006/relationships/hyperlink" Target="https://toa-const3.box.com/s/uktowhnvviewbbqlgrii273g00fxiqan" TargetMode="External"/><Relationship Id="rId221" Type="http://schemas.openxmlformats.org/officeDocument/2006/relationships/hyperlink" Target="../../../:f:/g/personal/fahmi_waskita_co_id/Eten3vlJWYtEjwcHj0rlB4EBGaTTcxsTD3FOT3HDpaJNYw?e=JMoJff" TargetMode="External"/><Relationship Id="rId242" Type="http://schemas.openxmlformats.org/officeDocument/2006/relationships/hyperlink" Target="../../../:f:/g/personal/basuki_rahmat_waskita_co_id/EmlXG0hl3zhDgCJ2IWU1K40BNHWX3un-O9g9rPVss1ZGLQ?e=TbrzaE" TargetMode="External"/><Relationship Id="rId263" Type="http://schemas.openxmlformats.org/officeDocument/2006/relationships/hyperlink" Target="../../../:f:/g/personal/fahmi_waskita_co_id/IgCIFcJxol4iSbShJS3zAU3BAdWewoxy-qSNU_xsqZFh6pU?e=UrsSU5" TargetMode="External"/><Relationship Id="rId284" Type="http://schemas.openxmlformats.org/officeDocument/2006/relationships/hyperlink" Target="../../../:f:/g/personal/fahmi_waskita_co_id/IgBjGsJV944MSbeGi3lFMQhcAf_iJdTPJ-_aEOq_hsJdHYk?e=8VdxkU" TargetMode="External"/><Relationship Id="rId319" Type="http://schemas.openxmlformats.org/officeDocument/2006/relationships/hyperlink" Target="https://ptwaskita-my.sharepoint.com/:f:/g/personal/singarajamengwitani_sc910_waskita_co_id/IgCh1Nsh8FdySaZWTqT_EwonAbhHBhbpzlnbuCsZutxqBAE?e=LwYoCC" TargetMode="External"/><Relationship Id="rId37" Type="http://schemas.openxmlformats.org/officeDocument/2006/relationships/hyperlink" Target="../../../:u:/g/personal/wayabula1_infra2_waskita_co_id/EXSQo4qGZO1ElVb3xrbTDwEBukh3ftZnP3qk-yIpdxM4QQ?e=iesMWL" TargetMode="External"/><Relationship Id="rId58" Type="http://schemas.openxmlformats.org/officeDocument/2006/relationships/hyperlink" Target="../../../:f:/g/personal/dhani_ramdhani_waskita_co_id/EpLlm0r6r4lCinVy28RYsFsBvp76fGGkO5Bc3o0OLrI_Zg?e=DiZHJd" TargetMode="External"/><Relationship Id="rId79" Type="http://schemas.openxmlformats.org/officeDocument/2006/relationships/hyperlink" Target="https://1drv.ms/u/s!Av3zzsz7Xi3Zg4FsJi-k1XrvM6bzRA?e=C4NOGQ" TargetMode="External"/><Relationship Id="rId102" Type="http://schemas.openxmlformats.org/officeDocument/2006/relationships/hyperlink" Target="mailto:aldian.winata@waskita.co.id" TargetMode="External"/><Relationship Id="rId123" Type="http://schemas.openxmlformats.org/officeDocument/2006/relationships/hyperlink" Target="../../../:f:/g/personal/kretek_girijati_waskita_co_id/El0XE6gshP5Al7AvtvB89B8BbFtlGBfMTeNlUshDT8AojA?e=6pqwDa" TargetMode="External"/><Relationship Id="rId144" Type="http://schemas.openxmlformats.org/officeDocument/2006/relationships/hyperlink" Target="https://drive.google.com/file/d/1zd0IIts9fio-XcUZS33zB6AzUCYpRSIM/view?usp=share_link" TargetMode="External"/><Relationship Id="rId330" Type="http://schemas.openxmlformats.org/officeDocument/2006/relationships/hyperlink" Target="https://ptwaskita-my.sharepoint.com/:f:/g/personal/fahmi_waskita_co_id/Eten3vlJWYtEjwcHj0rlB4EBGaTTcxsTD3FOT3HDpaJNYw?e=JMoJff" TargetMode="External"/><Relationship Id="rId90" Type="http://schemas.openxmlformats.org/officeDocument/2006/relationships/hyperlink" Target="../../../:v:/g/personal/tri_suseno_waskita_co_id/ETlQt7QJ5bdKsJ2WthaiAd0Be25FM9X3LlhT167v5uSumQ?e=hxDHuK" TargetMode="External"/><Relationship Id="rId165" Type="http://schemas.openxmlformats.org/officeDocument/2006/relationships/hyperlink" Target="../../../shared?id=%2Fpersonal%2Ffahmi%5Fwaskita%5Fco%5Fid%2FDocuments%2FBIM%20%2D%20INFRA%202%2FProject%2FWKINF2%20%2D%201324001%20Jalan%20Tol%20Akses%20Patimban%20Paket%202%2F3%2E%20PUBLISHED&amp;listurl=%2Fpersonal%2Ffahmi%5Fwaskita%5Fco%5Fid%2FDocuments" TargetMode="External"/><Relationship Id="rId186" Type="http://schemas.openxmlformats.org/officeDocument/2006/relationships/hyperlink" Target="https://drive.google.com/file/d/1eSYQc0dinX5GefBmoEFcAPgED9aKbM1v/view?usp=sharing" TargetMode="External"/><Relationship Id="rId211" Type="http://schemas.openxmlformats.org/officeDocument/2006/relationships/hyperlink" Target="https://drive.google.com/file/d/1MPbseFRo3PAe3udNE87mlQYiT_PLNvAo/view?usp=sharing" TargetMode="External"/><Relationship Id="rId232" Type="http://schemas.openxmlformats.org/officeDocument/2006/relationships/hyperlink" Target="https://wkgeosurvey.com/map/project/739/" TargetMode="External"/><Relationship Id="rId253" Type="http://schemas.openxmlformats.org/officeDocument/2006/relationships/hyperlink" Target="../../../:f:/g/personal/lot2blitar_waskita_co_id/EmGPE3vyStNNmz9nPOwv7dUB9zVSMXBwTL8w6mcz3Kb1OQ?e=HaipLp" TargetMode="External"/><Relationship Id="rId274" Type="http://schemas.openxmlformats.org/officeDocument/2006/relationships/hyperlink" Target="../../../:f:/g/personal/rio_david_waskita_co_id/IgA5Vt6vRNVqRJutiooxkGF1AQJtkbjY_fwPPrLreZsvgpA?e=vQ7diZ" TargetMode="External"/><Relationship Id="rId295" Type="http://schemas.openxmlformats.org/officeDocument/2006/relationships/hyperlink" Target="../../../:f:/r/personal/fahmi_waskita_co_id/Documents/BIM%20-%20INFRA%202/Project/WKINF2%20-%201323020%20Jalan%20Tol%20Probowangi/1.%20WIP/GIS/13.%20Update%20Orthophoto?csf=1&amp;web=1&amp;e=hUflvD" TargetMode="External"/><Relationship Id="rId309" Type="http://schemas.openxmlformats.org/officeDocument/2006/relationships/hyperlink" Target="../../../:f:/g/personal/fahmi_waskita_co_id/IgDrJSSBiAniT5tNPHcjWJ-DAVZ85jyjpb_6jKLdJ3ZSgxE?e=Pl01tg" TargetMode="External"/><Relationship Id="rId27" Type="http://schemas.openxmlformats.org/officeDocument/2006/relationships/hyperlink" Target="https://drive.google.com/drive/folders/1a_uGpMc-k7DDIipd0jXvgSHzsC1sSW7f?usp=drive_link" TargetMode="External"/><Relationship Id="rId48" Type="http://schemas.openxmlformats.org/officeDocument/2006/relationships/hyperlink" Target="../../../:f:/g/personal/dhani_ramdhani_waskita_co_id/ErAViWo9vLNHj5YriZZI964BWyCePV4fUt5wYcIiy0sBww?e=KOM1ib" TargetMode="External"/><Relationship Id="rId69" Type="http://schemas.openxmlformats.org/officeDocument/2006/relationships/hyperlink" Target="https://drive.google.com/drive/folders/1EORN2mOb6wM36HERBLxyLPoyv-xDTiw-?usp=drive_link" TargetMode="External"/><Relationship Id="rId113" Type="http://schemas.openxmlformats.org/officeDocument/2006/relationships/hyperlink" Target="mailto:rezky.yudhaseno@waskita.co.id" TargetMode="External"/><Relationship Id="rId134" Type="http://schemas.openxmlformats.org/officeDocument/2006/relationships/hyperlink" Target="https://drive.google.com/file/d/1sKYgwr8xgoONd_EIWk34ZBOae6LTW72H/view?usp=sharing" TargetMode="External"/><Relationship Id="rId320" Type="http://schemas.openxmlformats.org/officeDocument/2006/relationships/hyperlink" Target="https://ptwaskita-my.sharepoint.com/:f:/g/personal/fahmi_waskita_co_id/IgDyXYS7SAJRR5PNLQ4XtE0tAdxbalXXSflxtB7kK05plU8?e=kd4fMH" TargetMode="External"/><Relationship Id="rId80" Type="http://schemas.openxmlformats.org/officeDocument/2006/relationships/hyperlink" Target="../../../:f:/g/personal/banyu_purwita_waskita_co_id/EpfqneVL4vdCqrPi6q8266wB5pHvD9i-04NI3gIx_Zz3SA?e=Sx2roU" TargetMode="External"/><Relationship Id="rId155" Type="http://schemas.openxmlformats.org/officeDocument/2006/relationships/hyperlink" Target="../../../:f:/g/personal/ganis_satria_waskita_co_id/EqY7Nfev0GJMhAz7fGcxh4wBIomAsTBd-NN67JQ34Lcuvw?e=gaT3n0" TargetMode="External"/><Relationship Id="rId176" Type="http://schemas.openxmlformats.org/officeDocument/2006/relationships/hyperlink" Target="../../../:f:/g/personal/lot2blitar_waskita_co_id/EpW6CiPBnoBDq9b-Le-8Mi0Bj0sYcxWjEkwQWfewK202Dw?e=nis5eg" TargetMode="External"/><Relationship Id="rId197" Type="http://schemas.openxmlformats.org/officeDocument/2006/relationships/hyperlink" Target="https://drive.google.com/drive/folders/1RzOHec2oiNFBkGbrJMogvVxPs8XPTweX?usp=sharing" TargetMode="External"/><Relationship Id="rId201" Type="http://schemas.openxmlformats.org/officeDocument/2006/relationships/hyperlink" Target="https://drive.google.com/drive/folders/1Zszcy3QjZNDzgCsmcqo0KwM8IBZeWzAn?usp=sharing" TargetMode="External"/><Relationship Id="rId222" Type="http://schemas.openxmlformats.org/officeDocument/2006/relationships/hyperlink" Target="../../../:v:/g/personal/lot2blitar_waskita_co_id/EUxJNyFsdrpOrMYQI16uxyMBiQv0vsHgsfnrCcVOTpKlFQ?nav=eyJyZWZlcnJhbEluZm8iOnsicmVmZXJyYWxBcHAiOiJPbmVEcml2ZUZvckJ1c2luZXNzIiwicmVmZXJyYWxBcHBQbGF0Zm9ybSI6IldlYiIsInJlZmVycmFsTW9kZSI6InZpZXciLCJyZWZlcnJhbFZpZXciOiJNeUZpbGVzTGlua0NvcHkifX0&amp;e=8PYC3A" TargetMode="External"/><Relationship Id="rId243" Type="http://schemas.openxmlformats.org/officeDocument/2006/relationships/hyperlink" Target="https://drive.google.com/file/d/1HiHmK_mVZRCXioCtdQiGYi9ZaLRY9efR/view?usp=sharing" TargetMode="External"/><Relationship Id="rId264" Type="http://schemas.openxmlformats.org/officeDocument/2006/relationships/hyperlink" Target="../../../:v:/g/personal/fahmi_waskita_co_id/IQDNpeDSM9w3TY74yv8YAw5qAZhvGV1aRmOfL25vagF4RWo?nav=eyJyZWZlcnJhbEluZm8iOnsicmVmZXJyYWxBcHAiOiJPbmVEcml2ZUZvckJ1c2luZXNzIiwicmVmZXJyYWxBcHBQbGF0Zm9ybSI6IldlYiIsInJlZmVycmFsTW9kZSI6InZpZXciLCJyZWZlcnJhbFZpZXciOiJNeUZpbGVzTGlua0NvcHkifX0&amp;e=oGm6Ok" TargetMode="External"/><Relationship Id="rId285" Type="http://schemas.openxmlformats.org/officeDocument/2006/relationships/hyperlink" Target="../../../:f:/g/personal/fahmi_waskita_co_id/IgDrJSSBiAniT5tNPHcjWJ-DAVZ85jyjpb_6jKLdJ3ZSgxE?e=6MmhWT" TargetMode="External"/><Relationship Id="rId17" Type="http://schemas.openxmlformats.org/officeDocument/2006/relationships/hyperlink" Target="../../../:f:/g/personal/fahmi_waskita_co_id/EqSZItR777tMgaBCR0jwokoBpdjUZmsxgRdwDjTwniusxQ?e=XlZ0qz" TargetMode="External"/><Relationship Id="rId38" Type="http://schemas.openxmlformats.org/officeDocument/2006/relationships/hyperlink" Target="../../../:i:/g/personal/wayabula1_infra2_waskita_co_id/EV4Imp5keaNIl_qFSlHcfUABCqiKyCsz6mhbrwcurX4gBQ?e=xYI3Po" TargetMode="External"/><Relationship Id="rId59" Type="http://schemas.openxmlformats.org/officeDocument/2006/relationships/hyperlink" Target="https://drive.google.com/drive/folders/1xljgdB2zsNuObwSE06QCZ8PhDiLjjXYH?usp=sharing" TargetMode="External"/><Relationship Id="rId103" Type="http://schemas.openxmlformats.org/officeDocument/2006/relationships/hyperlink" Target="mailto:andri.j@waskita.co.id" TargetMode="External"/><Relationship Id="rId124" Type="http://schemas.openxmlformats.org/officeDocument/2006/relationships/hyperlink" Target="../../../:f:/g/personal/kretek_girijati_waskita_co_id/EqgYa5zBUu5CvCETGG0fD-4Ba-g-gU77-TyMYjw3zaU37g?e=pigdlA" TargetMode="External"/><Relationship Id="rId310" Type="http://schemas.openxmlformats.org/officeDocument/2006/relationships/hyperlink" Target="../../../:f:/g/personal/basuki_rahmat_waskita_co_id/IgC7vNrvBaklSb_8WFMBpW--Ab7QmqDKDE0JzZ2RMBvvijk?e=fO64qY" TargetMode="External"/><Relationship Id="rId70" Type="http://schemas.openxmlformats.org/officeDocument/2006/relationships/hyperlink" Target="https://drive.google.com/drive/folders/1IdXufZIQU3I53htfVe1cfW02zSkKHSEY" TargetMode="External"/><Relationship Id="rId91" Type="http://schemas.openxmlformats.org/officeDocument/2006/relationships/hyperlink" Target="../../../:f:/r/personal/tri_suseno_waskita_co_id/Documents/0.%20PROYEK%20BLUSUH%20OK/ADMINISTRASI%20TEKNIK/Dokumentasi%20Harian/23.%20Januari%202023?csf=1&amp;web=1&amp;e=ogNJ0O" TargetMode="External"/><Relationship Id="rId145" Type="http://schemas.openxmlformats.org/officeDocument/2006/relationships/hyperlink" Target="../../../:f:/g/personal/fahmi_waskita_co_id/ErLU5Ic3pddKqN3L3xZT1igBB5A3yFNfEZ7GEFzjiN_3Vw?e=Zajeqa" TargetMode="External"/><Relationship Id="rId166" Type="http://schemas.openxmlformats.org/officeDocument/2006/relationships/hyperlink" Target="../../../:v:/g/personal/rio_david_waskita_co_id/EVK5Qr7GIYVJnfUjMBeK7nMBTNZ3QzWwEDYL8UQ-jZVleg?nav=eyJyZWZlcnJhbEluZm8iOnsicmVmZXJyYWxBcHAiOiJPbmVEcml2ZUZvckJ1c2luZXNzIiwicmVmZXJyYWxBcHBQbGF0Zm9ybSI6IldlYiIsInJlZmVycmFsTW9kZSI6InZpZXciLCJyZWZlcnJhbFZpZXciOiJNeUZpbGVzTGlua0NvcHkifX0&amp;e=5k0qUE" TargetMode="External"/><Relationship Id="rId187" Type="http://schemas.openxmlformats.org/officeDocument/2006/relationships/hyperlink" Target="../../../:f:/g/personal/kretek_girijati_waskita_co_id/EhvVu_IzjHVKtyvK0c-RgoYBAZIUi99Kz1N67Edgpoto0A?e=iC6KoN" TargetMode="External"/><Relationship Id="rId331" Type="http://schemas.openxmlformats.org/officeDocument/2006/relationships/hyperlink" Target="https://ptwaskita-my.sharepoint.com/:f:/r/personal/fahmi_waskita_co_id/Documents/BIM%20-%20INFRA%202/Project/WKINF2%20-%201323020%20Jalan%20Tol%20Probowangi/1.%20WIP/GIS/13.%20Update%20Orthophoto?csf=1&amp;web=1&amp;e=hUflvD" TargetMode="External"/><Relationship Id="rId1" Type="http://schemas.openxmlformats.org/officeDocument/2006/relationships/hyperlink" Target="https://drive.google.com/drive/folders/1vto5YzUBefAtgHj1nqCpJELJEFFhu6Eo?usp=sharing" TargetMode="External"/><Relationship Id="rId212" Type="http://schemas.openxmlformats.org/officeDocument/2006/relationships/hyperlink" Target="https://wkgeosurvey.com/map/project/702/" TargetMode="External"/><Relationship Id="rId233" Type="http://schemas.openxmlformats.org/officeDocument/2006/relationships/hyperlink" Target="../../../:v:/g/personal/rio_david_waskita_co_id/EZboiHZE9ExNooS97IRIgZwBnu9fRRbrFRHejT0XRN8u6w?nav=eyJyZWZlcnJhbEluZm8iOnsicmVmZXJyYWxBcHAiOiJPbmVEcml2ZUZvckJ1c2luZXNzIiwicmVmZXJyYWxBcHBQbGF0Zm9ybSI6IldlYiIsInJlZmVycmFsTW9kZSI6InZpZXciLCJyZWZlcnJhbFZpZXciOiJNeUZpbGVzTGlua0NvcHkifX0&amp;e=NZ1G9Z" TargetMode="External"/><Relationship Id="rId254" Type="http://schemas.openxmlformats.org/officeDocument/2006/relationships/hyperlink" Target="../../../:f:/r/personal/fahmi_waskita_co_id/Documents/BIM%20-%20INFRA%202/Project/WKINF2%20-%201323020%20Jalan%20Tol%20Probowangi/1.%20WIP/GIS/13.%20Update%20Orthophoto?csf=1&amp;web=1&amp;e=hUflvD" TargetMode="External"/><Relationship Id="rId28" Type="http://schemas.openxmlformats.org/officeDocument/2006/relationships/hyperlink" Target="https://drive.google.com/drive/folders/1A7pyHlmQPGwO_kyr00Ck_iSr2BfKeyLN" TargetMode="External"/><Relationship Id="rId49" Type="http://schemas.openxmlformats.org/officeDocument/2006/relationships/hyperlink" Target="https://drive.google.com/file/d/1QaTTFMMJ0nf6bXBHTasQV_TrZFbCOWq6/view?usp=sharing" TargetMode="External"/><Relationship Id="rId114" Type="http://schemas.openxmlformats.org/officeDocument/2006/relationships/hyperlink" Target="mailto:Dhani.ramdhani@Waskita.co.id" TargetMode="External"/><Relationship Id="rId275" Type="http://schemas.openxmlformats.org/officeDocument/2006/relationships/hyperlink" Target="../../../:v:/g/personal/rio_david_waskita_co_id/IQBxw4HPtK-6SqoxOZTvOQvbASm808fpDY5ZiL5FlYHV0W4?nav=eyJyZWZlcnJhbEluZm8iOnsicmVmZXJyYWxBcHAiOiJPbmVEcml2ZUZvckJ1c2luZXNzIiwicmVmZXJyYWxBcHBQbGF0Zm9ybSI6IldlYiIsInJlZmVycmFsTW9kZSI6InZpZXciLCJyZWZlcnJhbFZpZXciOiJNeUZpbGVzTGlua0NvcHkifX0&amp;e=ZoeAui" TargetMode="External"/><Relationship Id="rId296" Type="http://schemas.openxmlformats.org/officeDocument/2006/relationships/hyperlink" Target="https://youtu.be/RFdmWkQxzGw" TargetMode="External"/><Relationship Id="rId300" Type="http://schemas.openxmlformats.org/officeDocument/2006/relationships/hyperlink" Target="https://drive.google.com/drive/folders/1J2HBSVlOrSI6Si8PC0TYR78-ND0xq5dE?usp=drive_link" TargetMode="External"/><Relationship Id="rId60" Type="http://schemas.openxmlformats.org/officeDocument/2006/relationships/hyperlink" Target="../../../:f:/r/personal/fahmi_waskita_co_id/Documents/BIM%20-%20INFRA%202/Project/WKINF2%20-%20Lingkar%20Sepaku%204/2.%20SHARED/06.%20Reality%20Modeling/54.%2025%20Februari%202024/Foto?csf=1&amp;web=1&amp;e=3qpb5p" TargetMode="External"/><Relationship Id="rId81" Type="http://schemas.openxmlformats.org/officeDocument/2006/relationships/hyperlink" Target="https://toa-const3.box.com/s/8bw9urvt82zoafi85booh4zjaeb1sb4t" TargetMode="External"/><Relationship Id="rId135" Type="http://schemas.openxmlformats.org/officeDocument/2006/relationships/hyperlink" Target="../../../:f:/g/personal/kretek_girijati_waskita_co_id/EqgYa5zBUu5CvCETGG0fD-4Ba-g-gU77-TyMYjw3zaU37g?e=x5Wk8r" TargetMode="External"/><Relationship Id="rId156" Type="http://schemas.openxmlformats.org/officeDocument/2006/relationships/hyperlink" Target="../../../:v:/g/personal/basuki_rahmat_waskita_co_id/ERKVhi6OijFLuGtP4htjfOcBl7wTEtJsy4DUlG8gVmv0lg?nav=eyJyZWZlcnJhbEluZm8iOnsicmVmZXJyYWxBcHAiOiJPbmVEcml2ZUZvckJ1c2luZXNzIiwicmVmZXJyYWxBcHBQbGF0Zm9ybSI6IldlYiIsInJlZmVycmFsTW9kZSI6InZpZXciLCJyZWZlcnJhbFZpZXciOiJNeUZpbGVzTGlua0NvcHkifX0&amp;e=OJYpNS" TargetMode="External"/><Relationship Id="rId177" Type="http://schemas.openxmlformats.org/officeDocument/2006/relationships/hyperlink" Target="https://drive.google.com/drive/folders/1TBl8sKe5NvqoO4tFBcjMS6UJU16VAYjp?usp=sharing" TargetMode="External"/><Relationship Id="rId198" Type="http://schemas.openxmlformats.org/officeDocument/2006/relationships/hyperlink" Target="../../../:f:/g/personal/fahmi_waskita_co_id/Ejd6gCZyyGhBkuX8brR-eLABb7Iwpu1tJiECLNH3aHe54g?e=MGgc5g" TargetMode="External"/><Relationship Id="rId321" Type="http://schemas.openxmlformats.org/officeDocument/2006/relationships/hyperlink" Target="https://drive.google.com/file/d/1cZsb9em_J_F4eF4kYcaD5kZieWAub5uy/view?usp=sharing" TargetMode="External"/><Relationship Id="rId202" Type="http://schemas.openxmlformats.org/officeDocument/2006/relationships/hyperlink" Target="https://drive.google.com/drive/folders/1J2HBSVlOrSI6Si8PC0TYR78-ND0xq5dE?usp=drive_link" TargetMode="External"/><Relationship Id="rId223" Type="http://schemas.openxmlformats.org/officeDocument/2006/relationships/hyperlink" Target="../../../:v:/g/personal/dhani_ramdhani_waskita_co_id/EZmHMLQR8hxIryLhqxgi_B4BfYlG0mryTN9kwKZ0wMK1oA?nav=eyJyZWZlcnJhbEluZm8iOnsicmVmZXJyYWxBcHAiOiJPbmVEcml2ZUZvckJ1c2luZXNzIiwicmVmZXJyYWxBcHBQbGF0Zm9ybSI6IldlYiIsInJlZmVycmFsTW9kZSI6InZpZXciLCJyZWZlcnJhbFZpZXciOiJNeUZpbGVzTGlua0NvcHkifX0&amp;e=5m1evD" TargetMode="External"/><Relationship Id="rId244" Type="http://schemas.openxmlformats.org/officeDocument/2006/relationships/hyperlink" Target="https://drive.google.com/drive/folders/1J2HBSVlOrSI6Si8PC0TYR78-ND0xq5dE" TargetMode="External"/><Relationship Id="rId18" Type="http://schemas.openxmlformats.org/officeDocument/2006/relationships/hyperlink" Target="https://youtu.be/fn9lV-kZxxg" TargetMode="External"/><Relationship Id="rId39" Type="http://schemas.openxmlformats.org/officeDocument/2006/relationships/hyperlink" Target="../../../:u:/g/personal/wayabula1_infra2_waskita_co_id/EYhzs-MldhFBmprvSueUxNABRsXRRQhUvC4Ia2s1f9rYww?e=vU3mMc" TargetMode="External"/><Relationship Id="rId265" Type="http://schemas.openxmlformats.org/officeDocument/2006/relationships/hyperlink" Target="../../../:f:/g/personal/fahmi_waskita_co_id/IgCIFcJxol4iSbShJS3zAU3BAdWewoxy-qSNU_xsqZFh6pU?e=UrsSU5" TargetMode="External"/><Relationship Id="rId286" Type="http://schemas.openxmlformats.org/officeDocument/2006/relationships/hyperlink" Target="../../../:f:/g/personal/fahmi_waskita_co_id/IgA3eoAmcshoQZLl_G60fniwAW-yMKbtbSYhAizR92h3ueI?e=jq8rRg" TargetMode="External"/><Relationship Id="rId50" Type="http://schemas.openxmlformats.org/officeDocument/2006/relationships/hyperlink" Target="https://drive.google.com/drive/folders/1ema98ASjb4HZIxI_R_LfPASGJlKXyBQC?usp=drive_link" TargetMode="External"/><Relationship Id="rId104" Type="http://schemas.openxmlformats.org/officeDocument/2006/relationships/hyperlink" Target="mailto:fian.aziz@waskita.co.id" TargetMode="External"/><Relationship Id="rId125" Type="http://schemas.openxmlformats.org/officeDocument/2006/relationships/hyperlink" Target="../../../:f:/g/personal/kretek_girijati_waskita_co_id/EqgYa5zBUu5CvCETGG0fD-4Ba-g-gU77-TyMYjw3zaU37g?e=pigdlA" TargetMode="External"/><Relationship Id="rId146" Type="http://schemas.openxmlformats.org/officeDocument/2006/relationships/hyperlink" Target="../../../:f:/g/personal/kretek_girijati_waskita_co_id/EqgYa5zBUu5CvCETGG0fD-4Ba-g-gU77-TyMYjw3zaU37g?e=a5iUfH" TargetMode="External"/><Relationship Id="rId167" Type="http://schemas.openxmlformats.org/officeDocument/2006/relationships/hyperlink" Target="../../../:f:/g/personal/fahmi_waskita_co_id/EuoJbdIc_8tDrudmVAw-0AIBlReY_fswGnJezBe6lGMjww?e=gLURwy" TargetMode="External"/><Relationship Id="rId188" Type="http://schemas.openxmlformats.org/officeDocument/2006/relationships/hyperlink" Target="../../../:f:/g/personal/kretek_girijati_waskita_co_id/ErnpSvtnngRNkn01ZVEg67EBbJE9EuLQSdvMVWDCNVQLpg?e=2O5GKb" TargetMode="External"/><Relationship Id="rId311" Type="http://schemas.openxmlformats.org/officeDocument/2006/relationships/hyperlink" Target="../../../:f:/g/personal/basuki_rahmat_waskita_co_id/IgCeZyNhryOwToNSb4BbdjRQAQzVhqKhpBYiaVelHMxwR6c?e=UcMnD0" TargetMode="External"/><Relationship Id="rId332" Type="http://schemas.openxmlformats.org/officeDocument/2006/relationships/hyperlink" Target="https://tinyurl.com/Bank-Data-Media-Infra2" TargetMode="External"/><Relationship Id="rId71" Type="http://schemas.openxmlformats.org/officeDocument/2006/relationships/hyperlink" Target="https://drive.google.com/drive/folders/1vwybSH7S2fP8d6y0GafOVrhRrrjFlr1Y?usp=drive_link" TargetMode="External"/><Relationship Id="rId92" Type="http://schemas.openxmlformats.org/officeDocument/2006/relationships/hyperlink" Target="../../../:f:/g/personal/tri_suseno_waskita_co_id/Eh0RHhjnjLFOuCFEt67gx88B3wdfMyv1-H6888UZb2PtDg?e=BX9kcX" TargetMode="External"/><Relationship Id="rId213" Type="http://schemas.openxmlformats.org/officeDocument/2006/relationships/hyperlink" Target="../../../:f:/g/personal/fahmi_waskita_co_id/EkzBmqN4xjxPnS0MLtkVsHsBzAg3cCnoIXMD_33hBPkrpA?e=9yK7bV" TargetMode="External"/><Relationship Id="rId234" Type="http://schemas.openxmlformats.org/officeDocument/2006/relationships/hyperlink" Target="../../../:f:/g/personal/basuki_rahmat_waskita_co_id/EtyLqM3wa_BHkSFtk7x4UUABWjNf7ehOoOg0DsXM18k9Mw?e=eo5KBo" TargetMode="External"/><Relationship Id="rId2" Type="http://schemas.openxmlformats.org/officeDocument/2006/relationships/hyperlink" Target="https://drive.google.com/file/d/14iyohEO57FPbSFh_qypLd6D0JRVG1rVC/view?usp=sharing" TargetMode="External"/><Relationship Id="rId29" Type="http://schemas.openxmlformats.org/officeDocument/2006/relationships/hyperlink" Target="https://drive.google.com/file/d/1EeJ_CrU1YPIOs_BlQG-ZueBzQMlalbV5/view" TargetMode="External"/><Relationship Id="rId255" Type="http://schemas.openxmlformats.org/officeDocument/2006/relationships/hyperlink" Target="../../../:f:/g/personal/kretek_girijati_waskita_co_id/Ev2WNezcXYpJqkXFU8WYLAgBIbIAygCapEnl_TY54RL1rA?e=YvzJRD" TargetMode="External"/><Relationship Id="rId276" Type="http://schemas.openxmlformats.org/officeDocument/2006/relationships/hyperlink" Target="../../../:f:/g/personal/fahmi_waskita_co_id/Eten3vlJWYtEjwcHj0rlB4EBGaTTcxsTD3FOT3HDpaJNYw?e=JMoJff" TargetMode="External"/><Relationship Id="rId297" Type="http://schemas.openxmlformats.org/officeDocument/2006/relationships/hyperlink" Target="../../../:f:/g/personal/kretek_girijati_waskita_co_id/IgD8HdP1aEKJQ58GQuEdnfwAAaU9q7BOTJ_FLBlk4bWnP1M?e=nD2Ryt" TargetMode="External"/><Relationship Id="rId40" Type="http://schemas.openxmlformats.org/officeDocument/2006/relationships/hyperlink" Target="../../../:v:/g/personal/wayabula1_infra2_waskita_co_id/Ebl40LYivpZAt_4MU5EZtBsBs_fij8j0iSXhPJXeh2fiMQ?e=UiNs5O" TargetMode="External"/><Relationship Id="rId115" Type="http://schemas.openxmlformats.org/officeDocument/2006/relationships/hyperlink" Target="mailto:basuki.rahmat@waskita.co.id" TargetMode="External"/><Relationship Id="rId136" Type="http://schemas.openxmlformats.org/officeDocument/2006/relationships/hyperlink" Target="../../../:f:/g/personal/kretek_girijati_waskita_co_id/EqgYa5zBUu5CvCETGG0fD-4Ba-g-gU77-TyMYjw3zaU37g?e=x5Wk8r" TargetMode="External"/><Relationship Id="rId157" Type="http://schemas.openxmlformats.org/officeDocument/2006/relationships/hyperlink" Target="../../../:f:/g/personal/basuki_rahmat_waskita_co_id/EqDfEFq8ck5GuKVprzwb9dAB-EZTjL2QCtwpWXjvBsCHHg?e=Odwh2n" TargetMode="External"/><Relationship Id="rId178" Type="http://schemas.openxmlformats.org/officeDocument/2006/relationships/hyperlink" Target="../../../:f:/g/personal/basuki_rahmat_waskita_co_id/EidVg3iAZDFPtBcR3ZNUwFgBscn8yKk3UiQc7R986_cnUw?e=rtEXGe" TargetMode="External"/><Relationship Id="rId301" Type="http://schemas.openxmlformats.org/officeDocument/2006/relationships/hyperlink" Target="../../../:u:/g/personal/rezky_yudhaseno_waskita_co_id/Eew390xxvkJJi76kj_q2K5QBUT4OoTtmxIcSYrtqt7qFvA?e=7JOyqt" TargetMode="External"/><Relationship Id="rId322" Type="http://schemas.openxmlformats.org/officeDocument/2006/relationships/hyperlink" Target="https://ptwaskita-my.sharepoint.com/:f:/g/personal/fahmi_waskita_co_id/Eten3vlJWYtEjwcHj0rlB4EBGaTTcxsTD3FOT3HDpaJNYw?e=JMoJff" TargetMode="External"/><Relationship Id="rId61" Type="http://schemas.openxmlformats.org/officeDocument/2006/relationships/hyperlink" Target="https://drive.google.com/drive/folders/1iFm0oiwbAnsrpRjbltotUsZaMGgew5NC?usp=sharing" TargetMode="External"/><Relationship Id="rId82" Type="http://schemas.openxmlformats.org/officeDocument/2006/relationships/hyperlink" Target="../../../:f:/r/personal/fahmi_waskita_co_id/Documents/BIM%20-%20INFRA%202/Project/WKINF2%20-%20Pematangan%20Lahan%20KITB%20Batang/1.%20WIP/Reality%20Modeling/202401-Jan%2024/Dokumentasi/Foto?csf=1&amp;web=1&amp;e=yDimYy" TargetMode="External"/><Relationship Id="rId199" Type="http://schemas.openxmlformats.org/officeDocument/2006/relationships/hyperlink" Target="../../../:f:/g/personal/basuki_rahmat_waskita_co_id/EhdgB84pzh5IgBjBqx4Tx74B8BH81yIEwr5nFb1e2fQUjQ?e=fUs9FT" TargetMode="External"/><Relationship Id="rId203" Type="http://schemas.openxmlformats.org/officeDocument/2006/relationships/hyperlink" Target="https://drive.google.com/file/d/15s67DDSQt8FTk2x7_l1w8HckYeDEjvEo/view?usp=sharing" TargetMode="External"/><Relationship Id="rId19" Type="http://schemas.openxmlformats.org/officeDocument/2006/relationships/hyperlink" Target="../../../:f:/g/personal/fahmi_waskita_co_id/Eg50-hUJ8VFGnVnT-Yo_YQcBaA6jEnlQwqgd5PLobxYH3Q?e=kZTm9M" TargetMode="External"/><Relationship Id="rId224" Type="http://schemas.openxmlformats.org/officeDocument/2006/relationships/hyperlink" Target="../../../:v:/g/personal/dhani_ramdhani_waskita_co_id/EWtwWIf17g5Ag33rMkAekh4BK75nqu6aGlKjW7Si8d9x4g?nav=eyJyZWZlcnJhbEluZm8iOnsicmVmZXJyYWxBcHAiOiJPbmVEcml2ZUZvckJ1c2luZXNzIiwicmVmZXJyYWxBcHBQbGF0Zm9ybSI6IldlYiIsInJlZmVycmFsTW9" TargetMode="External"/><Relationship Id="rId245" Type="http://schemas.openxmlformats.org/officeDocument/2006/relationships/hyperlink" Target="https://drive.google.com/drive/folders/1J2HBSVlOrSI6Si8PC0TYR78-ND0xq5dE" TargetMode="External"/><Relationship Id="rId266" Type="http://schemas.openxmlformats.org/officeDocument/2006/relationships/hyperlink" Target="../../../:v:/g/personal/lot2blitar_waskita_co_id/IQAunCVQvyA4SrCIukcHhsRHAYyRczXe7TBr_M0EY2D9DLM?nav=eyJyZWZlcnJhbEluZm8iOnsicmVmZXJyYWxBcHAiOiJPbmVEcml2ZUZvckJ1c2luZXNzIiwicmVmZXJyYWxBcHBQbGF0Zm9ybSI6IldlYiIsInJlZmVycmFsTW9kZSI6InZpZXciLCJyZWZlcnJhbFZpZXciOiJNeUZpbGVzTGlua0NvcHkifX0&amp;e=mALdCv" TargetMode="External"/><Relationship Id="rId287" Type="http://schemas.openxmlformats.org/officeDocument/2006/relationships/hyperlink" Target="https://drive.google.com/file/d/1JLRRyVqx0IlMuG7Qd7TGEvu81ZY-F3-_/view?usp=sharing" TargetMode="External"/><Relationship Id="rId30" Type="http://schemas.openxmlformats.org/officeDocument/2006/relationships/hyperlink" Target="https://drive.google.com/drive/folders/1ocVGxw1ll18ybSxxBQY-nUxj_dMmF0Th" TargetMode="External"/><Relationship Id="rId105" Type="http://schemas.openxmlformats.org/officeDocument/2006/relationships/hyperlink" Target="mailto:ajik.prastiyo@waskita.co.id" TargetMode="External"/><Relationship Id="rId126" Type="http://schemas.openxmlformats.org/officeDocument/2006/relationships/hyperlink" Target="../../../:u:/g/personal/rezky_yudhaseno_waskita_co_id/EeLXQGD1qH9OnE5qGGikvBsBP-Ft7ZzPaDkcHCO6rtz9bA?e=za6xbb" TargetMode="External"/><Relationship Id="rId147" Type="http://schemas.openxmlformats.org/officeDocument/2006/relationships/hyperlink" Target="../../../:v:/g/personal/ganis_satria_waskita_co_id/ERXAYfPiI7dGguugDZUwSSUBlius54mqFxvNTJ3jGM5F2w?nav=eyJyZWZlcnJhbEluZm8iOnsicmVmZXJyYWxBcHAiOiJPbmVEcml2ZUZvckJ1c2luZXNzIiwicmVmZXJyYWxBcHBQbGF0Zm9ybSI6IldlYiIsInJlZmVycmFsTW9kZSI6InZpZXciLCJyZWZlcnJhbFZpZXciOiJNeUZpbGVzTGlua0NvcHkifX0&amp;e=75nJAZ" TargetMode="External"/><Relationship Id="rId168" Type="http://schemas.openxmlformats.org/officeDocument/2006/relationships/hyperlink" Target="../../../:f:/g/personal/basuki_rahmat_waskita_co_id/Eo6iS7yTf89BttivS_28hPwBmMkz6RdZVzifI5HJc3IMQw?e=B6gbyG" TargetMode="External"/><Relationship Id="rId312" Type="http://schemas.openxmlformats.org/officeDocument/2006/relationships/hyperlink" Target="../../../:f:/r/personal/fahmi_waskita_co_id/Documents/BIM%20-%20INFRA%202/Project/WKINF2%20-%201323020%20Jalan%20Tol%20Probowangi/1.%20WIP/GIS/13.%20Update%20Orthophoto?csf=1&amp;web=1&amp;e=hUflvD" TargetMode="External"/><Relationship Id="rId333" Type="http://schemas.openxmlformats.org/officeDocument/2006/relationships/hyperlink" Target="https://ptwaskita-my.sharepoint.com/:f:/g/personal/banyu_purwita_waskita_co_id/EpfqneVL4vdCqrPi6q8266wB5pHvD9i-04NI3gIx_Zz3SA?e=Sx2roU" TargetMode="External"/><Relationship Id="rId51" Type="http://schemas.openxmlformats.org/officeDocument/2006/relationships/hyperlink" Target="https://drive.google.com/drive/folders/1J2HBSVlOrSI6Si8PC0TYR78-ND0xq5dE" TargetMode="External"/><Relationship Id="rId72" Type="http://schemas.openxmlformats.org/officeDocument/2006/relationships/hyperlink" Target="https://drive.google.com/drive/folders/1PR_nFpai9UrS6KY8az13x7shQRsln6_K?usp=drive_link" TargetMode="External"/><Relationship Id="rId93" Type="http://schemas.openxmlformats.org/officeDocument/2006/relationships/hyperlink" Target="../../../:v:/g/personal/tri_suseno_waskita_co_id/EfxZCK_hPRJNpSltu_axixkBXvxkrinlEnaZKG4zn5CqcQ?e=ROJnSs" TargetMode="External"/><Relationship Id="rId189" Type="http://schemas.openxmlformats.org/officeDocument/2006/relationships/hyperlink" Target="../../../:f:/r/personal/fahmi_waskita_co_id/Documents/BIM%20-%20INFRA%202/Project/WKINF2%20-%201323020%20Jalan%20Tol%20Probowangi/1.%20WIP/GIS/13.%20Update%20Orthophoto?csf=1&amp;web=1&amp;e=hUflvD" TargetMode="External"/><Relationship Id="rId3" Type="http://schemas.openxmlformats.org/officeDocument/2006/relationships/hyperlink" Target="https://drive.google.com/file/d/14JzUwHb7ei5sR-BgXz8rKZPral4AD4bl/view?usp=sharing" TargetMode="External"/><Relationship Id="rId214" Type="http://schemas.openxmlformats.org/officeDocument/2006/relationships/hyperlink" Target="../../../:f:/g/personal/fahmi_waskita_co_id/EuslJIGICeJPm008dyNYn4MBVnzmPKOlv_qMot0ndlKDEQ?e=xwjnrB" TargetMode="External"/><Relationship Id="rId235" Type="http://schemas.openxmlformats.org/officeDocument/2006/relationships/hyperlink" Target="../../../:f:/g/personal/basuki_rahmat_waskita_co_id/Evaqe2laNyVElyDAAAJtGdIB1atIR1lL9ZXsW7ZgY7IUEA?e=MLeb5f" TargetMode="External"/><Relationship Id="rId256" Type="http://schemas.openxmlformats.org/officeDocument/2006/relationships/hyperlink" Target="../../../:f:/g/personal/fahmi_waskita_co_id/EteUxvik4QRBtF0_G7COSRgBvb-sjlz0puUXZ20h-ntm4Q?e=ThEjv9" TargetMode="External"/><Relationship Id="rId277" Type="http://schemas.openxmlformats.org/officeDocument/2006/relationships/hyperlink" Target="https://drive.google.com/file/d/1dS70ilco9if_B08-MUXdYU6lYh9U2M85/view?usp=sharing" TargetMode="External"/><Relationship Id="rId298" Type="http://schemas.openxmlformats.org/officeDocument/2006/relationships/hyperlink" Target="../../../:f:/g/personal/kretek_girijati_waskita_co_id/IgCjH34Wc_lTRrmGhoauJrtQAVxSxLhyH2TGNcM3wI1rz2w?e=u8Mqwo" TargetMode="External"/><Relationship Id="rId116" Type="http://schemas.openxmlformats.org/officeDocument/2006/relationships/hyperlink" Target="https://onedrive.live.com/?authkey=%21AO46hJbzSa%5Fv65A&amp;cid=3D1AE30B12F3D181&amp;id=3D1AE30B12F3D181%2113293&amp;parId=3D1AE30B12F3D181%2113238&amp;o=OneUp" TargetMode="External"/><Relationship Id="rId137" Type="http://schemas.openxmlformats.org/officeDocument/2006/relationships/hyperlink" Target="../../../:f:/g/personal/fahmi_waskita_co_id/EmED5FWhQZ5BtHJKmzEvZOgBbN7WTGPPKrIXjUt_0vL7Ag?e=PpyRvo" TargetMode="External"/><Relationship Id="rId158" Type="http://schemas.openxmlformats.org/officeDocument/2006/relationships/hyperlink" Target="../../../:f:/g/personal/basuki_rahmat_waskita_co_id/EhZc90QU8bZPum7kvNSuaPkBtjokM0pSDbxOHEY5M9JkXw?e=UvwF8m" TargetMode="External"/><Relationship Id="rId302" Type="http://schemas.openxmlformats.org/officeDocument/2006/relationships/hyperlink" Target="../../../:v:/g/personal/rio_david_waskita_co_id/IQAeyvioE-poQ6ROcX3Hcbj7AUnmt5uODRuFTUPib86DuxQ?nav=eyJyZWZlcnJhbEluZm8iOnsicmVmZXJyYWxBcHAiOiJPbmVEcml2ZUZvckJ1c2luZXNzIiwicmVmZXJyYWxBcHBQbGF0Zm9ybSI6IldlYiIsInJlZmVycmFsTW9kZSI6InZpZXciLCJyZWZlcnJhbFZpZXciOiJNeUZpbGVzTGlua0NvcHkifX0&amp;e=VWxrGU" TargetMode="External"/><Relationship Id="rId323" Type="http://schemas.openxmlformats.org/officeDocument/2006/relationships/hyperlink" Target="https://ptwaskita-my.sharepoint.com/:f:/g/personal/fahmi_waskita_co_id/EgeQp6t2rqFIlB_9HcE_WxkBpE1Onz_l1up1_jGBnSkZJA?e=S2eoQT" TargetMode="External"/><Relationship Id="rId20" Type="http://schemas.openxmlformats.org/officeDocument/2006/relationships/hyperlink" Target="../../fahmi_waskita_co_id/_layouts/15/stream.aspx?id=%2Fpersonal%2Ffahmi%5Fwaskita%5Fco%5Fid%2FDocuments%2FBIM%20%2D%20INFRA%202%2FProject%2FWKINF2%20%2D%20Pematangan%20Lahan%20KITB%20Batang%2F1%2E%20WIP%2FReality%20Modeling%2F202405%20%2D%20Mei%2024%2FDokumentasi%2FVideo%2FPematangan%20Lahan%20KITB%20%2D%20Drone%20M%2D29%2024%20Mei%202024%2ERakor%2Emp4&amp;nav=eyJyZWZlcnJhbEluZm8iOnsicmVmZXJyYWxBcHAiOiJTdHJlYW1XZWJBcHAiLCJyZWZlcnJhbFZpZXciOiJTaGFyZURpYWxvZy1MaW5rIiwicmVmZXJyYWxBcHBQbGF0Zm9ybSI6IldlYiIsInJlZmVycmFsTW9kZSI6InZpZXcifX0&amp;ga=1&amp;referrer=StreamWebApp%2EWeb&amp;referrerScenario=AddressBarCopied%2Eview%2Eff31a2e6%2D8d1d%2D4ee6%2D961d%2Dea5dfebf7a40" TargetMode="External"/><Relationship Id="rId41" Type="http://schemas.openxmlformats.org/officeDocument/2006/relationships/hyperlink" Target="https://drive.google.com/file/d/1Szqkr1N-HyxaRWW_4hhhr0nxiMhZL6oL/view?usp=sharing" TargetMode="External"/><Relationship Id="rId62" Type="http://schemas.openxmlformats.org/officeDocument/2006/relationships/hyperlink" Target="../../../:f:/g/personal/lot2blitar_waskita_co_id/EnSNXc2orwxCpAf-luiED08BDWdKc5xK8JJCqAHDbc7LGA?e=4cZ78Y" TargetMode="External"/><Relationship Id="rId83" Type="http://schemas.openxmlformats.org/officeDocument/2006/relationships/hyperlink" Target="https://drive.google.com/file/d/1OBau5y0LhfUzLwL-GP2E63LOzntD5z1B/view?usp=drive_link" TargetMode="External"/><Relationship Id="rId179" Type="http://schemas.openxmlformats.org/officeDocument/2006/relationships/hyperlink" Target="../../../:f:/g/personal/kretek_girijati_waskita_co_id/EhvVu_IzjHVKtyvK0c-RgoYBAZIUi99Kz1N67Edgpoto0A?e=iC6KoN" TargetMode="External"/><Relationship Id="rId190" Type="http://schemas.openxmlformats.org/officeDocument/2006/relationships/hyperlink" Target="https://youtu.be/Iv64ufqADqw" TargetMode="External"/><Relationship Id="rId204" Type="http://schemas.openxmlformats.org/officeDocument/2006/relationships/hyperlink" Target="../../../:i:/g/personal/lot2blitar_waskita_co_id/Ece6Wta0rplHgOwCnwQWF1ABpwPBah30opAOaLlJaJaXAQ?e=ZYRWrj" TargetMode="External"/><Relationship Id="rId225" Type="http://schemas.openxmlformats.org/officeDocument/2006/relationships/hyperlink" Target="../../../:f:/g/personal/fahmi_waskita_co_id/Ejd6gCZyyGhBkuX8brR-eLABb7Iwpu1tJiECLNH3aHe54g?e=HGAXwS" TargetMode="External"/><Relationship Id="rId246" Type="http://schemas.openxmlformats.org/officeDocument/2006/relationships/hyperlink" Target="../../../:u:/g/personal/rezky_yudhaseno_waskita_co_id/EcQ6tqsHER1LoEInRFH2bTQBcagWBrANxULuI8deFSb5nw?e=zEy0D2" TargetMode="External"/><Relationship Id="rId267" Type="http://schemas.openxmlformats.org/officeDocument/2006/relationships/hyperlink" Target="https://wkgeosurvey.com/public/task/5d20c84c-fcfa-455e-ac30-08cf65d38486/3d/" TargetMode="External"/><Relationship Id="rId288" Type="http://schemas.openxmlformats.org/officeDocument/2006/relationships/hyperlink" Target="../../../:f:/g/personal/fahmi_waskita_co_id/Eten3vlJWYtEjwcHj0rlB4EBGaTTcxsTD3FOT3HDpaJNYw?e=JMoJff" TargetMode="External"/><Relationship Id="rId106" Type="http://schemas.openxmlformats.org/officeDocument/2006/relationships/hyperlink" Target="mailto:alfian.budi@waskita.co.id" TargetMode="External"/><Relationship Id="rId127" Type="http://schemas.openxmlformats.org/officeDocument/2006/relationships/hyperlink" Target="../../../:u:/g/personal/rezky_yudhaseno_waskita_co_id/ESJzAlYzrVxIhQgqzE2OfyEBpj0AI3zXmIBx043duVNRSw?e=8L8LZb" TargetMode="External"/><Relationship Id="rId313" Type="http://schemas.openxmlformats.org/officeDocument/2006/relationships/hyperlink" Target="https://youtu.be/R2j5sKq2gl0" TargetMode="External"/><Relationship Id="rId10" Type="http://schemas.openxmlformats.org/officeDocument/2006/relationships/hyperlink" Target="https://drive.google.com/file/d/149vWGP6nzJzZLkwa4EmlqEJXBT3-JSQy/view?usp=sharing" TargetMode="External"/><Relationship Id="rId31" Type="http://schemas.openxmlformats.org/officeDocument/2006/relationships/hyperlink" Target="https://drive.google.com/drive/folders/1A7pyHlmQPGwO_kyr00Ck_iSr2BfKeyLN" TargetMode="External"/><Relationship Id="rId52" Type="http://schemas.openxmlformats.org/officeDocument/2006/relationships/hyperlink" Target="https://drive.google.com/file/d/1wuFlc0uaW5j4nmzbo64m92XWDMCg8sD6/view?usp=sharing" TargetMode="External"/><Relationship Id="rId73" Type="http://schemas.openxmlformats.org/officeDocument/2006/relationships/hyperlink" Target="https://drive.google.com/drive/folders/1N7zaTcREdStKI50xwce0dKOBjk0yh47p" TargetMode="External"/><Relationship Id="rId94" Type="http://schemas.openxmlformats.org/officeDocument/2006/relationships/hyperlink" Target="https://drive.google.com/drive/folders/1x36NaT0UkocAI-H6FHS0sqwxqQB_PGAl?usp=sharing" TargetMode="External"/><Relationship Id="rId148" Type="http://schemas.openxmlformats.org/officeDocument/2006/relationships/hyperlink" Target="https://1drv.ms/f/s!AoHR8xIL4xo9oBEQ15BeucvvXMSd?e=hGXvJm" TargetMode="External"/><Relationship Id="rId169" Type="http://schemas.openxmlformats.org/officeDocument/2006/relationships/hyperlink" Target="../../../:f:/g/personal/fahmi_waskita_co_id/EtSAN_QLwG1LlhRJ1c6n4-QBtf4yIiEjOVMxoNKqfz-waw?e=4tyuKG" TargetMode="External"/><Relationship Id="rId334" Type="http://schemas.openxmlformats.org/officeDocument/2006/relationships/hyperlink" Target="https://ptwaskita-my.sharepoint.com/:f:/g/personal/rio_david_waskita_co_id/IgANwkmER68KSKDC-omORKy1AYANhglaL_MSkkea7g87l80?e=6Czhn6" TargetMode="External"/><Relationship Id="rId4" Type="http://schemas.openxmlformats.org/officeDocument/2006/relationships/hyperlink" Target="https://drive.google.com/file/d/14YfEwHHS7_iAE8HnUv6IBS-qikEQmnWb/view?usp=sharing" TargetMode="External"/><Relationship Id="rId180" Type="http://schemas.openxmlformats.org/officeDocument/2006/relationships/hyperlink" Target="https://drive.google.com/file/d/10w7yhGByoo7rwC-UcGP5n5-E7bKttbe4/view?usp=drivesdk" TargetMode="External"/><Relationship Id="rId215" Type="http://schemas.openxmlformats.org/officeDocument/2006/relationships/hyperlink" Target="../../../:f:/g/personal/fahmi_waskita_co_id/EgeQp6t2rqFIlB_9HcE_WxkBpE1Onz_l1up1_jGBnSkZJA?e=S2eoQT" TargetMode="External"/><Relationship Id="rId236" Type="http://schemas.openxmlformats.org/officeDocument/2006/relationships/hyperlink" Target="../../../:f:/g/personal/basuki_rahmat_waskita_co_id/Eox6mSbDeVtMstirO7QJflcBRG2owGQ1-fJT69pg4sWMyw?e=4xayrX" TargetMode="External"/><Relationship Id="rId257" Type="http://schemas.openxmlformats.org/officeDocument/2006/relationships/hyperlink" Target="../../../:f:/g/personal/rio_david_waskita_co_id/EilVpeRE5ytHnd8hMr2iYE4B0P4CQdIqt9sZ5Txe0CQEow?e=c58Hkm" TargetMode="External"/><Relationship Id="rId278" Type="http://schemas.openxmlformats.org/officeDocument/2006/relationships/hyperlink" Target="../../../:f:/g/personal/lot2blitar_waskita_co_id/IgCVugojwZ6AQ6vW_i3vvDItAY9LGHMVoxJMEFn3sCttNg8?e=W5SLAB" TargetMode="External"/><Relationship Id="rId303" Type="http://schemas.openxmlformats.org/officeDocument/2006/relationships/hyperlink" Target="../../../:f:/g/personal/rio_david_waskita_co_id/IgBSFR4pBEk5RI_4xrKbDozAAQMCNp3usQuPNCkDDH5cWv8?e=tycigN" TargetMode="External"/><Relationship Id="rId42" Type="http://schemas.openxmlformats.org/officeDocument/2006/relationships/hyperlink" Target="https://drive.google.com/file/d/1TGhbqigUIvJVIt6ve-SciGDMeXR1U2dD/view?usp=sharing" TargetMode="External"/><Relationship Id="rId84" Type="http://schemas.openxmlformats.org/officeDocument/2006/relationships/hyperlink" Target="https://drive.google.com/drive/folders/1h5KO8QDCx4o27G3NZira3HoBmtSLmT8p?usp=sharing" TargetMode="External"/><Relationship Id="rId138" Type="http://schemas.openxmlformats.org/officeDocument/2006/relationships/hyperlink" Target="https://drive.google.com/drive/folders/1ZhCnOkxZyy1YQ5K70rI6Ccyx60F0XNPJ?usp=sharing" TargetMode="External"/><Relationship Id="rId191" Type="http://schemas.openxmlformats.org/officeDocument/2006/relationships/hyperlink" Target="../../../:f:/g/personal/basuki_rahmat_waskita_co_id/Ev_1eAPLutJPn-qeZPJ6IjYBifjfALWWXgGxOl1zQcfxjw?e=BtGuTX" TargetMode="External"/><Relationship Id="rId205" Type="http://schemas.openxmlformats.org/officeDocument/2006/relationships/hyperlink" Target="../../../:f:/g/personal/basuki_rahmat_waskita_co_id/Eh2RmmEe759IgalMA3t2jMYB8so3jiOdnkn5HciMJ2v_Yg?e=goxXTg" TargetMode="External"/><Relationship Id="rId247" Type="http://schemas.openxmlformats.org/officeDocument/2006/relationships/hyperlink" Target="https://drive.google.com/drive/folders/1J2HBSVlOrSI6Si8PC0TYR78-ND0xq5dE?usp=drive_link" TargetMode="External"/><Relationship Id="rId107" Type="http://schemas.openxmlformats.org/officeDocument/2006/relationships/hyperlink" Target="mailto:ahmad.rival@waskita.co.id" TargetMode="External"/><Relationship Id="rId289" Type="http://schemas.openxmlformats.org/officeDocument/2006/relationships/hyperlink" Target="../../../:f:/g/personal/fahmi_waskita_co_id/EgeQp6t2rqFIlB_9HcE_WxkBpE1Onz_l1up1_jGBnSkZJA?e=S2eoQT" TargetMode="External"/><Relationship Id="rId11" Type="http://schemas.openxmlformats.org/officeDocument/2006/relationships/hyperlink" Target="https://drive.google.com/file/d/145Y5836xVYUVw0pOgeE9gcsz_i0CPF_2/view?usp=sharing" TargetMode="External"/><Relationship Id="rId53" Type="http://schemas.openxmlformats.org/officeDocument/2006/relationships/hyperlink" Target="../../../:f:/g/personal/andri_j_waskita_co_id/EqNZsZFwaSVIvhei0YrfpNwBGojHSsuN3jitJJ0VLOq1gA?e=aPXz83" TargetMode="External"/><Relationship Id="rId149" Type="http://schemas.openxmlformats.org/officeDocument/2006/relationships/hyperlink" Target="../../../:f:/g/personal/kretek_girijati_waskita_co_id/EsynUmKtTPBFq7bGhdKFJfkBjJg9QBMepss0vXRuaqrGWg?e=EQvfws" TargetMode="External"/><Relationship Id="rId314" Type="http://schemas.openxmlformats.org/officeDocument/2006/relationships/hyperlink" Target="../../../:f:/g/personal/fahmi_waskita_co_id/IgD81afdueR4Rq3ZYeK--6bSAbxLgrlLs03uLc2En95bCw4?e=AfE56J" TargetMode="External"/><Relationship Id="rId95" Type="http://schemas.openxmlformats.org/officeDocument/2006/relationships/hyperlink" Target="https://drive.google.com/drive/folders/18VTSqca2W9awHJ-ppfS0Hw_2kkWdVP96?usp=sharing" TargetMode="External"/><Relationship Id="rId160" Type="http://schemas.openxmlformats.org/officeDocument/2006/relationships/hyperlink" Target="https://drive.google.com/file/d/1oQHrRXrGEX9qo9jkBkKqbLDmF9AoyO05/view?usp=sharing" TargetMode="External"/><Relationship Id="rId216" Type="http://schemas.openxmlformats.org/officeDocument/2006/relationships/hyperlink" Target="../../../:f:/r/personal/fahmi_waskita_co_id/Documents/BIM%20-%20INFRA%202/Project/WKINF2%20-%201323020%20Jalan%20Tol%20Probowangi/1.%20WIP/GIS/13.%20Update%20Orthophoto?csf=1&amp;web=1&amp;e=hUflvD" TargetMode="External"/><Relationship Id="rId258" Type="http://schemas.openxmlformats.org/officeDocument/2006/relationships/hyperlink" Target="../../../:f:/g/personal/fahmi_waskita_co_id/IgA4dnr8ash4TLtvbxHKrEqRAd6LnKqlwbADwTNEYsdtMpU?e=99IHTd" TargetMode="External"/><Relationship Id="rId22" Type="http://schemas.openxmlformats.org/officeDocument/2006/relationships/hyperlink" Target="https://drive.google.com/drive/folders/1J2HBSVlOrSI6Si8PC0TYR78-ND0xq5dE?usp=drive_link" TargetMode="External"/><Relationship Id="rId64" Type="http://schemas.openxmlformats.org/officeDocument/2006/relationships/hyperlink" Target="../../prod_infra2_waskita_co_id/_layouts/15/onedrive.aspx?ga=1&amp;id=%2Fpersonal%2Fprod%5Finfra2%5Fwaskita%5Fco%5Fid%2FDocuments%2F12%2E%20File%20Rembug%2F55%2E%20LEP%202023%2F03%2E%20MARET%202023%2F11%2E%20SP%20BLUSUH" TargetMode="External"/><Relationship Id="rId118" Type="http://schemas.openxmlformats.org/officeDocument/2006/relationships/hyperlink" Target="https://onedrive.live.com/?authkey=%21AMwbaKHQbSNju%5FE&amp;id=3D1AE30B12F3D181%2113312&amp;cid=3D1AE30B12F3D181" TargetMode="External"/><Relationship Id="rId325" Type="http://schemas.openxmlformats.org/officeDocument/2006/relationships/hyperlink" Target="https://ptwaskita-my.sharepoint.com/:f:/g/personal/basuki_rahmat_waskita_co_id/IgDkkUDz7CZERJfXUjwa7ghXAQ7VzbDmXwjalyXzusSgzXQ" TargetMode="External"/><Relationship Id="rId171" Type="http://schemas.openxmlformats.org/officeDocument/2006/relationships/hyperlink" Target="../../../:f:/g/personal/fahmi_waskita_co_id/EtSAN_QLwG1LlhRJ1c6n4-QBtf4yIiEjOVMxoNKqfz-waw?e=4tyuKG" TargetMode="External"/><Relationship Id="rId227" Type="http://schemas.openxmlformats.org/officeDocument/2006/relationships/hyperlink" Target="../../../:f:/g/personal/fahmi_waskita_co_id/EpnWwCzvvjNPt1u0UTzNZkUBST3OK8KFqSJ_LFS92UHtmA?e=JcEXnJ" TargetMode="External"/><Relationship Id="rId269" Type="http://schemas.openxmlformats.org/officeDocument/2006/relationships/hyperlink" Target="../../../:f:/g/personal/basuki_rahmat_waskita_co_id/IgDu7HH-VFzMQYWBBxxVmPfBAZQxDm_HJ_IpmVNP5FAABdk?e=ZOByMb" TargetMode="External"/><Relationship Id="rId33" Type="http://schemas.openxmlformats.org/officeDocument/2006/relationships/hyperlink" Target="https://drive.google.com/file/d/1aoT8mN3sFNUQ-XKhs-QZ5eVpAo6tNVO_/view?usp=drive_link" TargetMode="External"/><Relationship Id="rId129" Type="http://schemas.openxmlformats.org/officeDocument/2006/relationships/hyperlink" Target="https://drive.google.com/drive/folders/1bc5PDJUO6Riej7qD-Bus22j8zpdaXSL9?usp=sharing" TargetMode="External"/><Relationship Id="rId280" Type="http://schemas.openxmlformats.org/officeDocument/2006/relationships/hyperlink" Target="../../../:f:/g/personal/kretek_girijati_waskita_co_id/IgD8HdP1aEKJQ58GQuEdnfwAAaU9q7BOTJ_FLBlk4bWnP1M?e=ObBu0U" TargetMode="External"/><Relationship Id="rId336" Type="http://schemas.openxmlformats.org/officeDocument/2006/relationships/hyperlink" Target="https://drive.google.com/file/d/1gYfDl8rsjFVCEF1jZnWB-mQ1T_zQcjRP/view?usp=drivesdk" TargetMode="External"/><Relationship Id="rId75" Type="http://schemas.openxmlformats.org/officeDocument/2006/relationships/hyperlink" Target="https://drive.google.com/file/d/1nUUah2CVd1J3cTFA8KHt1c80mTHxlzgU/view?usp=sharing" TargetMode="External"/><Relationship Id="rId140" Type="http://schemas.openxmlformats.org/officeDocument/2006/relationships/hyperlink" Target="https://drive.google.com/file/d/1ZVzS80NoGB4e-L2uD_E57ZbThG0Lekf_/view?usp=sharing" TargetMode="External"/><Relationship Id="rId182" Type="http://schemas.openxmlformats.org/officeDocument/2006/relationships/hyperlink" Target="../../../:f:/g/personal/fahmi_waskita_co_id/EgeQp6t2rqFIlB_9HcE_WxkBpE1Onz_l1up1_jGBnSkZJA?e=S2eoQT" TargetMode="External"/><Relationship Id="rId6" Type="http://schemas.openxmlformats.org/officeDocument/2006/relationships/hyperlink" Target="../../../:v:/g/personal/andri_j_waskita_co_id/EQWhTNHVymRHhwsloBAo2s4Bj0EvBQqm3h-J9Ce_mnmbKQ?nav=eyJyZWZlcnJhbEluZm8iOnsicmVmZXJyYWxBcHAiOiJPbmVEcml2ZUZvckJ1c2luZXNzIiwicmVmZXJyYWxBcHBQbGF0Zm9ybSI6IldlYiIsInJlZmVycmFsTW9kZSI6InZpZXciLCJyZWZlcnJhbFZpZXciOiJNeUZpbGVzTGlua0NvcHkifX0&amp;e=KrEpb3" TargetMode="External"/><Relationship Id="rId238" Type="http://schemas.openxmlformats.org/officeDocument/2006/relationships/hyperlink" Target="../../../:v:/g/personal/lot2blitar_waskita_co_id/Ef8pZklHNlNMpSEKk5Nz9f4Bfd-xfnT_KDjW1SsaGzZLmg?nav=eyJyZWZlcnJhbEluZm8iOnsicmVmZXJyYWxBcHAiOiJPbmVEcml2ZUZvckJ1c2luZXNzIiwicmVmZXJyYWxBcHBQbGF0Zm9ybSI6IldlYiIsInJlZmVycmFsTW9kZSI6InZpZXciLCJyZWZlcnJhbFZpZXciOiJNeUZpbGVzTGlua0NvcHkifX0&amp;e=KP70m8" TargetMode="External"/><Relationship Id="rId291" Type="http://schemas.openxmlformats.org/officeDocument/2006/relationships/hyperlink" Target="../../../:f:/g/personal/basuki_rahmat_waskita_co_id/IgBlxaXW2knMQZx9jW_CAqQWAVnV4v_sxvPJI6S4O5YfmMo?e=zMH9Ge" TargetMode="External"/><Relationship Id="rId305" Type="http://schemas.openxmlformats.org/officeDocument/2006/relationships/hyperlink" Target="../../../:v:/g/personal/lot2blitar_waskita_co_id/EezQyA3vXOhDsref-O1IXW8B3juR-FVY9RU7wZo0Z0xetw?nav=eyJyZWZlcnJhbEluZm8iOnsicmVmZXJyYWxBcHAiOiJPbmVEcml2ZUZvckJ1c2luZXNzIiwicmVmZXJyYWxBcHBQbGF0Zm9ybSI6IldlYiIsInJlZmVycmFsTW9kZSI6InZpZXciLCJyZWZlcnJhbFZpZXciOiJNeUZpbGVzTGlua0NvcHkifX0&amp;e=FpZ02P" TargetMode="External"/><Relationship Id="rId44" Type="http://schemas.openxmlformats.org/officeDocument/2006/relationships/hyperlink" Target="https://drive.google.com/file/d/1B456pfGDoC_y8Xh5O4uMrI20TFCUKlZ3/view?usp=sharing" TargetMode="External"/><Relationship Id="rId86" Type="http://schemas.openxmlformats.org/officeDocument/2006/relationships/hyperlink" Target="https://drive.google.com/file/d/1zU9ryV87-tk50oTiPoxOV8wW04TfQTkw/view?usp=sharing" TargetMode="External"/><Relationship Id="rId151" Type="http://schemas.openxmlformats.org/officeDocument/2006/relationships/hyperlink" Target="../../../:f:/g/personal/basuki_rahmat_waskita_co_id/Eubww52BvvRNiXaaY-PWqygBsMjdGanMURtHBFSZEqNdgw?e=qMdKm1" TargetMode="External"/><Relationship Id="rId193" Type="http://schemas.openxmlformats.org/officeDocument/2006/relationships/hyperlink" Target="https://drive.google.com/file/d/1L7p5Ph-kOqgGwMLczpkezSPCQjMd-8BF/view?usp=sharing" TargetMode="External"/><Relationship Id="rId207" Type="http://schemas.openxmlformats.org/officeDocument/2006/relationships/hyperlink" Target="../../../:f:/g/personal/kretek_girijati_waskita_co_id/EhvVu_IzjHVKtyvK0c-RgoYBAZIUi99Kz1N67Edgpoto0A?e=2ZBa0A" TargetMode="External"/><Relationship Id="rId249" Type="http://schemas.openxmlformats.org/officeDocument/2006/relationships/hyperlink" Target="../../../:f:/g/personal/fahmi_waskita_co_id/Ejd6gCZyyGhBkuX8brR-eLABb7Iwpu1tJiECLNH3aHe54g?e=HGAXwS" TargetMode="External"/><Relationship Id="rId13" Type="http://schemas.openxmlformats.org/officeDocument/2006/relationships/hyperlink" Target="https://os5.mycloud.com/action/share/d9b5dc8b-942b-4915-ae8f-99b905dd425b" TargetMode="External"/><Relationship Id="rId109" Type="http://schemas.openxmlformats.org/officeDocument/2006/relationships/hyperlink" Target="mailto:nungki.herdiana@waskita.co.id" TargetMode="External"/><Relationship Id="rId260" Type="http://schemas.openxmlformats.org/officeDocument/2006/relationships/hyperlink" Target="../../../:f:/g/personal/fahmi_waskita_co_id/IgA4dnr8ash4TLtvbxHKrEqRAd6LnKqlwbADwTNEYsdtMpU?e=99IHTd" TargetMode="External"/><Relationship Id="rId316" Type="http://schemas.openxmlformats.org/officeDocument/2006/relationships/hyperlink" Target="https://ptwaskita-my.sharepoint.com/:f:/g/personal/kretek_girijati_waskita_co_id/IgD8HdP1aEKJQ58GQuEdnfwAAaU9q7BOTJ_FLBlk4bWnP1M?e=f6n7A4" TargetMode="External"/><Relationship Id="rId55" Type="http://schemas.openxmlformats.org/officeDocument/2006/relationships/hyperlink" Target="../../../:u:/g/personal/dhani_ramdhani_waskita_co_id/EcmKSgMujttJsvRhuWlYihAB2xzXXAUbYAAADNv3o3Z7gQ?e=RN2yiK" TargetMode="External"/><Relationship Id="rId97" Type="http://schemas.openxmlformats.org/officeDocument/2006/relationships/hyperlink" Target="../../../:f:/g/personal/lot2blitar_waskita_co_id/EkwdE_1CwHVCrPpKBzmVDWQBNuUekVG90URO-nkeO3QqFA?e=A8YjXV" TargetMode="External"/><Relationship Id="rId120" Type="http://schemas.openxmlformats.org/officeDocument/2006/relationships/hyperlink" Target="https://drive.google.com/file/d/11faEgdP5MDfKI26U4aq2l-pQC_1NsOzu/view?usp=sharing" TargetMode="External"/><Relationship Id="rId162" Type="http://schemas.openxmlformats.org/officeDocument/2006/relationships/hyperlink" Target="https://youtu.be/k_8xtlQsFlw" TargetMode="External"/><Relationship Id="rId218" Type="http://schemas.openxmlformats.org/officeDocument/2006/relationships/hyperlink" Target="../../../:f:/g/personal/fahmi_waskita_co_id/EkzBmqN4xjxPnS0MLtkVsHsBzAg3cCnoIXMD_33hBPkrpA?e=9yK7bV" TargetMode="External"/><Relationship Id="rId271" Type="http://schemas.openxmlformats.org/officeDocument/2006/relationships/hyperlink" Target="../../../:f:/g/personal/kretek_girijati_waskita_co_id/IgBpuL75e1k9Srv4YD_4QP59Achz9cGyTAbcKL9SSixeJZI?e=Q4a8kl" TargetMode="External"/><Relationship Id="rId24" Type="http://schemas.openxmlformats.org/officeDocument/2006/relationships/hyperlink" Target="https://drive.google.com/file/d/1goZ3hl7pVhZFR2cN78MzFyw71g0h8ewp/view?usp=sharing" TargetMode="External"/><Relationship Id="rId66" Type="http://schemas.openxmlformats.org/officeDocument/2006/relationships/hyperlink" Target="https://drive.google.com/file/d/1-BsJrhfiwsfZDiXIip0eDIdjF4OwxRlw/view?usp=sharing" TargetMode="External"/><Relationship Id="rId131" Type="http://schemas.openxmlformats.org/officeDocument/2006/relationships/hyperlink" Target="https://drive.google.com/drive/folders/14AORwyL5p6wJ11c1H82-oEKRc3GDqagD?usp=drive_link" TargetMode="External"/><Relationship Id="rId327" Type="http://schemas.openxmlformats.org/officeDocument/2006/relationships/hyperlink" Target="https://ptwaskita-my.sharepoint.com/:f:/g/personal/fahmi_waskita_co_id/IgDrJSSBiAniT5tNPHcjWJ-DAVZ85jyjpb_6jKLdJ3ZSgxE?e=uAUx9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ion.cesium.com/stories/viewer/?id=6d6812ab-f9f1-4950-84d4-65f4f479c8a7"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1390"/>
  <sheetViews>
    <sheetView tabSelected="1" zoomScaleNormal="100" workbookViewId="0">
      <pane ySplit="1" topLeftCell="A1321" activePane="bottomLeft" state="frozen"/>
      <selection pane="bottomLeft" activeCell="H1344" sqref="H1344"/>
    </sheetView>
  </sheetViews>
  <sheetFormatPr defaultRowHeight="15"/>
  <cols>
    <col min="1" max="1" width="14.85546875" customWidth="1"/>
    <col min="2" max="2" width="20" style="1" customWidth="1"/>
    <col min="3" max="4" width="20" customWidth="1"/>
    <col min="5" max="5" width="33" customWidth="1"/>
    <col min="6" max="6" width="20" customWidth="1"/>
    <col min="7" max="7" width="59.140625" customWidth="1"/>
    <col min="8" max="8" width="20" style="1" customWidth="1"/>
    <col min="9" max="27" width="20" customWidth="1"/>
    <col min="28" max="28" width="21.7109375" customWidth="1"/>
    <col min="29" max="31" width="20" customWidth="1"/>
    <col min="32" max="32" width="255.7109375" customWidth="1"/>
    <col min="33" max="33" width="31.7109375" customWidth="1"/>
    <col min="34" max="37" width="9.140625" customWidth="1"/>
  </cols>
  <sheetData>
    <row r="1" spans="1:37">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idden="1">
      <c r="A2">
        <v>761</v>
      </c>
      <c r="B2" s="109">
        <v>44569</v>
      </c>
      <c r="C2" s="85">
        <f>B2</f>
        <v>44569</v>
      </c>
      <c r="D2" s="86" t="s">
        <v>37</v>
      </c>
      <c r="E2" s="86" t="s">
        <v>38</v>
      </c>
      <c r="F2" s="5" t="str">
        <f>E2</f>
        <v>M Saifudin Ashari</v>
      </c>
      <c r="G2" s="86" t="s">
        <v>39</v>
      </c>
      <c r="H2" s="99">
        <v>44591</v>
      </c>
      <c r="I2" s="212">
        <v>76.850999999999999</v>
      </c>
      <c r="J2" s="212">
        <v>78.251000000000005</v>
      </c>
      <c r="K2" s="212">
        <v>0.91500000000000004</v>
      </c>
      <c r="L2" s="212">
        <v>0.86499999999999999</v>
      </c>
      <c r="M2" s="212">
        <v>0.86399999999999999</v>
      </c>
      <c r="N2" s="212">
        <v>0.88500000000000001</v>
      </c>
      <c r="O2" s="212">
        <v>0.42299999999999999</v>
      </c>
      <c r="P2" s="212">
        <v>0.51600000000000001</v>
      </c>
      <c r="Q2" s="212">
        <v>0.54</v>
      </c>
      <c r="R2" s="212">
        <v>0.44</v>
      </c>
      <c r="S2" s="212">
        <v>0.88900000000000001</v>
      </c>
      <c r="T2" s="212">
        <v>1.9E-2</v>
      </c>
      <c r="U2" s="212">
        <v>0.51300000000000001</v>
      </c>
      <c r="V2" s="212">
        <v>0</v>
      </c>
      <c r="W2" s="212">
        <v>0</v>
      </c>
      <c r="X2" s="212">
        <v>0.31</v>
      </c>
      <c r="Y2" s="212">
        <v>0</v>
      </c>
      <c r="Z2" s="212"/>
      <c r="AA2" s="86"/>
      <c r="AB2" s="86"/>
      <c r="AC2" s="86"/>
      <c r="AD2" s="86"/>
      <c r="AE2" s="214"/>
      <c r="AF2" s="64"/>
      <c r="AG2" t="str">
        <f>VLOOKUP(OfficeForms.Table[[#This Row],[Nama Proyek]],'Nama Proyek'!$D$2:$G$29,4,0)</f>
        <v>-6.80675464,106.785366</v>
      </c>
      <c r="AH2" s="5"/>
      <c r="AI2" s="5"/>
      <c r="AJ2" s="5"/>
      <c r="AK2" s="5" t="s">
        <v>40</v>
      </c>
    </row>
    <row r="3" spans="1:37" hidden="1">
      <c r="A3" s="50">
        <v>762</v>
      </c>
      <c r="B3" s="163">
        <v>44569</v>
      </c>
      <c r="C3" s="27">
        <f>B3</f>
        <v>44569</v>
      </c>
      <c r="D3" s="64" t="s">
        <v>37</v>
      </c>
      <c r="E3" s="64" t="s">
        <v>38</v>
      </c>
      <c r="F3" s="5" t="str">
        <f>E3</f>
        <v>M Saifudin Ashari</v>
      </c>
      <c r="G3" s="185" t="s">
        <v>39</v>
      </c>
      <c r="H3" s="100">
        <v>44619</v>
      </c>
      <c r="I3" s="91">
        <v>77.924999999999997</v>
      </c>
      <c r="J3" s="91">
        <v>81.748000000000005</v>
      </c>
      <c r="K3" s="91">
        <v>0.91500000000000004</v>
      </c>
      <c r="L3" s="91">
        <v>0.86499999999999999</v>
      </c>
      <c r="M3" s="91">
        <v>0.872</v>
      </c>
      <c r="N3" s="91">
        <v>0.88500000000000001</v>
      </c>
      <c r="O3" s="91">
        <v>0.42799999999999999</v>
      </c>
      <c r="P3" s="91">
        <v>0.51800000000000002</v>
      </c>
      <c r="Q3" s="91">
        <v>0.54</v>
      </c>
      <c r="R3" s="91">
        <v>0.46100000000000002</v>
      </c>
      <c r="S3" s="91">
        <v>0.90100000000000002</v>
      </c>
      <c r="T3" s="91">
        <v>1.9E-2</v>
      </c>
      <c r="U3" s="91">
        <v>0.51600000000000001</v>
      </c>
      <c r="V3" s="91">
        <v>0</v>
      </c>
      <c r="W3" s="91">
        <v>0</v>
      </c>
      <c r="X3" s="91">
        <v>0.31</v>
      </c>
      <c r="Y3" s="91">
        <v>0</v>
      </c>
      <c r="Z3" s="91"/>
      <c r="AA3" s="64"/>
      <c r="AB3" s="64"/>
      <c r="AC3" s="64"/>
      <c r="AD3" s="64"/>
      <c r="AE3" s="87"/>
      <c r="AF3" s="86"/>
      <c r="AG3" t="str">
        <f>VLOOKUP(OfficeForms.Table[[#This Row],[Nama Proyek]],'Nama Proyek'!$D$2:$G$29,4,0)</f>
        <v>-6.80675464,106.785366</v>
      </c>
      <c r="AH3" s="5"/>
      <c r="AI3" s="5"/>
      <c r="AJ3" s="5"/>
      <c r="AK3" s="5" t="s">
        <v>41</v>
      </c>
    </row>
    <row r="4" spans="1:37" ht="21.75" hidden="1" customHeight="1">
      <c r="A4" s="31">
        <v>763</v>
      </c>
      <c r="B4" s="110">
        <v>44569</v>
      </c>
      <c r="C4" s="28">
        <f>B4</f>
        <v>44569</v>
      </c>
      <c r="D4" s="42" t="s">
        <v>37</v>
      </c>
      <c r="E4" s="42" t="s">
        <v>38</v>
      </c>
      <c r="F4" s="10" t="str">
        <f>E4</f>
        <v>M Saifudin Ashari</v>
      </c>
      <c r="G4" s="42" t="s">
        <v>39</v>
      </c>
      <c r="H4" s="101">
        <v>44647</v>
      </c>
      <c r="I4" s="119">
        <v>79.016999999999996</v>
      </c>
      <c r="J4" s="119">
        <v>87.501999999999995</v>
      </c>
      <c r="K4" s="119">
        <v>0.91500000000000004</v>
      </c>
      <c r="L4" s="119">
        <v>0.86499999999999999</v>
      </c>
      <c r="M4" s="119">
        <v>0.88300000000000001</v>
      </c>
      <c r="N4" s="119">
        <v>0.88500000000000001</v>
      </c>
      <c r="O4" s="119">
        <v>0.439</v>
      </c>
      <c r="P4" s="119">
        <v>0.51800000000000002</v>
      </c>
      <c r="Q4" s="119">
        <v>0.54</v>
      </c>
      <c r="R4" s="119">
        <v>0.47499999999999998</v>
      </c>
      <c r="S4" s="119">
        <v>0.90500000000000003</v>
      </c>
      <c r="T4" s="119">
        <v>0.23300000000000001</v>
      </c>
      <c r="U4" s="119">
        <v>0.52500000000000002</v>
      </c>
      <c r="V4" s="119">
        <v>0</v>
      </c>
      <c r="W4" s="119">
        <v>0</v>
      </c>
      <c r="X4" s="119">
        <v>0.31</v>
      </c>
      <c r="Y4" s="119">
        <v>0</v>
      </c>
      <c r="Z4" s="119"/>
      <c r="AA4" s="42"/>
      <c r="AB4" s="42"/>
      <c r="AC4" s="42"/>
      <c r="AD4" s="42"/>
      <c r="AE4" s="24"/>
      <c r="AF4" s="182"/>
      <c r="AG4" t="str">
        <f>VLOOKUP(OfficeForms.Table[[#This Row],[Nama Proyek]],'Nama Proyek'!$D$2:$G$29,4,0)</f>
        <v>-6.80675464,106.785366</v>
      </c>
      <c r="AH4" s="5"/>
      <c r="AI4" s="5"/>
      <c r="AJ4" s="5"/>
      <c r="AK4" s="5" t="s">
        <v>42</v>
      </c>
    </row>
    <row r="5" spans="1:37" hidden="1">
      <c r="A5" s="30">
        <v>813</v>
      </c>
      <c r="B5" s="110">
        <v>44569</v>
      </c>
      <c r="C5" s="28">
        <f>B5</f>
        <v>44569</v>
      </c>
      <c r="D5" s="15" t="s">
        <v>37</v>
      </c>
      <c r="E5" s="15" t="s">
        <v>38</v>
      </c>
      <c r="F5" s="10" t="str">
        <f>E5</f>
        <v>M Saifudin Ashari</v>
      </c>
      <c r="G5" s="42" t="s">
        <v>39</v>
      </c>
      <c r="H5" s="102">
        <v>44675</v>
      </c>
      <c r="I5" s="92">
        <v>79.052000000000007</v>
      </c>
      <c r="J5" s="92">
        <v>79.207999999999998</v>
      </c>
      <c r="K5" s="92">
        <v>0.90100000000000002</v>
      </c>
      <c r="L5" s="92">
        <v>0.98699999999999999</v>
      </c>
      <c r="M5" s="92">
        <v>0.89100000000000001</v>
      </c>
      <c r="N5" s="92">
        <v>0.874</v>
      </c>
      <c r="O5" s="92">
        <v>0.44500000000000001</v>
      </c>
      <c r="P5" s="92">
        <v>0.51900000000000002</v>
      </c>
      <c r="Q5" s="92">
        <v>0.54</v>
      </c>
      <c r="R5" s="92">
        <v>0.48499999999999999</v>
      </c>
      <c r="S5" s="92">
        <v>0.89200000000000002</v>
      </c>
      <c r="T5" s="92">
        <v>0.45100000000000001</v>
      </c>
      <c r="U5" s="92">
        <v>0.53600000000000003</v>
      </c>
      <c r="V5" s="92">
        <v>0</v>
      </c>
      <c r="W5" s="92">
        <v>0</v>
      </c>
      <c r="X5" s="92">
        <v>0.30499999999999999</v>
      </c>
      <c r="Y5" s="92">
        <v>0</v>
      </c>
      <c r="Z5" s="92"/>
      <c r="AA5" s="15"/>
      <c r="AB5" s="15"/>
      <c r="AC5" s="15"/>
      <c r="AD5" s="15"/>
      <c r="AE5" s="16"/>
      <c r="AF5" s="182"/>
      <c r="AG5" t="str">
        <f>VLOOKUP(OfficeForms.Table[[#This Row],[Nama Proyek]],'Nama Proyek'!$D$2:$G$29,4,0)</f>
        <v>-6.80675464,106.785366</v>
      </c>
      <c r="AH5" s="5"/>
      <c r="AI5" s="5"/>
      <c r="AJ5" s="5"/>
      <c r="AK5" s="5" t="s">
        <v>43</v>
      </c>
    </row>
    <row r="6" spans="1:37" hidden="1">
      <c r="A6" s="31">
        <v>814</v>
      </c>
      <c r="B6" s="111">
        <v>44569</v>
      </c>
      <c r="C6" s="29">
        <f>B6</f>
        <v>44569</v>
      </c>
      <c r="D6" s="17" t="s">
        <v>37</v>
      </c>
      <c r="E6" s="17" t="s">
        <v>38</v>
      </c>
      <c r="F6" s="10" t="str">
        <f>E6</f>
        <v>M Saifudin Ashari</v>
      </c>
      <c r="G6" s="17" t="s">
        <v>39</v>
      </c>
      <c r="H6" s="103">
        <v>44710</v>
      </c>
      <c r="I6" s="93">
        <v>79.501999999999995</v>
      </c>
      <c r="J6" s="93">
        <v>82.926000000000002</v>
      </c>
      <c r="K6" s="93">
        <v>0.90100000000000002</v>
      </c>
      <c r="L6" s="93">
        <v>0.98699999999999999</v>
      </c>
      <c r="M6" s="93">
        <v>0.90100000000000002</v>
      </c>
      <c r="N6" s="93">
        <v>0.874</v>
      </c>
      <c r="O6" s="93">
        <v>0.45700000000000002</v>
      </c>
      <c r="P6" s="93">
        <v>0.53800000000000003</v>
      </c>
      <c r="Q6" s="93">
        <v>0.54400000000000004</v>
      </c>
      <c r="R6" s="93">
        <v>0.48699999999999999</v>
      </c>
      <c r="S6" s="93">
        <v>0.89200000000000002</v>
      </c>
      <c r="T6" s="93">
        <v>0.45100000000000001</v>
      </c>
      <c r="U6" s="93">
        <v>0.54300000000000004</v>
      </c>
      <c r="V6" s="93">
        <v>0</v>
      </c>
      <c r="W6" s="93">
        <v>0</v>
      </c>
      <c r="X6" s="93">
        <v>0.30499999999999999</v>
      </c>
      <c r="Y6" s="93">
        <v>0</v>
      </c>
      <c r="Z6" s="93"/>
      <c r="AA6" s="17"/>
      <c r="AB6" s="17"/>
      <c r="AC6" s="17"/>
      <c r="AD6" s="17"/>
      <c r="AE6" s="18"/>
      <c r="AF6" s="184"/>
      <c r="AG6" t="str">
        <f>VLOOKUP(OfficeForms.Table[[#This Row],[Nama Proyek]],'Nama Proyek'!$D$2:$G$29,4,0)</f>
        <v>-6.80675464,106.785366</v>
      </c>
      <c r="AH6" s="5"/>
      <c r="AI6" s="5"/>
      <c r="AJ6" s="5"/>
      <c r="AK6" s="5" t="s">
        <v>44</v>
      </c>
    </row>
    <row r="7" spans="1:37" hidden="1">
      <c r="A7" s="50">
        <v>815</v>
      </c>
      <c r="B7" s="110">
        <v>44569</v>
      </c>
      <c r="C7" s="28">
        <f>B7</f>
        <v>44569</v>
      </c>
      <c r="D7" s="15" t="s">
        <v>37</v>
      </c>
      <c r="E7" s="15" t="s">
        <v>38</v>
      </c>
      <c r="F7" s="10" t="str">
        <f>E7</f>
        <v>M Saifudin Ashari</v>
      </c>
      <c r="G7" s="42" t="s">
        <v>39</v>
      </c>
      <c r="H7" s="102">
        <v>44735</v>
      </c>
      <c r="I7" s="92">
        <v>80.823999999999998</v>
      </c>
      <c r="J7" s="92">
        <v>87.406999999999996</v>
      </c>
      <c r="K7" s="92">
        <v>0.90100000000000002</v>
      </c>
      <c r="L7" s="92">
        <v>0.98699999999999999</v>
      </c>
      <c r="M7" s="92">
        <v>0.91800000000000004</v>
      </c>
      <c r="N7" s="92">
        <v>0.874</v>
      </c>
      <c r="O7" s="92">
        <v>0.46700000000000003</v>
      </c>
      <c r="P7" s="92">
        <v>0.54700000000000004</v>
      </c>
      <c r="Q7" s="92">
        <v>0.55800000000000005</v>
      </c>
      <c r="R7" s="92">
        <v>0.501</v>
      </c>
      <c r="S7" s="92">
        <v>0.90700000000000003</v>
      </c>
      <c r="T7" s="92">
        <v>0.497</v>
      </c>
      <c r="U7" s="92">
        <v>0.55700000000000005</v>
      </c>
      <c r="V7" s="92">
        <v>0</v>
      </c>
      <c r="W7" s="92">
        <v>0</v>
      </c>
      <c r="X7" s="92">
        <v>0.30499999999999999</v>
      </c>
      <c r="Y7" s="92">
        <v>0</v>
      </c>
      <c r="Z7" s="92"/>
      <c r="AA7" s="15"/>
      <c r="AB7" s="15"/>
      <c r="AC7" s="15"/>
      <c r="AD7" s="15"/>
      <c r="AE7" s="16"/>
      <c r="AF7" s="182"/>
      <c r="AG7" t="str">
        <f>VLOOKUP(OfficeForms.Table[[#This Row],[Nama Proyek]],'Nama Proyek'!$D$2:$G$29,4,0)</f>
        <v>-6.80675464,106.785366</v>
      </c>
      <c r="AH7" s="5"/>
      <c r="AI7" s="5"/>
      <c r="AJ7" s="5"/>
      <c r="AK7" s="5" t="s">
        <v>45</v>
      </c>
    </row>
    <row r="8" spans="1:37" ht="16.5">
      <c r="A8">
        <v>236</v>
      </c>
      <c r="B8" s="111">
        <v>44569</v>
      </c>
      <c r="C8" s="29">
        <f>B8</f>
        <v>44569</v>
      </c>
      <c r="D8" s="15" t="s">
        <v>46</v>
      </c>
      <c r="E8" s="15" t="s">
        <v>47</v>
      </c>
      <c r="F8" s="10" t="s">
        <v>47</v>
      </c>
      <c r="G8" s="59" t="s">
        <v>48</v>
      </c>
      <c r="H8" s="102">
        <v>44763</v>
      </c>
      <c r="I8" s="92">
        <v>28.885999999999999</v>
      </c>
      <c r="J8" s="92">
        <v>30.71</v>
      </c>
      <c r="K8" s="92">
        <v>0</v>
      </c>
      <c r="L8" s="92">
        <v>27.379000000000001</v>
      </c>
      <c r="M8" s="92">
        <v>0</v>
      </c>
      <c r="N8" s="92">
        <v>0</v>
      </c>
      <c r="O8" s="92">
        <v>0</v>
      </c>
      <c r="P8" s="92">
        <v>0</v>
      </c>
      <c r="Q8" s="92">
        <v>0</v>
      </c>
      <c r="R8" s="92">
        <v>0.23100000000000001</v>
      </c>
      <c r="S8" s="92">
        <v>0</v>
      </c>
      <c r="T8" s="92">
        <v>0</v>
      </c>
      <c r="U8" s="92">
        <v>0</v>
      </c>
      <c r="V8" s="92">
        <v>0</v>
      </c>
      <c r="W8" s="92">
        <v>0</v>
      </c>
      <c r="X8" s="92">
        <v>0</v>
      </c>
      <c r="Y8" s="92">
        <v>0</v>
      </c>
      <c r="Z8" s="92"/>
      <c r="AA8" s="15"/>
      <c r="AB8" s="15"/>
      <c r="AC8" s="15"/>
      <c r="AD8" s="15"/>
      <c r="AE8" s="16"/>
      <c r="AF8" s="183"/>
      <c r="AG8" t="str">
        <f>VLOOKUP(OfficeForms.Table[[#This Row],[Nama Proyek]],'Nama Proyek'!$D$2:$G$29,4,0)</f>
        <v>3.76047575,115.89977678</v>
      </c>
      <c r="AH8" s="5"/>
      <c r="AI8" s="5"/>
      <c r="AJ8" s="5"/>
      <c r="AK8" s="5" t="s">
        <v>49</v>
      </c>
    </row>
    <row r="9" spans="1:37" ht="16.5" hidden="1">
      <c r="A9" s="30">
        <v>243</v>
      </c>
      <c r="B9" s="110">
        <v>44569</v>
      </c>
      <c r="C9" s="28">
        <f>B9</f>
        <v>44569</v>
      </c>
      <c r="D9" s="42" t="s">
        <v>37</v>
      </c>
      <c r="E9" s="42" t="s">
        <v>47</v>
      </c>
      <c r="F9" s="10" t="str">
        <f>E9</f>
        <v>Basuki Rahmat Hakim</v>
      </c>
      <c r="G9" s="59" t="s">
        <v>48</v>
      </c>
      <c r="H9" s="101">
        <v>44763</v>
      </c>
      <c r="I9" s="119">
        <v>28.885999999999999</v>
      </c>
      <c r="J9" s="119">
        <v>30.71</v>
      </c>
      <c r="K9" s="119">
        <v>0</v>
      </c>
      <c r="L9" s="119">
        <v>27.379000000000001</v>
      </c>
      <c r="M9" s="119">
        <v>0</v>
      </c>
      <c r="N9" s="119">
        <v>0</v>
      </c>
      <c r="O9" s="119">
        <v>0</v>
      </c>
      <c r="P9" s="119">
        <v>0</v>
      </c>
      <c r="Q9" s="119">
        <v>0</v>
      </c>
      <c r="R9" s="119">
        <v>0.23100000000000001</v>
      </c>
      <c r="S9" s="119">
        <v>0</v>
      </c>
      <c r="T9" s="119">
        <v>0</v>
      </c>
      <c r="U9" s="119">
        <v>0</v>
      </c>
      <c r="V9" s="119">
        <v>0</v>
      </c>
      <c r="W9" s="119">
        <v>0</v>
      </c>
      <c r="X9" s="119">
        <v>0</v>
      </c>
      <c r="Y9" s="119">
        <v>0</v>
      </c>
      <c r="Z9" s="119"/>
      <c r="AA9" s="42"/>
      <c r="AB9" s="42"/>
      <c r="AC9" s="42"/>
      <c r="AD9" s="42"/>
      <c r="AE9" s="24"/>
      <c r="AF9" s="184"/>
      <c r="AG9" t="str">
        <f>VLOOKUP(OfficeForms.Table[[#This Row],[Nama Proyek]],'Nama Proyek'!$D$2:$G$29,4,0)</f>
        <v>3.76047575,115.89977678</v>
      </c>
      <c r="AH9" s="5"/>
      <c r="AI9" s="5"/>
      <c r="AJ9" s="5"/>
      <c r="AK9" s="5" t="s">
        <v>50</v>
      </c>
    </row>
    <row r="10" spans="1:37" hidden="1">
      <c r="A10" s="31">
        <v>180</v>
      </c>
      <c r="B10" s="111">
        <v>44569</v>
      </c>
      <c r="C10" s="29">
        <f>B10</f>
        <v>44569</v>
      </c>
      <c r="D10" s="17" t="s">
        <v>37</v>
      </c>
      <c r="E10" s="17" t="s">
        <v>51</v>
      </c>
      <c r="F10" s="10" t="str">
        <f>E10</f>
        <v>Riezky Ibnu Prasetyo</v>
      </c>
      <c r="G10" s="15" t="s">
        <v>52</v>
      </c>
      <c r="H10" s="103">
        <v>44766</v>
      </c>
      <c r="I10" s="93">
        <v>83.915000000000006</v>
      </c>
      <c r="J10" s="93">
        <v>0</v>
      </c>
      <c r="K10" s="93">
        <v>0</v>
      </c>
      <c r="L10" s="93">
        <v>0</v>
      </c>
      <c r="M10" s="93">
        <v>0</v>
      </c>
      <c r="N10" s="93">
        <v>3.0000000000000001E-3</v>
      </c>
      <c r="O10" s="93">
        <v>0</v>
      </c>
      <c r="P10" s="93">
        <v>0</v>
      </c>
      <c r="Q10" s="93">
        <v>0</v>
      </c>
      <c r="R10" s="93">
        <v>2.4E-2</v>
      </c>
      <c r="S10" s="93">
        <v>2.8109999999999999</v>
      </c>
      <c r="T10" s="93">
        <v>0</v>
      </c>
      <c r="U10" s="93">
        <v>0</v>
      </c>
      <c r="V10" s="93">
        <v>0</v>
      </c>
      <c r="W10" s="93">
        <v>0</v>
      </c>
      <c r="X10" s="93">
        <v>0</v>
      </c>
      <c r="Y10" s="93">
        <v>0</v>
      </c>
      <c r="Z10" s="93"/>
      <c r="AA10" s="17"/>
      <c r="AB10" s="17"/>
      <c r="AC10" s="17"/>
      <c r="AD10" s="17"/>
      <c r="AE10" s="18"/>
      <c r="AF10" s="183"/>
      <c r="AG10" t="str">
        <f>VLOOKUP(OfficeForms.Table[[#This Row],[Nama Proyek]],'Nama Proyek'!$D$2:$G$29,4,0)</f>
        <v>-6.13491053,106.93675986</v>
      </c>
      <c r="AH10" s="5"/>
      <c r="AI10" s="5"/>
      <c r="AJ10" s="5"/>
      <c r="AK10" s="5" t="s">
        <v>53</v>
      </c>
    </row>
    <row r="11" spans="1:37" ht="16.5" hidden="1" customHeight="1">
      <c r="A11" s="30">
        <v>166</v>
      </c>
      <c r="B11" s="111">
        <v>44569</v>
      </c>
      <c r="C11" s="29">
        <f>B11</f>
        <v>44569</v>
      </c>
      <c r="D11" s="17" t="s">
        <v>37</v>
      </c>
      <c r="E11" s="17" t="s">
        <v>54</v>
      </c>
      <c r="F11" s="10" t="str">
        <f>E11</f>
        <v>Haryo Widiandoko</v>
      </c>
      <c r="G11" s="17" t="s">
        <v>55</v>
      </c>
      <c r="H11" s="103">
        <v>44771</v>
      </c>
      <c r="I11" s="93">
        <v>75.869</v>
      </c>
      <c r="J11" s="93">
        <v>79.784999999999997</v>
      </c>
      <c r="K11" s="93">
        <v>27.49</v>
      </c>
      <c r="L11" s="93">
        <v>76.97</v>
      </c>
      <c r="M11" s="93">
        <v>73.02</v>
      </c>
      <c r="N11" s="93">
        <v>77.83</v>
      </c>
      <c r="O11" s="93">
        <v>39.17</v>
      </c>
      <c r="P11" s="93">
        <v>68.16</v>
      </c>
      <c r="Q11" s="93">
        <v>71.86</v>
      </c>
      <c r="R11" s="93">
        <v>66</v>
      </c>
      <c r="S11" s="93">
        <v>97.88</v>
      </c>
      <c r="T11" s="93">
        <v>0</v>
      </c>
      <c r="U11" s="93">
        <v>23.83</v>
      </c>
      <c r="V11" s="93">
        <v>6.3</v>
      </c>
      <c r="W11" s="93">
        <v>0</v>
      </c>
      <c r="X11" s="93">
        <v>78.489999999999995</v>
      </c>
      <c r="Y11" s="93">
        <v>0</v>
      </c>
      <c r="Z11" s="93"/>
      <c r="AA11" s="17"/>
      <c r="AB11" s="17"/>
      <c r="AC11" s="17"/>
      <c r="AD11" s="17"/>
      <c r="AE11" s="18"/>
      <c r="AF11" s="183"/>
      <c r="AG11" t="str">
        <f>VLOOKUP(OfficeForms.Table[[#This Row],[Nama Proyek]],'Nama Proyek'!$D$2:$G$29,4,0)</f>
        <v>-6.42873464,107.19897003</v>
      </c>
      <c r="AH11" s="5"/>
      <c r="AI11" s="5"/>
      <c r="AJ11" s="5"/>
      <c r="AK11" s="5" t="s">
        <v>56</v>
      </c>
    </row>
    <row r="12" spans="1:37" hidden="1">
      <c r="A12" s="50">
        <v>82</v>
      </c>
      <c r="B12" s="111">
        <v>44569</v>
      </c>
      <c r="C12" s="29">
        <f>B12</f>
        <v>44569</v>
      </c>
      <c r="D12" s="15" t="s">
        <v>37</v>
      </c>
      <c r="E12" s="15" t="s">
        <v>57</v>
      </c>
      <c r="F12" s="10" t="str">
        <f>E12</f>
        <v>Alfian Budi Prasetya</v>
      </c>
      <c r="G12" s="15" t="s">
        <v>58</v>
      </c>
      <c r="H12" s="102">
        <v>44773</v>
      </c>
      <c r="I12" s="92">
        <v>21.582000000000001</v>
      </c>
      <c r="J12" s="92">
        <v>94.147999999999996</v>
      </c>
      <c r="K12" s="92">
        <v>17.803999999999998</v>
      </c>
      <c r="L12" s="92">
        <v>1.3220000000000001</v>
      </c>
      <c r="M12" s="92">
        <v>0.28699999999999998</v>
      </c>
      <c r="N12" s="92">
        <v>0.249</v>
      </c>
      <c r="O12" s="92">
        <v>0</v>
      </c>
      <c r="P12" s="92">
        <v>0</v>
      </c>
      <c r="Q12" s="92">
        <v>0</v>
      </c>
      <c r="R12" s="92">
        <v>0</v>
      </c>
      <c r="S12" s="92">
        <v>0</v>
      </c>
      <c r="T12" s="92">
        <v>0</v>
      </c>
      <c r="U12" s="92">
        <v>0</v>
      </c>
      <c r="V12" s="92">
        <v>0</v>
      </c>
      <c r="W12" s="92">
        <v>0</v>
      </c>
      <c r="X12" s="92">
        <v>0</v>
      </c>
      <c r="Y12" s="92">
        <v>0</v>
      </c>
      <c r="Z12" s="92"/>
      <c r="AA12" s="15"/>
      <c r="AB12" s="15"/>
      <c r="AC12" s="15"/>
      <c r="AD12" s="15"/>
      <c r="AE12" s="16"/>
      <c r="AF12" s="184" t="s">
        <v>59</v>
      </c>
      <c r="AG12" t="str">
        <f>VLOOKUP(OfficeForms.Table[[#This Row],[Nama Proyek]],'Nama Proyek'!$D$2:$G$29,4,0)</f>
        <v>-6.12967558,107.07321308</v>
      </c>
      <c r="AH12" s="5"/>
      <c r="AI12" s="5"/>
      <c r="AJ12" s="5"/>
      <c r="AK12" s="5" t="s">
        <v>60</v>
      </c>
    </row>
    <row r="13" spans="1:37" hidden="1">
      <c r="A13">
        <v>865</v>
      </c>
      <c r="B13" s="110">
        <v>44569</v>
      </c>
      <c r="C13" s="28">
        <f>B13</f>
        <v>44569</v>
      </c>
      <c r="D13" s="42" t="s">
        <v>37</v>
      </c>
      <c r="E13" s="42" t="s">
        <v>38</v>
      </c>
      <c r="F13" s="10" t="str">
        <f>E13</f>
        <v>M Saifudin Ashari</v>
      </c>
      <c r="G13" s="42" t="s">
        <v>39</v>
      </c>
      <c r="H13" s="101">
        <v>44773</v>
      </c>
      <c r="I13" s="119">
        <v>83.896000000000001</v>
      </c>
      <c r="J13" s="119">
        <v>92.387</v>
      </c>
      <c r="K13" s="119">
        <v>0.90100000000000002</v>
      </c>
      <c r="L13" s="119">
        <v>0.98699999999999999</v>
      </c>
      <c r="M13" s="119">
        <v>0.92700000000000005</v>
      </c>
      <c r="N13" s="119">
        <v>0.877</v>
      </c>
      <c r="O13" s="119">
        <v>0.48099999999999998</v>
      </c>
      <c r="P13" s="119">
        <v>0.60299999999999998</v>
      </c>
      <c r="Q13" s="119">
        <v>0.629</v>
      </c>
      <c r="R13" s="119">
        <v>0.53600000000000003</v>
      </c>
      <c r="S13" s="119">
        <v>0.93899999999999995</v>
      </c>
      <c r="T13" s="119">
        <v>0.76900000000000002</v>
      </c>
      <c r="U13" s="119">
        <v>0.56699999999999995</v>
      </c>
      <c r="V13" s="119">
        <v>0</v>
      </c>
      <c r="W13" s="119">
        <v>0</v>
      </c>
      <c r="X13" s="119">
        <v>0.30499999999999999</v>
      </c>
      <c r="Y13" s="119">
        <v>0</v>
      </c>
      <c r="Z13" s="119"/>
      <c r="AA13" s="42"/>
      <c r="AB13" s="42"/>
      <c r="AC13" s="42"/>
      <c r="AD13" s="42"/>
      <c r="AE13" s="24"/>
      <c r="AF13" s="182"/>
      <c r="AG13" t="str">
        <f>VLOOKUP(OfficeForms.Table[[#This Row],[Nama Proyek]],'Nama Proyek'!$D$2:$G$29,4,0)</f>
        <v>-6.80675464,106.785366</v>
      </c>
      <c r="AH13" s="5"/>
      <c r="AI13" s="5"/>
      <c r="AJ13" s="5"/>
      <c r="AK13" s="5" t="s">
        <v>61</v>
      </c>
    </row>
    <row r="14" spans="1:37" ht="16.5" hidden="1" customHeight="1">
      <c r="A14" s="31">
        <v>83</v>
      </c>
      <c r="B14" s="110">
        <v>44569</v>
      </c>
      <c r="C14" s="28">
        <f>B14</f>
        <v>44569</v>
      </c>
      <c r="D14" s="15" t="s">
        <v>37</v>
      </c>
      <c r="E14" s="15" t="s">
        <v>57</v>
      </c>
      <c r="F14" s="10" t="str">
        <f>E14</f>
        <v>Alfian Budi Prasetya</v>
      </c>
      <c r="G14" s="15" t="s">
        <v>58</v>
      </c>
      <c r="H14" s="101"/>
      <c r="I14" s="92">
        <v>0</v>
      </c>
      <c r="J14" s="92">
        <v>0</v>
      </c>
      <c r="K14" s="92">
        <v>0</v>
      </c>
      <c r="L14" s="92">
        <v>0</v>
      </c>
      <c r="M14" s="92">
        <v>0</v>
      </c>
      <c r="N14" s="92">
        <v>0</v>
      </c>
      <c r="O14" s="92">
        <v>0</v>
      </c>
      <c r="P14" s="92">
        <v>0</v>
      </c>
      <c r="Q14" s="92">
        <v>0</v>
      </c>
      <c r="R14" s="92">
        <v>0</v>
      </c>
      <c r="S14" s="92">
        <v>0</v>
      </c>
      <c r="T14" s="92">
        <v>0</v>
      </c>
      <c r="U14" s="92">
        <v>0</v>
      </c>
      <c r="V14" s="92">
        <v>0</v>
      </c>
      <c r="W14" s="92">
        <v>0</v>
      </c>
      <c r="X14" s="92">
        <v>0</v>
      </c>
      <c r="Y14" s="92">
        <v>0</v>
      </c>
      <c r="Z14" s="92"/>
      <c r="AA14" s="15"/>
      <c r="AB14" s="15"/>
      <c r="AC14" s="15"/>
      <c r="AD14" s="15"/>
      <c r="AE14" s="16" t="s">
        <v>62</v>
      </c>
      <c r="AF14" s="182"/>
      <c r="AG14" t="str">
        <f>VLOOKUP(OfficeForms.Table[[#This Row],[Nama Proyek]],'Nama Proyek'!$D$2:$G$29,4,0)</f>
        <v>-6.12967558,107.07321308</v>
      </c>
      <c r="AH14" s="5"/>
      <c r="AI14" s="5"/>
      <c r="AJ14" s="5"/>
      <c r="AK14" s="5" t="s">
        <v>63</v>
      </c>
    </row>
    <row r="15" spans="1:37" ht="16.5" hidden="1" customHeight="1">
      <c r="A15" s="31">
        <v>186</v>
      </c>
      <c r="B15" s="111">
        <v>44569</v>
      </c>
      <c r="C15" s="29">
        <f>B15</f>
        <v>44569</v>
      </c>
      <c r="D15" s="15" t="s">
        <v>37</v>
      </c>
      <c r="E15" s="15" t="s">
        <v>64</v>
      </c>
      <c r="F15" s="10" t="str">
        <f>E15</f>
        <v>Nizar Zulkarnain</v>
      </c>
      <c r="G15" s="17" t="s">
        <v>65</v>
      </c>
      <c r="H15" s="103"/>
      <c r="I15" s="92">
        <v>0</v>
      </c>
      <c r="J15" s="92">
        <v>0</v>
      </c>
      <c r="K15" s="92">
        <v>0</v>
      </c>
      <c r="L15" s="92">
        <v>0</v>
      </c>
      <c r="M15" s="92">
        <v>0</v>
      </c>
      <c r="N15" s="92">
        <v>0</v>
      </c>
      <c r="O15" s="92">
        <v>0</v>
      </c>
      <c r="P15" s="92">
        <v>0</v>
      </c>
      <c r="Q15" s="92">
        <v>0</v>
      </c>
      <c r="R15" s="92">
        <v>0</v>
      </c>
      <c r="S15" s="92">
        <v>0</v>
      </c>
      <c r="T15" s="92">
        <v>0</v>
      </c>
      <c r="U15" s="92">
        <v>0</v>
      </c>
      <c r="V15" s="92">
        <v>0</v>
      </c>
      <c r="W15" s="92">
        <v>0</v>
      </c>
      <c r="X15" s="92">
        <v>0</v>
      </c>
      <c r="Y15" s="92">
        <v>0</v>
      </c>
      <c r="Z15" s="92"/>
      <c r="AA15" s="15"/>
      <c r="AB15" s="15"/>
      <c r="AC15" s="15" t="s">
        <v>66</v>
      </c>
      <c r="AD15" s="15"/>
      <c r="AE15" s="16"/>
      <c r="AF15" s="184" t="s">
        <v>67</v>
      </c>
      <c r="AG15" t="str">
        <f>VLOOKUP(OfficeForms.Table[[#This Row],[Nama Proyek]],'Nama Proyek'!$D$2:$G$29,4,0)</f>
        <v>-6.35008011,107.02324233</v>
      </c>
      <c r="AH15" s="5"/>
      <c r="AI15" s="5"/>
      <c r="AJ15" s="5"/>
      <c r="AK15" s="5" t="s">
        <v>68</v>
      </c>
    </row>
    <row r="16" spans="1:37" hidden="1">
      <c r="A16" s="31">
        <v>251</v>
      </c>
      <c r="B16" s="110">
        <v>44569</v>
      </c>
      <c r="C16" s="28">
        <f>B16</f>
        <v>44569</v>
      </c>
      <c r="D16" s="42" t="s">
        <v>37</v>
      </c>
      <c r="E16" s="42" t="s">
        <v>51</v>
      </c>
      <c r="F16" s="10" t="str">
        <f>E16</f>
        <v>Riezky Ibnu Prasetyo</v>
      </c>
      <c r="G16" s="15" t="s">
        <v>52</v>
      </c>
      <c r="H16" s="101"/>
      <c r="I16" s="119">
        <v>0</v>
      </c>
      <c r="J16" s="119">
        <v>0</v>
      </c>
      <c r="K16" s="119">
        <v>0</v>
      </c>
      <c r="L16" s="119">
        <v>0</v>
      </c>
      <c r="M16" s="119">
        <v>0</v>
      </c>
      <c r="N16" s="119">
        <v>0</v>
      </c>
      <c r="O16" s="119">
        <v>0</v>
      </c>
      <c r="P16" s="119">
        <v>0</v>
      </c>
      <c r="Q16" s="119">
        <v>0</v>
      </c>
      <c r="R16" s="119">
        <v>0</v>
      </c>
      <c r="S16" s="119">
        <v>0</v>
      </c>
      <c r="T16" s="119">
        <v>0</v>
      </c>
      <c r="U16" s="119">
        <v>0</v>
      </c>
      <c r="V16" s="119">
        <v>0</v>
      </c>
      <c r="W16" s="119">
        <v>0</v>
      </c>
      <c r="X16" s="119">
        <v>0</v>
      </c>
      <c r="Y16" s="119">
        <v>0</v>
      </c>
      <c r="Z16" s="119"/>
      <c r="AA16" s="42" t="s">
        <v>69</v>
      </c>
      <c r="AB16" s="42" t="s">
        <v>69</v>
      </c>
      <c r="AC16" s="42" t="s">
        <v>70</v>
      </c>
      <c r="AD16" s="42" t="s">
        <v>70</v>
      </c>
      <c r="AE16" s="24"/>
      <c r="AF16" s="182"/>
      <c r="AG16" t="str">
        <f>VLOOKUP(OfficeForms.Table[[#This Row],[Nama Proyek]],'Nama Proyek'!$D$2:$G$29,4,0)</f>
        <v>-6.13491053,106.93675986</v>
      </c>
      <c r="AH16" s="5"/>
      <c r="AI16" s="5"/>
      <c r="AJ16" s="5"/>
      <c r="AK16" s="5" t="s">
        <v>71</v>
      </c>
    </row>
    <row r="17" spans="1:37" hidden="1">
      <c r="A17" s="31">
        <v>252</v>
      </c>
      <c r="B17" s="111">
        <v>44569</v>
      </c>
      <c r="C17" s="29">
        <f>B17</f>
        <v>44569</v>
      </c>
      <c r="D17" s="17" t="s">
        <v>37</v>
      </c>
      <c r="E17" s="17" t="s">
        <v>51</v>
      </c>
      <c r="F17" s="10" t="str">
        <f>E17</f>
        <v>Riezky Ibnu Prasetyo</v>
      </c>
      <c r="G17" s="15" t="s">
        <v>52</v>
      </c>
      <c r="H17" s="103"/>
      <c r="I17" s="93">
        <v>0</v>
      </c>
      <c r="J17" s="93">
        <v>0</v>
      </c>
      <c r="K17" s="93">
        <v>0</v>
      </c>
      <c r="L17" s="93">
        <v>0</v>
      </c>
      <c r="M17" s="93">
        <v>0</v>
      </c>
      <c r="N17" s="93">
        <v>0</v>
      </c>
      <c r="O17" s="93">
        <v>0</v>
      </c>
      <c r="P17" s="93">
        <v>0</v>
      </c>
      <c r="Q17" s="93">
        <v>0</v>
      </c>
      <c r="R17" s="93">
        <v>0</v>
      </c>
      <c r="S17" s="93">
        <v>0</v>
      </c>
      <c r="T17" s="93">
        <v>0</v>
      </c>
      <c r="U17" s="93">
        <v>0</v>
      </c>
      <c r="V17" s="93">
        <v>0</v>
      </c>
      <c r="W17" s="93">
        <v>0</v>
      </c>
      <c r="X17" s="93">
        <v>0</v>
      </c>
      <c r="Y17" s="93">
        <v>0</v>
      </c>
      <c r="Z17" s="93"/>
      <c r="AA17" s="17" t="s">
        <v>72</v>
      </c>
      <c r="AB17" s="17"/>
      <c r="AC17" s="17"/>
      <c r="AD17" s="17"/>
      <c r="AE17" s="18"/>
      <c r="AF17" s="183"/>
      <c r="AG17" t="str">
        <f>VLOOKUP(OfficeForms.Table[[#This Row],[Nama Proyek]],'Nama Proyek'!$D$2:$G$29,4,0)</f>
        <v>-6.13491053,106.93675986</v>
      </c>
      <c r="AH17" s="5"/>
      <c r="AI17" s="5"/>
      <c r="AJ17" s="5"/>
      <c r="AK17" s="5" t="s">
        <v>73</v>
      </c>
    </row>
    <row r="18" spans="1:37" hidden="1">
      <c r="A18" s="50">
        <v>207</v>
      </c>
      <c r="B18" s="110">
        <v>44573</v>
      </c>
      <c r="C18" s="28">
        <f>B18</f>
        <v>44573</v>
      </c>
      <c r="D18" s="15" t="s">
        <v>37</v>
      </c>
      <c r="E18" s="15" t="s">
        <v>54</v>
      </c>
      <c r="F18" s="10" t="str">
        <f>E18</f>
        <v>Haryo Widiandoko</v>
      </c>
      <c r="G18" s="42" t="s">
        <v>55</v>
      </c>
      <c r="H18" s="102">
        <v>44893</v>
      </c>
      <c r="I18" s="92">
        <v>69.837000000000003</v>
      </c>
      <c r="J18" s="92">
        <v>71.156000000000006</v>
      </c>
      <c r="K18" s="92">
        <v>0.112</v>
      </c>
      <c r="L18" s="92">
        <v>0.128</v>
      </c>
      <c r="M18" s="92">
        <v>20.684999999999999</v>
      </c>
      <c r="N18" s="92">
        <v>2.0350000000000001</v>
      </c>
      <c r="O18" s="92">
        <v>2.355</v>
      </c>
      <c r="P18" s="92">
        <v>5.1999999999999998E-2</v>
      </c>
      <c r="Q18" s="92">
        <v>0.58499999999999996</v>
      </c>
      <c r="R18" s="92">
        <v>10.308</v>
      </c>
      <c r="S18" s="92">
        <v>30.690999999999999</v>
      </c>
      <c r="T18" s="92">
        <v>0.61199999999999999</v>
      </c>
      <c r="U18" s="92">
        <v>1.2969999999999999</v>
      </c>
      <c r="V18" s="92">
        <v>3.1E-2</v>
      </c>
      <c r="W18" s="92">
        <v>0</v>
      </c>
      <c r="X18" s="92">
        <v>0.73899999999999999</v>
      </c>
      <c r="Y18" s="92">
        <v>0</v>
      </c>
      <c r="Z18" s="92"/>
      <c r="AA18" s="15"/>
      <c r="AB18" s="15"/>
      <c r="AC18" s="15"/>
      <c r="AD18" s="15"/>
      <c r="AE18" s="16"/>
      <c r="AF18" s="182"/>
      <c r="AG18" t="str">
        <f>VLOOKUP(OfficeForms.Table[[#This Row],[Nama Proyek]],'Nama Proyek'!$D$2:$G$29,4,0)</f>
        <v>-6.42873464,107.19897003</v>
      </c>
      <c r="AH18" s="5"/>
      <c r="AI18" s="5"/>
      <c r="AJ18" s="5"/>
      <c r="AK18" s="5" t="s">
        <v>74</v>
      </c>
    </row>
    <row r="19" spans="1:37" ht="16.5" hidden="1">
      <c r="A19">
        <v>642</v>
      </c>
      <c r="B19" s="111">
        <v>44573</v>
      </c>
      <c r="C19" s="29">
        <f>B19</f>
        <v>44573</v>
      </c>
      <c r="D19" s="17" t="s">
        <v>37</v>
      </c>
      <c r="E19" s="17" t="s">
        <v>75</v>
      </c>
      <c r="F19" s="10" t="str">
        <f>E19</f>
        <v>Banyu Purwita</v>
      </c>
      <c r="G19" s="37" t="s">
        <v>76</v>
      </c>
      <c r="H19" s="103"/>
      <c r="I19" s="93">
        <v>0</v>
      </c>
      <c r="J19" s="93">
        <v>0</v>
      </c>
      <c r="K19" s="93">
        <v>0</v>
      </c>
      <c r="L19" s="93">
        <v>0</v>
      </c>
      <c r="M19" s="93">
        <v>0</v>
      </c>
      <c r="N19" s="93">
        <v>0</v>
      </c>
      <c r="O19" s="93">
        <v>0</v>
      </c>
      <c r="P19" s="93">
        <v>0</v>
      </c>
      <c r="Q19" s="93">
        <v>0</v>
      </c>
      <c r="R19" s="93">
        <v>0</v>
      </c>
      <c r="S19" s="93">
        <v>0</v>
      </c>
      <c r="T19" s="93">
        <v>0</v>
      </c>
      <c r="U19" s="93">
        <v>0</v>
      </c>
      <c r="V19" s="93">
        <v>0</v>
      </c>
      <c r="W19" s="93">
        <v>0</v>
      </c>
      <c r="X19" s="93">
        <v>0</v>
      </c>
      <c r="Y19" s="93">
        <v>0</v>
      </c>
      <c r="Z19" s="93"/>
      <c r="AA19" s="17" t="s">
        <v>77</v>
      </c>
      <c r="AB19" s="17" t="s">
        <v>77</v>
      </c>
      <c r="AC19" s="17" t="s">
        <v>77</v>
      </c>
      <c r="AD19" s="17" t="s">
        <v>77</v>
      </c>
      <c r="AE19" s="18"/>
      <c r="AF19" s="183"/>
      <c r="AG19" t="str">
        <f>VLOOKUP(OfficeForms.Table[[#This Row],[Nama Proyek]],'Nama Proyek'!$D$2:$G$29,4,0)</f>
        <v>-2.95293103,104.75455094</v>
      </c>
      <c r="AH19" s="5"/>
      <c r="AI19" s="5"/>
      <c r="AJ19" s="5"/>
      <c r="AK19" s="5" t="s">
        <v>78</v>
      </c>
    </row>
    <row r="20" spans="1:37" hidden="1">
      <c r="A20" s="30">
        <v>253</v>
      </c>
      <c r="B20" s="110">
        <v>44600</v>
      </c>
      <c r="C20" s="28">
        <f>B20</f>
        <v>44600</v>
      </c>
      <c r="D20" s="42" t="s">
        <v>37</v>
      </c>
      <c r="E20" s="42" t="s">
        <v>79</v>
      </c>
      <c r="F20" s="10" t="str">
        <f>E20</f>
        <v>Fajar Sodiq Febriansyah</v>
      </c>
      <c r="G20" s="35" t="s">
        <v>80</v>
      </c>
      <c r="H20" s="101">
        <v>44735</v>
      </c>
      <c r="I20" s="119">
        <v>27.1694</v>
      </c>
      <c r="J20" s="119">
        <v>55.706800000000001</v>
      </c>
      <c r="K20" s="119">
        <v>0.161</v>
      </c>
      <c r="L20" s="119">
        <v>8.0399999999999999E-2</v>
      </c>
      <c r="M20" s="119">
        <v>13.0715</v>
      </c>
      <c r="N20" s="119">
        <v>0.28639999999999999</v>
      </c>
      <c r="O20" s="119">
        <v>4.4600000000000001E-2</v>
      </c>
      <c r="P20" s="119">
        <v>5.3E-3</v>
      </c>
      <c r="Q20" s="119">
        <v>5.9999999999999995E-4</v>
      </c>
      <c r="R20" s="119">
        <v>0.3957</v>
      </c>
      <c r="S20" s="119">
        <v>15.6692</v>
      </c>
      <c r="T20" s="119">
        <v>0</v>
      </c>
      <c r="U20" s="119">
        <v>8.1900000000000001E-2</v>
      </c>
      <c r="V20" s="119">
        <v>0</v>
      </c>
      <c r="W20" s="119">
        <v>0</v>
      </c>
      <c r="X20" s="119">
        <v>0.1042</v>
      </c>
      <c r="Y20" s="119">
        <v>0</v>
      </c>
      <c r="Z20" s="119"/>
      <c r="AA20" s="42"/>
      <c r="AB20" s="42"/>
      <c r="AC20" s="42"/>
      <c r="AD20" s="42"/>
      <c r="AE20" s="24"/>
      <c r="AF20" s="184"/>
      <c r="AG20" t="str">
        <f>VLOOKUP(OfficeForms.Table[[#This Row],[Nama Proyek]],'Nama Proyek'!$D$2:$G$29,4,0)</f>
        <v>-7.82225167,113.29968319</v>
      </c>
      <c r="AH20" s="5"/>
      <c r="AI20" s="5"/>
      <c r="AJ20" s="5"/>
      <c r="AK20" s="5" t="s">
        <v>81</v>
      </c>
    </row>
    <row r="21" spans="1:37" ht="30.75" hidden="1">
      <c r="A21" s="167">
        <v>254</v>
      </c>
      <c r="B21" s="168">
        <v>44600</v>
      </c>
      <c r="C21" s="169">
        <f>B21</f>
        <v>44600</v>
      </c>
      <c r="D21" s="142" t="s">
        <v>37</v>
      </c>
      <c r="E21" s="142" t="s">
        <v>82</v>
      </c>
      <c r="F21" s="132" t="str">
        <f>E21</f>
        <v>Ajik Prastiyo</v>
      </c>
      <c r="G21" s="171" t="s">
        <v>80</v>
      </c>
      <c r="H21" s="172">
        <v>44773</v>
      </c>
      <c r="I21" s="145">
        <v>44.002827140000001</v>
      </c>
      <c r="J21" s="145">
        <v>48.305321669999998</v>
      </c>
      <c r="K21" s="145">
        <v>0.29875857</v>
      </c>
      <c r="L21" s="145">
        <v>9.6883739999999996E-2</v>
      </c>
      <c r="M21" s="145">
        <v>20.333592840000001</v>
      </c>
      <c r="N21" s="145">
        <v>0.40638550000000001</v>
      </c>
      <c r="O21" s="145">
        <v>9.6794389999999994E-2</v>
      </c>
      <c r="P21" s="145">
        <v>1.773914E-2</v>
      </c>
      <c r="Q21" s="145">
        <v>7.1882999999999995E-4</v>
      </c>
      <c r="R21" s="145">
        <v>0.86200131000000002</v>
      </c>
      <c r="S21" s="145">
        <v>21.36451637</v>
      </c>
      <c r="T21" s="145">
        <v>0</v>
      </c>
      <c r="U21" s="145">
        <v>0.1002754</v>
      </c>
      <c r="V21" s="145">
        <v>0</v>
      </c>
      <c r="W21" s="145">
        <v>3.659606E-2</v>
      </c>
      <c r="X21" s="145">
        <v>0.12110213</v>
      </c>
      <c r="Y21" s="145">
        <v>0</v>
      </c>
      <c r="Z21" s="145"/>
      <c r="AA21" s="142"/>
      <c r="AB21" s="142"/>
      <c r="AC21" s="142"/>
      <c r="AD21" s="142"/>
      <c r="AE21" s="166"/>
      <c r="AF21" s="215" t="s">
        <v>83</v>
      </c>
      <c r="AG21" t="str">
        <f>VLOOKUP(OfficeForms.Table[[#This Row],[Nama Proyek]],'Nama Proyek'!$D$2:$G$29,4,0)</f>
        <v>-7.82225167,113.29968319</v>
      </c>
      <c r="AH21" s="5"/>
      <c r="AI21" s="5"/>
      <c r="AJ21" s="5"/>
      <c r="AK21" s="5" t="s">
        <v>84</v>
      </c>
    </row>
    <row r="22" spans="1:37" hidden="1">
      <c r="A22" s="31">
        <v>259</v>
      </c>
      <c r="B22" s="110">
        <v>44600</v>
      </c>
      <c r="C22" s="28">
        <f>B22</f>
        <v>44600</v>
      </c>
      <c r="D22" s="42" t="s">
        <v>37</v>
      </c>
      <c r="E22" s="42" t="s">
        <v>85</v>
      </c>
      <c r="F22" s="10" t="str">
        <f>E22</f>
        <v>Nungki Herdiana</v>
      </c>
      <c r="G22" s="42" t="s">
        <v>86</v>
      </c>
      <c r="H22" s="101">
        <v>44775</v>
      </c>
      <c r="I22" s="119">
        <v>66.31</v>
      </c>
      <c r="J22" s="119">
        <v>66.34</v>
      </c>
      <c r="K22" s="119">
        <v>78.290000000000006</v>
      </c>
      <c r="L22" s="119">
        <v>98.07</v>
      </c>
      <c r="M22" s="119">
        <v>94.31</v>
      </c>
      <c r="N22" s="119">
        <v>7.66</v>
      </c>
      <c r="O22" s="119">
        <v>52.04</v>
      </c>
      <c r="P22" s="119">
        <v>184.85</v>
      </c>
      <c r="Q22" s="119">
        <v>59.98</v>
      </c>
      <c r="R22" s="119">
        <v>0</v>
      </c>
      <c r="S22" s="119">
        <v>0</v>
      </c>
      <c r="T22" s="119">
        <v>0</v>
      </c>
      <c r="U22" s="119">
        <v>0</v>
      </c>
      <c r="V22" s="119">
        <v>0</v>
      </c>
      <c r="W22" s="119">
        <v>0</v>
      </c>
      <c r="X22" s="119">
        <v>0</v>
      </c>
      <c r="Y22" s="119">
        <v>0</v>
      </c>
      <c r="Z22" s="119"/>
      <c r="AA22" s="42"/>
      <c r="AB22" s="42"/>
      <c r="AC22" s="42"/>
      <c r="AD22" s="42"/>
      <c r="AE22" s="214"/>
      <c r="AF22" s="15" t="s">
        <v>87</v>
      </c>
      <c r="AG22" t="e">
        <f>VLOOKUP(OfficeForms.Table[[#This Row],[Nama Proyek]],'Nama Proyek'!$D$2:$G$29,4,0)</f>
        <v>#N/A</v>
      </c>
      <c r="AH22" s="5"/>
      <c r="AI22" s="5"/>
      <c r="AJ22" s="5"/>
      <c r="AK22" s="5" t="s">
        <v>88</v>
      </c>
    </row>
    <row r="23" spans="1:37" hidden="1">
      <c r="A23">
        <v>255</v>
      </c>
      <c r="B23" s="110">
        <v>44600</v>
      </c>
      <c r="C23" s="28">
        <f>B23</f>
        <v>44600</v>
      </c>
      <c r="D23" s="19" t="s">
        <v>37</v>
      </c>
      <c r="E23" s="42" t="s">
        <v>82</v>
      </c>
      <c r="F23" s="5" t="str">
        <f>E23</f>
        <v>Ajik Prastiyo</v>
      </c>
      <c r="G23" s="35" t="s">
        <v>80</v>
      </c>
      <c r="H23" s="101"/>
      <c r="I23" s="119">
        <v>0</v>
      </c>
      <c r="J23" s="119">
        <v>0</v>
      </c>
      <c r="K23" s="119">
        <v>0</v>
      </c>
      <c r="L23" s="119">
        <v>0</v>
      </c>
      <c r="M23" s="119">
        <v>0</v>
      </c>
      <c r="N23" s="119">
        <v>0</v>
      </c>
      <c r="O23" s="119">
        <v>0</v>
      </c>
      <c r="P23" s="119">
        <v>0</v>
      </c>
      <c r="Q23" s="119">
        <v>0</v>
      </c>
      <c r="R23" s="119">
        <v>0</v>
      </c>
      <c r="S23" s="119">
        <v>0</v>
      </c>
      <c r="T23" s="119">
        <v>0</v>
      </c>
      <c r="U23" s="119">
        <v>0</v>
      </c>
      <c r="V23" s="119">
        <v>0</v>
      </c>
      <c r="W23" s="119">
        <v>0</v>
      </c>
      <c r="X23" s="119">
        <v>0</v>
      </c>
      <c r="Y23" s="119">
        <v>0</v>
      </c>
      <c r="Z23" s="119"/>
      <c r="AA23" s="42"/>
      <c r="AB23" s="42"/>
      <c r="AC23" s="42"/>
      <c r="AD23" s="42"/>
      <c r="AE23" s="24">
        <v>44569</v>
      </c>
      <c r="AF23" s="15" t="s">
        <v>89</v>
      </c>
      <c r="AG23" t="str">
        <f>VLOOKUP(OfficeForms.Table[[#This Row],[Nama Proyek]],'Nama Proyek'!$D$2:$G$29,4,0)</f>
        <v>-7.82225167,113.29968319</v>
      </c>
      <c r="AH23" s="5"/>
      <c r="AI23" s="5"/>
      <c r="AJ23" s="5"/>
      <c r="AK23" s="5" t="s">
        <v>90</v>
      </c>
    </row>
    <row r="24" spans="1:37" ht="21" hidden="1" customHeight="1">
      <c r="A24" s="50">
        <v>256</v>
      </c>
      <c r="B24" s="111">
        <v>44600</v>
      </c>
      <c r="C24" s="29">
        <f>B24</f>
        <v>44600</v>
      </c>
      <c r="D24" s="8" t="s">
        <v>37</v>
      </c>
      <c r="E24" s="15" t="s">
        <v>82</v>
      </c>
      <c r="F24" s="5" t="str">
        <f>E24</f>
        <v>Ajik Prastiyo</v>
      </c>
      <c r="G24" s="36" t="s">
        <v>80</v>
      </c>
      <c r="H24" s="103"/>
      <c r="I24" s="92">
        <v>0</v>
      </c>
      <c r="J24" s="92">
        <v>0</v>
      </c>
      <c r="K24" s="92">
        <v>0</v>
      </c>
      <c r="L24" s="92">
        <v>0</v>
      </c>
      <c r="M24" s="92">
        <v>0</v>
      </c>
      <c r="N24" s="92">
        <v>0</v>
      </c>
      <c r="O24" s="92">
        <v>0</v>
      </c>
      <c r="P24" s="92">
        <v>0</v>
      </c>
      <c r="Q24" s="92">
        <v>0</v>
      </c>
      <c r="R24" s="92">
        <v>0</v>
      </c>
      <c r="S24" s="92">
        <v>0</v>
      </c>
      <c r="T24" s="92">
        <v>0</v>
      </c>
      <c r="U24" s="92">
        <v>0</v>
      </c>
      <c r="V24" s="92">
        <v>0</v>
      </c>
      <c r="W24" s="92">
        <v>0</v>
      </c>
      <c r="X24" s="92">
        <v>0</v>
      </c>
      <c r="Y24" s="92">
        <v>0</v>
      </c>
      <c r="Z24" s="92"/>
      <c r="AA24" s="15"/>
      <c r="AB24" s="15"/>
      <c r="AC24" s="15"/>
      <c r="AD24" s="15"/>
      <c r="AE24" s="16">
        <v>44569</v>
      </c>
      <c r="AF24" s="179" t="s">
        <v>91</v>
      </c>
      <c r="AG24" t="str">
        <f>VLOOKUP(OfficeForms.Table[[#This Row],[Nama Proyek]],'Nama Proyek'!$D$2:$G$29,4,0)</f>
        <v>-7.82225167,113.29968319</v>
      </c>
      <c r="AH24" s="5"/>
      <c r="AI24" s="5"/>
      <c r="AJ24" s="5"/>
      <c r="AK24" s="5" t="s">
        <v>92</v>
      </c>
    </row>
    <row r="25" spans="1:37" hidden="1">
      <c r="A25" s="31">
        <v>257</v>
      </c>
      <c r="B25" s="110">
        <v>44600</v>
      </c>
      <c r="C25" s="28">
        <f>B25</f>
        <v>44600</v>
      </c>
      <c r="D25" s="19" t="s">
        <v>37</v>
      </c>
      <c r="E25" s="19" t="s">
        <v>82</v>
      </c>
      <c r="F25" s="5" t="str">
        <f>E25</f>
        <v>Ajik Prastiyo</v>
      </c>
      <c r="G25" s="38" t="s">
        <v>80</v>
      </c>
      <c r="H25" s="106"/>
      <c r="I25" s="96">
        <v>0</v>
      </c>
      <c r="J25" s="96">
        <v>0</v>
      </c>
      <c r="K25" s="96">
        <v>0</v>
      </c>
      <c r="L25" s="96">
        <v>0</v>
      </c>
      <c r="M25" s="96">
        <v>0</v>
      </c>
      <c r="N25" s="96">
        <v>0</v>
      </c>
      <c r="O25" s="96">
        <v>0</v>
      </c>
      <c r="P25" s="96">
        <v>0</v>
      </c>
      <c r="Q25" s="96">
        <v>0</v>
      </c>
      <c r="R25" s="96">
        <v>0</v>
      </c>
      <c r="S25" s="96">
        <v>0</v>
      </c>
      <c r="T25" s="96">
        <v>0</v>
      </c>
      <c r="U25" s="96">
        <v>0</v>
      </c>
      <c r="V25" s="96">
        <v>0</v>
      </c>
      <c r="W25" s="96">
        <v>0</v>
      </c>
      <c r="X25" s="96">
        <v>0</v>
      </c>
      <c r="Y25" s="96">
        <v>0</v>
      </c>
      <c r="Z25" s="96"/>
      <c r="AA25" s="19"/>
      <c r="AB25" s="19"/>
      <c r="AC25" s="19"/>
      <c r="AD25" s="19"/>
      <c r="AE25" s="13" t="s">
        <v>93</v>
      </c>
      <c r="AF25" s="181"/>
      <c r="AG25" t="str">
        <f>VLOOKUP(OfficeForms.Table[[#This Row],[Nama Proyek]],'Nama Proyek'!$D$2:$G$29,4,0)</f>
        <v>-7.82225167,113.29968319</v>
      </c>
      <c r="AH25" s="5"/>
      <c r="AI25" s="5"/>
      <c r="AJ25" s="5"/>
      <c r="AK25" s="5" t="s">
        <v>94</v>
      </c>
    </row>
    <row r="26" spans="1:37" ht="16.5" hidden="1" customHeight="1">
      <c r="A26">
        <v>260</v>
      </c>
      <c r="B26" s="111">
        <v>44600</v>
      </c>
      <c r="C26" s="29">
        <f>B26</f>
        <v>44600</v>
      </c>
      <c r="D26" s="8" t="s">
        <v>37</v>
      </c>
      <c r="E26" s="8" t="s">
        <v>85</v>
      </c>
      <c r="F26" s="5" t="str">
        <f>E26</f>
        <v>Nungki Herdiana</v>
      </c>
      <c r="G26" s="9" t="s">
        <v>86</v>
      </c>
      <c r="H26" s="104"/>
      <c r="I26" s="95">
        <v>0</v>
      </c>
      <c r="J26" s="95">
        <v>0</v>
      </c>
      <c r="K26" s="95">
        <v>0</v>
      </c>
      <c r="L26" s="95">
        <v>0</v>
      </c>
      <c r="M26" s="95">
        <v>0</v>
      </c>
      <c r="N26" s="95">
        <v>0</v>
      </c>
      <c r="O26" s="95">
        <v>0</v>
      </c>
      <c r="P26" s="95">
        <v>0</v>
      </c>
      <c r="Q26" s="95">
        <v>0</v>
      </c>
      <c r="R26" s="95">
        <v>0</v>
      </c>
      <c r="S26" s="95">
        <v>0</v>
      </c>
      <c r="T26" s="95">
        <v>0</v>
      </c>
      <c r="U26" s="95">
        <v>0</v>
      </c>
      <c r="V26" s="95">
        <v>0</v>
      </c>
      <c r="W26" s="95">
        <v>0</v>
      </c>
      <c r="X26" s="95">
        <v>0</v>
      </c>
      <c r="Y26" s="95">
        <v>0</v>
      </c>
      <c r="Z26" s="95"/>
      <c r="AA26" s="8"/>
      <c r="AB26" s="8"/>
      <c r="AC26" s="8"/>
      <c r="AD26" s="8"/>
      <c r="AE26" s="11">
        <v>44600</v>
      </c>
      <c r="AF26" s="179" t="s">
        <v>95</v>
      </c>
      <c r="AG26" t="e">
        <f>VLOOKUP(OfficeForms.Table[[#This Row],[Nama Proyek]],'Nama Proyek'!$D$2:$G$29,4,0)</f>
        <v>#N/A</v>
      </c>
      <c r="AH26" s="5"/>
      <c r="AI26" s="5"/>
      <c r="AJ26" s="5"/>
      <c r="AK26" s="5" t="s">
        <v>96</v>
      </c>
    </row>
    <row r="27" spans="1:37" ht="16.5" hidden="1" customHeight="1">
      <c r="A27" s="50">
        <v>261</v>
      </c>
      <c r="B27" s="110">
        <v>44600</v>
      </c>
      <c r="C27" s="28">
        <f>B27</f>
        <v>44600</v>
      </c>
      <c r="D27" s="19" t="s">
        <v>37</v>
      </c>
      <c r="E27" s="19" t="s">
        <v>85</v>
      </c>
      <c r="F27" s="5" t="str">
        <f>E27</f>
        <v>Nungki Herdiana</v>
      </c>
      <c r="G27" s="19" t="s">
        <v>86</v>
      </c>
      <c r="H27" s="106"/>
      <c r="I27" s="96">
        <v>0</v>
      </c>
      <c r="J27" s="96">
        <v>0</v>
      </c>
      <c r="K27" s="96">
        <v>0</v>
      </c>
      <c r="L27" s="96">
        <v>0</v>
      </c>
      <c r="M27" s="96">
        <v>0</v>
      </c>
      <c r="N27" s="96">
        <v>0</v>
      </c>
      <c r="O27" s="96">
        <v>0</v>
      </c>
      <c r="P27" s="96">
        <v>0</v>
      </c>
      <c r="Q27" s="96">
        <v>0</v>
      </c>
      <c r="R27" s="96">
        <v>0</v>
      </c>
      <c r="S27" s="96">
        <v>0</v>
      </c>
      <c r="T27" s="96">
        <v>0</v>
      </c>
      <c r="U27" s="96">
        <v>0</v>
      </c>
      <c r="V27" s="96">
        <v>0</v>
      </c>
      <c r="W27" s="96">
        <v>0</v>
      </c>
      <c r="X27" s="96">
        <v>0</v>
      </c>
      <c r="Y27" s="96">
        <v>0</v>
      </c>
      <c r="Z27" s="96"/>
      <c r="AA27" s="19"/>
      <c r="AB27" s="19"/>
      <c r="AC27" s="19"/>
      <c r="AD27" s="19"/>
      <c r="AE27" s="13">
        <v>44600</v>
      </c>
      <c r="AF27" s="178" t="s">
        <v>97</v>
      </c>
      <c r="AG27" t="e">
        <f>VLOOKUP(OfficeForms.Table[[#This Row],[Nama Proyek]],'Nama Proyek'!$D$2:$G$29,4,0)</f>
        <v>#N/A</v>
      </c>
      <c r="AH27" s="5"/>
      <c r="AI27" s="5"/>
      <c r="AJ27" s="5"/>
      <c r="AK27" s="5" t="s">
        <v>98</v>
      </c>
    </row>
    <row r="28" spans="1:37" ht="16.5" hidden="1" customHeight="1">
      <c r="A28" s="31">
        <v>262</v>
      </c>
      <c r="B28" s="111">
        <v>44600</v>
      </c>
      <c r="C28" s="29">
        <f>B28</f>
        <v>44600</v>
      </c>
      <c r="D28" s="8" t="s">
        <v>37</v>
      </c>
      <c r="E28" s="8" t="s">
        <v>85</v>
      </c>
      <c r="F28" s="5" t="str">
        <f>E28</f>
        <v>Nungki Herdiana</v>
      </c>
      <c r="G28" s="9" t="s">
        <v>86</v>
      </c>
      <c r="H28" s="104"/>
      <c r="I28" s="95">
        <v>0</v>
      </c>
      <c r="J28" s="95">
        <v>0</v>
      </c>
      <c r="K28" s="95">
        <v>0</v>
      </c>
      <c r="L28" s="95">
        <v>0</v>
      </c>
      <c r="M28" s="95">
        <v>0</v>
      </c>
      <c r="N28" s="95">
        <v>0</v>
      </c>
      <c r="O28" s="95">
        <v>0</v>
      </c>
      <c r="P28" s="95">
        <v>0</v>
      </c>
      <c r="Q28" s="95">
        <v>0</v>
      </c>
      <c r="R28" s="95">
        <v>0</v>
      </c>
      <c r="S28" s="95">
        <v>0</v>
      </c>
      <c r="T28" s="95">
        <v>0</v>
      </c>
      <c r="U28" s="95">
        <v>0</v>
      </c>
      <c r="V28" s="95">
        <v>0</v>
      </c>
      <c r="W28" s="95">
        <v>0</v>
      </c>
      <c r="X28" s="95">
        <v>0</v>
      </c>
      <c r="Y28" s="95">
        <v>0</v>
      </c>
      <c r="Z28" s="95"/>
      <c r="AA28" s="8"/>
      <c r="AB28" s="8"/>
      <c r="AC28" s="8"/>
      <c r="AD28" s="8"/>
      <c r="AE28" s="11">
        <v>44600</v>
      </c>
      <c r="AF28" s="179" t="s">
        <v>99</v>
      </c>
      <c r="AG28" t="e">
        <f>VLOOKUP(OfficeForms.Table[[#This Row],[Nama Proyek]],'Nama Proyek'!$D$2:$G$29,4,0)</f>
        <v>#N/A</v>
      </c>
      <c r="AH28" s="5"/>
      <c r="AI28" s="5"/>
      <c r="AJ28" s="5"/>
      <c r="AK28" s="5" t="s">
        <v>100</v>
      </c>
    </row>
    <row r="29" spans="1:37" ht="15" hidden="1" customHeight="1">
      <c r="A29" s="30">
        <v>263</v>
      </c>
      <c r="B29" s="110">
        <v>44600</v>
      </c>
      <c r="C29" s="28">
        <f>B29</f>
        <v>44600</v>
      </c>
      <c r="D29" s="19" t="s">
        <v>37</v>
      </c>
      <c r="E29" s="19" t="s">
        <v>85</v>
      </c>
      <c r="F29" s="5" t="str">
        <f>E29</f>
        <v>Nungki Herdiana</v>
      </c>
      <c r="G29" s="19" t="s">
        <v>86</v>
      </c>
      <c r="H29" s="106"/>
      <c r="I29" s="96">
        <v>0</v>
      </c>
      <c r="J29" s="96">
        <v>0</v>
      </c>
      <c r="K29" s="96">
        <v>0</v>
      </c>
      <c r="L29" s="96">
        <v>0</v>
      </c>
      <c r="M29" s="96">
        <v>0</v>
      </c>
      <c r="N29" s="96">
        <v>0</v>
      </c>
      <c r="O29" s="96">
        <v>0</v>
      </c>
      <c r="P29" s="96">
        <v>0</v>
      </c>
      <c r="Q29" s="96">
        <v>0</v>
      </c>
      <c r="R29" s="96">
        <v>0</v>
      </c>
      <c r="S29" s="96">
        <v>0</v>
      </c>
      <c r="T29" s="96">
        <v>0</v>
      </c>
      <c r="U29" s="96">
        <v>0</v>
      </c>
      <c r="V29" s="96">
        <v>0</v>
      </c>
      <c r="W29" s="96">
        <v>0</v>
      </c>
      <c r="X29" s="96">
        <v>0</v>
      </c>
      <c r="Y29" s="96">
        <v>0</v>
      </c>
      <c r="Z29" s="96"/>
      <c r="AA29" s="19"/>
      <c r="AB29" s="42"/>
      <c r="AC29" s="19"/>
      <c r="AD29" s="42"/>
      <c r="AE29" s="13">
        <v>44600</v>
      </c>
      <c r="AF29" s="178" t="s">
        <v>101</v>
      </c>
      <c r="AG29" t="e">
        <f>VLOOKUP(OfficeForms.Table[[#This Row],[Nama Proyek]],'Nama Proyek'!$D$2:$G$29,4,0)</f>
        <v>#N/A</v>
      </c>
      <c r="AH29" s="5"/>
      <c r="AI29" s="5"/>
      <c r="AJ29" s="5"/>
      <c r="AK29" s="5" t="s">
        <v>102</v>
      </c>
    </row>
    <row r="30" spans="1:37" ht="15" hidden="1" customHeight="1">
      <c r="A30" s="31">
        <v>264</v>
      </c>
      <c r="B30" s="111">
        <v>44600</v>
      </c>
      <c r="C30" s="29">
        <f>B30</f>
        <v>44600</v>
      </c>
      <c r="D30" s="8" t="s">
        <v>37</v>
      </c>
      <c r="E30" s="8" t="s">
        <v>85</v>
      </c>
      <c r="F30" s="5" t="str">
        <f>E30</f>
        <v>Nungki Herdiana</v>
      </c>
      <c r="G30" s="9" t="s">
        <v>86</v>
      </c>
      <c r="H30" s="104"/>
      <c r="I30" s="95">
        <v>0</v>
      </c>
      <c r="J30" s="95">
        <v>0</v>
      </c>
      <c r="K30" s="95">
        <v>0</v>
      </c>
      <c r="L30" s="95">
        <v>0</v>
      </c>
      <c r="M30" s="95">
        <v>0</v>
      </c>
      <c r="N30" s="95">
        <v>0</v>
      </c>
      <c r="O30" s="95">
        <v>0</v>
      </c>
      <c r="P30" s="95">
        <v>0</v>
      </c>
      <c r="Q30" s="95">
        <v>0</v>
      </c>
      <c r="R30" s="95">
        <v>0</v>
      </c>
      <c r="S30" s="95">
        <v>0</v>
      </c>
      <c r="T30" s="95">
        <v>0</v>
      </c>
      <c r="U30" s="95">
        <v>0</v>
      </c>
      <c r="V30" s="95">
        <v>0</v>
      </c>
      <c r="W30" s="95">
        <v>0</v>
      </c>
      <c r="X30" s="95">
        <v>0</v>
      </c>
      <c r="Y30" s="95">
        <v>0</v>
      </c>
      <c r="Z30" s="95"/>
      <c r="AA30" s="8"/>
      <c r="AB30" s="8"/>
      <c r="AC30" s="8"/>
      <c r="AD30" s="8"/>
      <c r="AE30" s="11">
        <v>44600</v>
      </c>
      <c r="AF30" s="179"/>
      <c r="AG30" t="e">
        <f>VLOOKUP(OfficeForms.Table[[#This Row],[Nama Proyek]],'Nama Proyek'!$D$2:$G$29,4,0)</f>
        <v>#N/A</v>
      </c>
      <c r="AH30" s="5"/>
      <c r="AI30" s="5"/>
      <c r="AJ30" s="5"/>
      <c r="AK30" s="5" t="s">
        <v>103</v>
      </c>
    </row>
    <row r="31" spans="1:37" ht="15" hidden="1" customHeight="1">
      <c r="A31">
        <v>477</v>
      </c>
      <c r="B31" s="110">
        <v>44600</v>
      </c>
      <c r="C31" s="28">
        <f>B31</f>
        <v>44600</v>
      </c>
      <c r="D31" s="8" t="s">
        <v>37</v>
      </c>
      <c r="E31" s="8" t="s">
        <v>54</v>
      </c>
      <c r="F31" s="5" t="str">
        <f>E31</f>
        <v>Haryo Widiandoko</v>
      </c>
      <c r="G31" s="19" t="s">
        <v>55</v>
      </c>
      <c r="H31" s="106"/>
      <c r="I31" s="95">
        <v>0</v>
      </c>
      <c r="J31" s="95">
        <v>0</v>
      </c>
      <c r="K31" s="95">
        <v>0</v>
      </c>
      <c r="L31" s="95">
        <v>0</v>
      </c>
      <c r="M31" s="95">
        <v>0</v>
      </c>
      <c r="N31" s="95">
        <v>0</v>
      </c>
      <c r="O31" s="95">
        <v>0</v>
      </c>
      <c r="P31" s="95">
        <v>0</v>
      </c>
      <c r="Q31" s="95">
        <v>0</v>
      </c>
      <c r="R31" s="95">
        <v>0</v>
      </c>
      <c r="S31" s="95">
        <v>0</v>
      </c>
      <c r="T31" s="95">
        <v>0</v>
      </c>
      <c r="U31" s="95">
        <v>0</v>
      </c>
      <c r="V31" s="95">
        <v>0</v>
      </c>
      <c r="W31" s="95">
        <v>0</v>
      </c>
      <c r="X31" s="95">
        <v>0</v>
      </c>
      <c r="Y31" s="95">
        <v>0</v>
      </c>
      <c r="Z31" s="95"/>
      <c r="AA31" s="8" t="s">
        <v>104</v>
      </c>
      <c r="AB31" s="8" t="s">
        <v>105</v>
      </c>
      <c r="AC31" s="15" t="s">
        <v>106</v>
      </c>
      <c r="AD31" s="15" t="s">
        <v>107</v>
      </c>
      <c r="AE31" s="11"/>
      <c r="AF31" s="15"/>
      <c r="AG31" t="str">
        <f>VLOOKUP(OfficeForms.Table[[#This Row],[Nama Proyek]],'Nama Proyek'!$D$2:$G$29,4,0)</f>
        <v>-6.42873464,107.19897003</v>
      </c>
      <c r="AH31" s="5"/>
      <c r="AI31" s="5"/>
      <c r="AJ31" s="5"/>
      <c r="AK31" s="5" t="s">
        <v>108</v>
      </c>
    </row>
    <row r="32" spans="1:37" ht="15" hidden="1" customHeight="1">
      <c r="A32">
        <v>867</v>
      </c>
      <c r="B32" s="110">
        <v>44603</v>
      </c>
      <c r="C32" s="28">
        <f>B32</f>
        <v>44603</v>
      </c>
      <c r="D32" s="8" t="s">
        <v>37</v>
      </c>
      <c r="E32" s="8" t="s">
        <v>109</v>
      </c>
      <c r="F32" s="5" t="str">
        <f>E32</f>
        <v>Muhamad Saifudin Ashari</v>
      </c>
      <c r="G32" s="19" t="s">
        <v>39</v>
      </c>
      <c r="H32" s="105">
        <v>44834</v>
      </c>
      <c r="I32" s="95">
        <v>87.596999999999994</v>
      </c>
      <c r="J32" s="95">
        <v>89.257000000000005</v>
      </c>
      <c r="K32" s="95">
        <v>0.98499999999999999</v>
      </c>
      <c r="L32" s="95">
        <v>0.878</v>
      </c>
      <c r="M32" s="95">
        <v>0.95899999999999996</v>
      </c>
      <c r="N32" s="95">
        <v>0.98199999999999998</v>
      </c>
      <c r="O32" s="95">
        <v>0.629</v>
      </c>
      <c r="P32" s="95">
        <v>0.81799999999999995</v>
      </c>
      <c r="Q32" s="95">
        <v>0.82199999999999995</v>
      </c>
      <c r="R32" s="95">
        <v>0.67700000000000005</v>
      </c>
      <c r="S32" s="95">
        <v>0.94599999999999995</v>
      </c>
      <c r="T32" s="95">
        <v>0.82599999999999996</v>
      </c>
      <c r="U32" s="95">
        <v>0.51</v>
      </c>
      <c r="V32" s="95">
        <v>0</v>
      </c>
      <c r="W32" s="95">
        <v>0</v>
      </c>
      <c r="X32" s="95">
        <v>0.32</v>
      </c>
      <c r="Y32" s="95">
        <v>0</v>
      </c>
      <c r="Z32" s="95"/>
      <c r="AA32" s="8"/>
      <c r="AB32" s="8"/>
      <c r="AC32" s="8"/>
      <c r="AD32" s="8"/>
      <c r="AE32" s="16"/>
      <c r="AF32" s="17"/>
      <c r="AG32" t="str">
        <f>VLOOKUP(OfficeForms.Table[[#This Row],[Nama Proyek]],'Nama Proyek'!$D$2:$G$29,4,0)</f>
        <v>-6.80675464,106.785366</v>
      </c>
      <c r="AH32" s="5"/>
      <c r="AI32" s="5"/>
      <c r="AJ32" s="5"/>
      <c r="AK32" s="5" t="s">
        <v>110</v>
      </c>
    </row>
    <row r="33" spans="1:37" ht="15" hidden="1" customHeight="1">
      <c r="A33" s="31">
        <v>367</v>
      </c>
      <c r="B33" s="110">
        <v>44603</v>
      </c>
      <c r="C33" s="28">
        <f>B33</f>
        <v>44603</v>
      </c>
      <c r="D33" s="19" t="s">
        <v>37</v>
      </c>
      <c r="E33" s="19" t="s">
        <v>85</v>
      </c>
      <c r="F33" s="5" t="str">
        <f>E33</f>
        <v>Nungki Herdiana</v>
      </c>
      <c r="G33" s="42" t="s">
        <v>86</v>
      </c>
      <c r="H33" s="106">
        <v>44854</v>
      </c>
      <c r="I33" s="96">
        <v>100</v>
      </c>
      <c r="J33" s="96">
        <v>100</v>
      </c>
      <c r="K33" s="96">
        <v>100</v>
      </c>
      <c r="L33" s="96">
        <v>100</v>
      </c>
      <c r="M33" s="96">
        <v>100</v>
      </c>
      <c r="N33" s="96">
        <v>100</v>
      </c>
      <c r="O33" s="96">
        <v>100</v>
      </c>
      <c r="P33" s="96">
        <v>100</v>
      </c>
      <c r="Q33" s="96">
        <v>100</v>
      </c>
      <c r="R33" s="96">
        <v>0</v>
      </c>
      <c r="S33" s="96">
        <v>100</v>
      </c>
      <c r="T33" s="96">
        <v>0</v>
      </c>
      <c r="U33" s="96">
        <v>0</v>
      </c>
      <c r="V33" s="96">
        <v>0</v>
      </c>
      <c r="W33" s="96">
        <v>0</v>
      </c>
      <c r="X33" s="96">
        <v>0</v>
      </c>
      <c r="Y33" s="96">
        <v>0</v>
      </c>
      <c r="Z33" s="96"/>
      <c r="AA33" s="19"/>
      <c r="AB33" s="19"/>
      <c r="AC33" s="19"/>
      <c r="AD33" s="19"/>
      <c r="AE33" s="24"/>
      <c r="AF33" s="178" t="s">
        <v>111</v>
      </c>
      <c r="AG33" t="e">
        <f>VLOOKUP(OfficeForms.Table[[#This Row],[Nama Proyek]],'Nama Proyek'!$D$2:$G$29,4,0)</f>
        <v>#N/A</v>
      </c>
      <c r="AH33" s="5"/>
      <c r="AI33" s="5"/>
      <c r="AJ33" s="5"/>
      <c r="AK33" s="5" t="s">
        <v>112</v>
      </c>
    </row>
    <row r="34" spans="1:37" ht="15" hidden="1" customHeight="1">
      <c r="A34" s="31">
        <v>203</v>
      </c>
      <c r="B34" s="110">
        <v>44603</v>
      </c>
      <c r="C34" s="28">
        <f>B34</f>
        <v>44603</v>
      </c>
      <c r="D34" s="8" t="s">
        <v>37</v>
      </c>
      <c r="E34" s="8" t="s">
        <v>54</v>
      </c>
      <c r="F34" s="5" t="str">
        <f>E34</f>
        <v>Haryo Widiandoko</v>
      </c>
      <c r="G34" s="42" t="s">
        <v>55</v>
      </c>
      <c r="H34" s="105">
        <v>44862</v>
      </c>
      <c r="I34" s="95">
        <v>84.578000000000003</v>
      </c>
      <c r="J34" s="95">
        <v>85.968999999999994</v>
      </c>
      <c r="K34" s="95">
        <v>27.49</v>
      </c>
      <c r="L34" s="95">
        <v>76.97</v>
      </c>
      <c r="M34" s="95">
        <v>84.51</v>
      </c>
      <c r="N34" s="95">
        <v>87.07</v>
      </c>
      <c r="O34" s="95">
        <v>43.52</v>
      </c>
      <c r="P34" s="95">
        <v>68.16</v>
      </c>
      <c r="Q34" s="95">
        <v>83.55</v>
      </c>
      <c r="R34" s="95">
        <v>81.3</v>
      </c>
      <c r="S34" s="95">
        <v>103.41</v>
      </c>
      <c r="T34" s="95">
        <v>0</v>
      </c>
      <c r="U34" s="95">
        <v>31.76</v>
      </c>
      <c r="V34" s="95">
        <v>6.3</v>
      </c>
      <c r="W34" s="95">
        <v>0</v>
      </c>
      <c r="X34" s="95">
        <v>78.489999999999995</v>
      </c>
      <c r="Y34" s="95">
        <v>0</v>
      </c>
      <c r="Z34" s="95"/>
      <c r="AA34" s="8"/>
      <c r="AB34" s="8"/>
      <c r="AC34" s="8"/>
      <c r="AD34" s="8"/>
      <c r="AE34" s="11"/>
      <c r="AF34" s="181"/>
      <c r="AG34" t="str">
        <f>VLOOKUP(OfficeForms.Table[[#This Row],[Nama Proyek]],'Nama Proyek'!$D$2:$G$29,4,0)</f>
        <v>-6.42873464,107.19897003</v>
      </c>
      <c r="AH34" s="5"/>
      <c r="AI34" s="5"/>
      <c r="AJ34" s="5"/>
      <c r="AK34" s="5" t="s">
        <v>113</v>
      </c>
    </row>
    <row r="35" spans="1:37" ht="15" hidden="1" customHeight="1">
      <c r="A35" s="30">
        <v>248</v>
      </c>
      <c r="B35" s="111">
        <v>44603</v>
      </c>
      <c r="C35" s="29">
        <f>B35</f>
        <v>44603</v>
      </c>
      <c r="D35" s="8" t="s">
        <v>37</v>
      </c>
      <c r="E35" s="8" t="s">
        <v>109</v>
      </c>
      <c r="F35" s="5" t="s">
        <v>109</v>
      </c>
      <c r="G35" s="17" t="s">
        <v>39</v>
      </c>
      <c r="H35" s="104"/>
      <c r="I35" s="95">
        <v>0</v>
      </c>
      <c r="J35" s="95">
        <v>0</v>
      </c>
      <c r="K35" s="95">
        <v>0</v>
      </c>
      <c r="L35" s="95">
        <v>0</v>
      </c>
      <c r="M35" s="95">
        <v>0</v>
      </c>
      <c r="N35" s="95">
        <v>0</v>
      </c>
      <c r="O35" s="95">
        <v>0</v>
      </c>
      <c r="P35" s="95">
        <v>0</v>
      </c>
      <c r="Q35" s="95">
        <v>0</v>
      </c>
      <c r="R35" s="95">
        <v>0</v>
      </c>
      <c r="S35" s="95">
        <v>0</v>
      </c>
      <c r="T35" s="95">
        <v>0</v>
      </c>
      <c r="U35" s="95">
        <v>0</v>
      </c>
      <c r="V35" s="95">
        <v>0</v>
      </c>
      <c r="W35" s="95">
        <v>0</v>
      </c>
      <c r="X35" s="95">
        <v>0</v>
      </c>
      <c r="Y35" s="95">
        <v>0</v>
      </c>
      <c r="Z35" s="95"/>
      <c r="AA35" s="8"/>
      <c r="AB35" s="15"/>
      <c r="AC35" s="8"/>
      <c r="AD35" s="15"/>
      <c r="AE35" s="11" t="s">
        <v>114</v>
      </c>
      <c r="AF35" s="178" t="s">
        <v>115</v>
      </c>
      <c r="AG35" t="str">
        <f>VLOOKUP(OfficeForms.Table[[#This Row],[Nama Proyek]],'Nama Proyek'!$D$2:$G$29,4,0)</f>
        <v>-6.80675464,106.785366</v>
      </c>
      <c r="AH35" s="5"/>
      <c r="AI35" s="5"/>
      <c r="AJ35" s="5"/>
      <c r="AK35" s="5" t="s">
        <v>116</v>
      </c>
    </row>
    <row r="36" spans="1:37" ht="15" hidden="1" customHeight="1">
      <c r="A36" s="50">
        <v>368</v>
      </c>
      <c r="B36" s="111">
        <v>44603</v>
      </c>
      <c r="C36" s="29">
        <f>B36</f>
        <v>44603</v>
      </c>
      <c r="D36" s="8" t="s">
        <v>37</v>
      </c>
      <c r="E36" s="8" t="s">
        <v>85</v>
      </c>
      <c r="F36" s="5" t="str">
        <f>E36</f>
        <v>Nungki Herdiana</v>
      </c>
      <c r="G36" s="17" t="s">
        <v>86</v>
      </c>
      <c r="H36" s="104"/>
      <c r="I36" s="95">
        <v>0</v>
      </c>
      <c r="J36" s="95">
        <v>0</v>
      </c>
      <c r="K36" s="95">
        <v>0</v>
      </c>
      <c r="L36" s="95">
        <v>0</v>
      </c>
      <c r="M36" s="95">
        <v>0</v>
      </c>
      <c r="N36" s="95">
        <v>0</v>
      </c>
      <c r="O36" s="95">
        <v>0</v>
      </c>
      <c r="P36" s="95">
        <v>0</v>
      </c>
      <c r="Q36" s="95">
        <v>0</v>
      </c>
      <c r="R36" s="95">
        <v>0</v>
      </c>
      <c r="S36" s="95">
        <v>0</v>
      </c>
      <c r="T36" s="95">
        <v>0</v>
      </c>
      <c r="U36" s="95">
        <v>0</v>
      </c>
      <c r="V36" s="95">
        <v>0</v>
      </c>
      <c r="W36" s="95">
        <v>0</v>
      </c>
      <c r="X36" s="95">
        <v>0</v>
      </c>
      <c r="Y36" s="95">
        <v>0</v>
      </c>
      <c r="Z36" s="95"/>
      <c r="AA36" s="8"/>
      <c r="AB36" s="8"/>
      <c r="AC36" s="8"/>
      <c r="AD36" s="8"/>
      <c r="AE36" s="11" t="s">
        <v>117</v>
      </c>
      <c r="AF36" s="179" t="s">
        <v>118</v>
      </c>
      <c r="AG36" t="e">
        <f>VLOOKUP(OfficeForms.Table[[#This Row],[Nama Proyek]],'Nama Proyek'!$D$2:$G$29,4,0)</f>
        <v>#N/A</v>
      </c>
      <c r="AH36" s="5"/>
      <c r="AI36" s="5"/>
      <c r="AJ36" s="5"/>
      <c r="AK36" s="5" t="s">
        <v>119</v>
      </c>
    </row>
    <row r="37" spans="1:37" ht="15" hidden="1" customHeight="1">
      <c r="A37">
        <v>369</v>
      </c>
      <c r="B37" s="110">
        <v>44603</v>
      </c>
      <c r="C37" s="28">
        <f>B37</f>
        <v>44603</v>
      </c>
      <c r="D37" s="19" t="s">
        <v>37</v>
      </c>
      <c r="E37" s="19" t="s">
        <v>85</v>
      </c>
      <c r="F37" s="5" t="str">
        <f>E37</f>
        <v>Nungki Herdiana</v>
      </c>
      <c r="G37" s="19" t="s">
        <v>86</v>
      </c>
      <c r="H37" s="106"/>
      <c r="I37" s="96">
        <v>0</v>
      </c>
      <c r="J37" s="96">
        <v>0</v>
      </c>
      <c r="K37" s="96">
        <v>0</v>
      </c>
      <c r="L37" s="96">
        <v>0</v>
      </c>
      <c r="M37" s="96">
        <v>0</v>
      </c>
      <c r="N37" s="96">
        <v>0</v>
      </c>
      <c r="O37" s="96">
        <v>0</v>
      </c>
      <c r="P37" s="96">
        <v>0</v>
      </c>
      <c r="Q37" s="96">
        <v>0</v>
      </c>
      <c r="R37" s="96">
        <v>0</v>
      </c>
      <c r="S37" s="96">
        <v>0</v>
      </c>
      <c r="T37" s="96">
        <v>0</v>
      </c>
      <c r="U37" s="96">
        <v>0</v>
      </c>
      <c r="V37" s="96">
        <v>0</v>
      </c>
      <c r="W37" s="96">
        <v>0</v>
      </c>
      <c r="X37" s="96">
        <v>0</v>
      </c>
      <c r="Y37" s="96">
        <v>0</v>
      </c>
      <c r="Z37" s="96"/>
      <c r="AA37" s="19"/>
      <c r="AB37" s="19"/>
      <c r="AC37" s="19"/>
      <c r="AD37" s="19"/>
      <c r="AE37" s="13" t="s">
        <v>117</v>
      </c>
      <c r="AF37" s="178" t="s">
        <v>120</v>
      </c>
      <c r="AG37" t="e">
        <f>VLOOKUP(OfficeForms.Table[[#This Row],[Nama Proyek]],'Nama Proyek'!$D$2:$G$29,4,0)</f>
        <v>#N/A</v>
      </c>
      <c r="AH37" s="5"/>
      <c r="AI37" s="5"/>
      <c r="AJ37" s="5"/>
      <c r="AK37" s="5" t="s">
        <v>121</v>
      </c>
    </row>
    <row r="38" spans="1:37" ht="15" hidden="1" customHeight="1">
      <c r="A38" s="30">
        <v>371</v>
      </c>
      <c r="B38" s="110">
        <v>44603</v>
      </c>
      <c r="C38" s="28">
        <f>B38</f>
        <v>44603</v>
      </c>
      <c r="D38" s="19" t="s">
        <v>37</v>
      </c>
      <c r="E38" s="19" t="s">
        <v>122</v>
      </c>
      <c r="F38" s="5" t="str">
        <f>E38</f>
        <v>YECKASTORO JANUWISESA</v>
      </c>
      <c r="G38" s="42" t="s">
        <v>86</v>
      </c>
      <c r="H38" s="106"/>
      <c r="I38" s="96">
        <v>0</v>
      </c>
      <c r="J38" s="96">
        <v>0</v>
      </c>
      <c r="K38" s="96">
        <v>0</v>
      </c>
      <c r="L38" s="96">
        <v>0</v>
      </c>
      <c r="M38" s="96">
        <v>0</v>
      </c>
      <c r="N38" s="96">
        <v>0</v>
      </c>
      <c r="O38" s="96">
        <v>0</v>
      </c>
      <c r="P38" s="96">
        <v>0</v>
      </c>
      <c r="Q38" s="96">
        <v>0</v>
      </c>
      <c r="R38" s="96">
        <v>0</v>
      </c>
      <c r="S38" s="96">
        <v>0</v>
      </c>
      <c r="T38" s="96">
        <v>0</v>
      </c>
      <c r="U38" s="96">
        <v>0</v>
      </c>
      <c r="V38" s="96">
        <v>0</v>
      </c>
      <c r="W38" s="96">
        <v>0</v>
      </c>
      <c r="X38" s="96">
        <v>0</v>
      </c>
      <c r="Y38" s="96">
        <v>0</v>
      </c>
      <c r="Z38" s="96"/>
      <c r="AA38" s="19" t="s">
        <v>123</v>
      </c>
      <c r="AB38" s="19"/>
      <c r="AC38" s="19"/>
      <c r="AD38" s="19"/>
      <c r="AE38" s="13" t="e" vm="1">
        <f>[1]!OfficeForms.Table[[#This Row],[Waktu selesai]]</f>
        <v>#REF!</v>
      </c>
      <c r="AF38" s="178" t="s">
        <v>124</v>
      </c>
      <c r="AG38" t="e">
        <f>VLOOKUP(OfficeForms.Table[[#This Row],[Nama Proyek]],'Nama Proyek'!$D$2:$G$29,4,0)</f>
        <v>#N/A</v>
      </c>
      <c r="AH38" s="5"/>
      <c r="AI38" s="5"/>
      <c r="AJ38" s="5"/>
      <c r="AK38" s="5" t="s">
        <v>125</v>
      </c>
    </row>
    <row r="39" spans="1:37" ht="15" hidden="1" customHeight="1">
      <c r="A39" s="30">
        <v>373</v>
      </c>
      <c r="B39" s="110">
        <v>44603</v>
      </c>
      <c r="C39" s="28">
        <f>B39</f>
        <v>44603</v>
      </c>
      <c r="D39" s="19" t="s">
        <v>37</v>
      </c>
      <c r="E39" s="19" t="s">
        <v>122</v>
      </c>
      <c r="F39" s="5" t="str">
        <f>E39</f>
        <v>YECKASTORO JANUWISESA</v>
      </c>
      <c r="G39" s="42" t="s">
        <v>86</v>
      </c>
      <c r="H39" s="106"/>
      <c r="I39" s="96">
        <v>0</v>
      </c>
      <c r="J39" s="96">
        <v>0</v>
      </c>
      <c r="K39" s="96">
        <v>0</v>
      </c>
      <c r="L39" s="96">
        <v>0</v>
      </c>
      <c r="M39" s="96">
        <v>0</v>
      </c>
      <c r="N39" s="96">
        <v>0</v>
      </c>
      <c r="O39" s="96">
        <v>0</v>
      </c>
      <c r="P39" s="96">
        <v>0</v>
      </c>
      <c r="Q39" s="96">
        <v>0</v>
      </c>
      <c r="R39" s="96">
        <v>0</v>
      </c>
      <c r="S39" s="96">
        <v>0</v>
      </c>
      <c r="T39" s="96">
        <v>0</v>
      </c>
      <c r="U39" s="96">
        <v>0</v>
      </c>
      <c r="V39" s="96">
        <v>0</v>
      </c>
      <c r="W39" s="96">
        <v>0</v>
      </c>
      <c r="X39" s="96">
        <v>0</v>
      </c>
      <c r="Y39" s="96">
        <v>0</v>
      </c>
      <c r="Z39" s="96"/>
      <c r="AA39" s="19" t="s">
        <v>123</v>
      </c>
      <c r="AB39" s="75" t="s">
        <v>126</v>
      </c>
      <c r="AC39" s="42"/>
      <c r="AD39" s="42"/>
      <c r="AE39" s="13" t="e" vm="1">
        <f>[1]!OfficeForms.Table[[#This Row],[Waktu selesai]]</f>
        <v>#REF!</v>
      </c>
      <c r="AF39" s="15"/>
      <c r="AG39" t="e">
        <f>VLOOKUP(OfficeForms.Table[[#This Row],[Nama Proyek]],'Nama Proyek'!$D$2:$G$29,4,0)</f>
        <v>#N/A</v>
      </c>
      <c r="AH39" s="5"/>
      <c r="AI39" s="5"/>
      <c r="AJ39" s="5"/>
      <c r="AK39" s="5" t="s">
        <v>127</v>
      </c>
    </row>
    <row r="40" spans="1:37" ht="15" hidden="1" customHeight="1">
      <c r="A40" s="30">
        <v>698</v>
      </c>
      <c r="B40" s="111">
        <v>44628</v>
      </c>
      <c r="C40" s="29">
        <f>B40</f>
        <v>44628</v>
      </c>
      <c r="D40" s="9" t="s">
        <v>37</v>
      </c>
      <c r="E40" s="9" t="s">
        <v>64</v>
      </c>
      <c r="F40" s="5" t="str">
        <f>E40</f>
        <v>Nizar Zulkarnain</v>
      </c>
      <c r="G40" s="17" t="s">
        <v>65</v>
      </c>
      <c r="H40" s="104">
        <v>44773</v>
      </c>
      <c r="I40" s="94">
        <v>70.426000000000002</v>
      </c>
      <c r="J40" s="94">
        <v>71.454999999999998</v>
      </c>
      <c r="K40" s="94">
        <v>58.12</v>
      </c>
      <c r="L40" s="94">
        <v>55.31</v>
      </c>
      <c r="M40" s="94">
        <v>80.94</v>
      </c>
      <c r="N40" s="94">
        <v>77.67</v>
      </c>
      <c r="O40" s="94">
        <v>44.5</v>
      </c>
      <c r="P40" s="94">
        <v>58</v>
      </c>
      <c r="Q40" s="94">
        <v>53.55</v>
      </c>
      <c r="R40" s="94">
        <v>47.27</v>
      </c>
      <c r="S40" s="94">
        <v>81.89</v>
      </c>
      <c r="T40" s="94">
        <v>79.88</v>
      </c>
      <c r="U40" s="94">
        <v>27.81</v>
      </c>
      <c r="V40" s="94">
        <v>10.74</v>
      </c>
      <c r="W40" s="94">
        <v>0</v>
      </c>
      <c r="X40" s="94">
        <v>98.36</v>
      </c>
      <c r="Y40" s="94">
        <v>4.0999999999999996</v>
      </c>
      <c r="Z40" s="94"/>
      <c r="AA40" s="9"/>
      <c r="AB40" s="9"/>
      <c r="AC40" s="9"/>
      <c r="AD40" s="17"/>
      <c r="AE40" s="18"/>
      <c r="AF40" s="26" t="s">
        <v>128</v>
      </c>
      <c r="AG40" t="str">
        <f>VLOOKUP(OfficeForms.Table[[#This Row],[Nama Proyek]],'Nama Proyek'!$D$2:$G$29,4,0)</f>
        <v>-6.35008011,107.02324233</v>
      </c>
      <c r="AH40" s="5"/>
      <c r="AI40" s="5"/>
      <c r="AJ40" s="5"/>
      <c r="AK40" s="5" t="s">
        <v>129</v>
      </c>
    </row>
    <row r="41" spans="1:37" ht="15" hidden="1" customHeight="1">
      <c r="A41" s="50">
        <v>187</v>
      </c>
      <c r="B41" s="110">
        <v>44628</v>
      </c>
      <c r="C41" s="28">
        <f>B41</f>
        <v>44628</v>
      </c>
      <c r="D41" s="8" t="s">
        <v>37</v>
      </c>
      <c r="E41" s="8" t="s">
        <v>64</v>
      </c>
      <c r="F41" s="5" t="str">
        <f>E41</f>
        <v>Nizar Zulkarnain</v>
      </c>
      <c r="G41" s="19" t="s">
        <v>65</v>
      </c>
      <c r="H41" s="106"/>
      <c r="I41" s="95">
        <v>0</v>
      </c>
      <c r="J41" s="95">
        <v>0</v>
      </c>
      <c r="K41" s="95">
        <v>0</v>
      </c>
      <c r="L41" s="95">
        <v>0</v>
      </c>
      <c r="M41" s="95">
        <v>0</v>
      </c>
      <c r="N41" s="95">
        <v>0</v>
      </c>
      <c r="O41" s="95">
        <v>0</v>
      </c>
      <c r="P41" s="95">
        <v>0</v>
      </c>
      <c r="Q41" s="95">
        <v>0</v>
      </c>
      <c r="R41" s="95">
        <v>0</v>
      </c>
      <c r="S41" s="95">
        <v>0</v>
      </c>
      <c r="T41" s="95">
        <v>0</v>
      </c>
      <c r="U41" s="95">
        <v>0</v>
      </c>
      <c r="V41" s="95">
        <v>0</v>
      </c>
      <c r="W41" s="95">
        <v>0</v>
      </c>
      <c r="X41" s="95">
        <v>0</v>
      </c>
      <c r="Y41" s="95">
        <v>0</v>
      </c>
      <c r="Z41" s="95"/>
      <c r="AA41" s="8"/>
      <c r="AB41" s="15"/>
      <c r="AC41" s="15"/>
      <c r="AD41" s="15"/>
      <c r="AE41" s="16" t="s">
        <v>130</v>
      </c>
      <c r="AF41" s="181"/>
      <c r="AG41" t="str">
        <f>VLOOKUP(OfficeForms.Table[[#This Row],[Nama Proyek]],'Nama Proyek'!$D$2:$G$29,4,0)</f>
        <v>-6.35008011,107.02324233</v>
      </c>
      <c r="AH41" s="5"/>
      <c r="AI41" s="5"/>
      <c r="AJ41" s="5"/>
      <c r="AK41" s="5" t="s">
        <v>131</v>
      </c>
    </row>
    <row r="42" spans="1:37" ht="15" hidden="1" customHeight="1">
      <c r="A42">
        <v>188</v>
      </c>
      <c r="B42" s="111">
        <v>44628</v>
      </c>
      <c r="C42" s="29">
        <f>B42</f>
        <v>44628</v>
      </c>
      <c r="D42" s="9" t="s">
        <v>37</v>
      </c>
      <c r="E42" s="9" t="s">
        <v>64</v>
      </c>
      <c r="F42" s="5" t="str">
        <f>E42</f>
        <v>Nizar Zulkarnain</v>
      </c>
      <c r="G42" s="9" t="s">
        <v>65</v>
      </c>
      <c r="H42" s="104"/>
      <c r="I42" s="94">
        <v>0</v>
      </c>
      <c r="J42" s="94">
        <v>0</v>
      </c>
      <c r="K42" s="94">
        <v>0</v>
      </c>
      <c r="L42" s="94">
        <v>0</v>
      </c>
      <c r="M42" s="94">
        <v>0</v>
      </c>
      <c r="N42" s="94">
        <v>0</v>
      </c>
      <c r="O42" s="94">
        <v>0</v>
      </c>
      <c r="P42" s="94">
        <v>0</v>
      </c>
      <c r="Q42" s="94">
        <v>0</v>
      </c>
      <c r="R42" s="94">
        <v>0</v>
      </c>
      <c r="S42" s="94">
        <v>0</v>
      </c>
      <c r="T42" s="94">
        <v>0</v>
      </c>
      <c r="U42" s="94">
        <v>0</v>
      </c>
      <c r="V42" s="94">
        <v>0</v>
      </c>
      <c r="W42" s="94">
        <v>0</v>
      </c>
      <c r="X42" s="94">
        <v>0</v>
      </c>
      <c r="Y42" s="94">
        <v>0</v>
      </c>
      <c r="Z42" s="94"/>
      <c r="AA42" s="9" t="s">
        <v>132</v>
      </c>
      <c r="AB42" s="9" t="s">
        <v>133</v>
      </c>
      <c r="AC42" s="9"/>
      <c r="AD42" s="9"/>
      <c r="AE42" s="12"/>
      <c r="AF42" s="178"/>
      <c r="AG42" t="str">
        <f>VLOOKUP(OfficeForms.Table[[#This Row],[Nama Proyek]],'Nama Proyek'!$D$2:$G$29,4,0)</f>
        <v>-6.35008011,107.02324233</v>
      </c>
      <c r="AH42" s="5"/>
      <c r="AI42" s="5"/>
      <c r="AJ42" s="5"/>
      <c r="AK42" s="5" t="s">
        <v>134</v>
      </c>
    </row>
    <row r="43" spans="1:37" ht="15" hidden="1" customHeight="1">
      <c r="A43" s="30">
        <v>866</v>
      </c>
      <c r="B43" s="111">
        <v>44630</v>
      </c>
      <c r="C43" s="29">
        <f>B43</f>
        <v>44630</v>
      </c>
      <c r="D43" s="9" t="s">
        <v>37</v>
      </c>
      <c r="E43" s="9" t="s">
        <v>109</v>
      </c>
      <c r="F43" s="5" t="str">
        <f>E43</f>
        <v>Muhamad Saifudin Ashari</v>
      </c>
      <c r="G43" s="17" t="s">
        <v>39</v>
      </c>
      <c r="H43" s="104">
        <v>44804</v>
      </c>
      <c r="I43" s="94">
        <v>84.870999999999995</v>
      </c>
      <c r="J43" s="94">
        <v>85.504000000000005</v>
      </c>
      <c r="K43" s="94">
        <v>0.98499999999999999</v>
      </c>
      <c r="L43" s="94">
        <v>0.878</v>
      </c>
      <c r="M43" s="94">
        <v>0.98</v>
      </c>
      <c r="N43" s="94">
        <v>1.0249999999999999</v>
      </c>
      <c r="O43" s="94">
        <v>0.59299999999999997</v>
      </c>
      <c r="P43" s="94">
        <v>0.66200000000000003</v>
      </c>
      <c r="Q43" s="94">
        <v>7.9000000000000001E-2</v>
      </c>
      <c r="R43" s="94">
        <v>0.61799999999999999</v>
      </c>
      <c r="S43" s="94">
        <v>0.92600000000000005</v>
      </c>
      <c r="T43" s="94">
        <v>0.69799999999999995</v>
      </c>
      <c r="U43" s="94">
        <v>0.48099999999999998</v>
      </c>
      <c r="V43" s="94">
        <v>0</v>
      </c>
      <c r="W43" s="94">
        <v>0</v>
      </c>
      <c r="X43" s="94">
        <v>0.32</v>
      </c>
      <c r="Y43" s="94">
        <v>0</v>
      </c>
      <c r="Z43" s="94"/>
      <c r="AA43" s="9"/>
      <c r="AB43" s="9"/>
      <c r="AC43" s="9"/>
      <c r="AD43" s="9"/>
      <c r="AE43" s="12"/>
      <c r="AF43" s="178"/>
      <c r="AG43" t="str">
        <f>VLOOKUP(OfficeForms.Table[[#This Row],[Nama Proyek]],'Nama Proyek'!$D$2:$G$29,4,0)</f>
        <v>-6.80675464,106.785366</v>
      </c>
      <c r="AH43" s="5"/>
      <c r="AI43" s="5"/>
      <c r="AJ43" s="5"/>
      <c r="AK43" s="5" t="s">
        <v>135</v>
      </c>
    </row>
    <row r="44" spans="1:37" ht="15" hidden="1" customHeight="1">
      <c r="A44" s="31">
        <v>211</v>
      </c>
      <c r="B44" s="110">
        <v>44630</v>
      </c>
      <c r="C44" s="28">
        <f>B44</f>
        <v>44630</v>
      </c>
      <c r="D44" s="8" t="s">
        <v>37</v>
      </c>
      <c r="E44" s="8" t="s">
        <v>136</v>
      </c>
      <c r="F44" s="5" t="str">
        <f>E44</f>
        <v>Utomo Aryowibowo</v>
      </c>
      <c r="G44" s="15" t="s">
        <v>52</v>
      </c>
      <c r="H44" s="105">
        <v>44826</v>
      </c>
      <c r="I44" s="95">
        <v>99.25</v>
      </c>
      <c r="J44" s="95">
        <v>99.36</v>
      </c>
      <c r="K44" s="95">
        <v>0</v>
      </c>
      <c r="L44" s="95">
        <v>-1E-3</v>
      </c>
      <c r="M44" s="95">
        <v>0.152</v>
      </c>
      <c r="N44" s="95">
        <v>0.24099999999999999</v>
      </c>
      <c r="O44" s="95">
        <v>0</v>
      </c>
      <c r="P44" s="95">
        <v>0</v>
      </c>
      <c r="Q44" s="95">
        <v>0</v>
      </c>
      <c r="R44" s="95">
        <v>2.7519999999999998</v>
      </c>
      <c r="S44" s="95">
        <v>77.111999999999995</v>
      </c>
      <c r="T44" s="95">
        <v>0</v>
      </c>
      <c r="U44" s="95">
        <v>0.23</v>
      </c>
      <c r="V44" s="95">
        <v>0.377</v>
      </c>
      <c r="W44" s="95">
        <v>0</v>
      </c>
      <c r="X44" s="95">
        <v>0.51800000000000002</v>
      </c>
      <c r="Y44" s="95">
        <v>0</v>
      </c>
      <c r="Z44" s="95"/>
      <c r="AA44" s="8"/>
      <c r="AB44" s="8"/>
      <c r="AC44" s="8"/>
      <c r="AD44" s="15"/>
      <c r="AE44" s="11"/>
      <c r="AF44" s="178"/>
      <c r="AG44" t="str">
        <f>VLOOKUP(OfficeForms.Table[[#This Row],[Nama Proyek]],'Nama Proyek'!$D$2:$G$29,4,0)</f>
        <v>-6.13491053,106.93675986</v>
      </c>
      <c r="AH44" s="5"/>
      <c r="AI44" s="5"/>
      <c r="AJ44" s="5"/>
      <c r="AK44" s="5" t="s">
        <v>137</v>
      </c>
    </row>
    <row r="45" spans="1:37" ht="15" hidden="1" customHeight="1">
      <c r="A45" s="31">
        <v>328</v>
      </c>
      <c r="B45" s="111">
        <v>44630</v>
      </c>
      <c r="C45" s="29">
        <f>B45</f>
        <v>44630</v>
      </c>
      <c r="D45" s="8" t="s">
        <v>37</v>
      </c>
      <c r="E45" s="8" t="s">
        <v>57</v>
      </c>
      <c r="F45" s="5" t="str">
        <f>E45</f>
        <v>Alfian Budi Prasetya</v>
      </c>
      <c r="G45" s="15" t="s">
        <v>58</v>
      </c>
      <c r="H45" s="105">
        <v>44829</v>
      </c>
      <c r="I45" s="95">
        <v>20.968</v>
      </c>
      <c r="J45" s="95">
        <v>31.725000000000001</v>
      </c>
      <c r="K45" s="95">
        <v>16.146339529999999</v>
      </c>
      <c r="L45" s="95">
        <v>2.1021509100000002</v>
      </c>
      <c r="M45" s="95">
        <v>0.47968198000000001</v>
      </c>
      <c r="N45" s="95">
        <v>0.37529074000000001</v>
      </c>
      <c r="O45" s="95">
        <v>0</v>
      </c>
      <c r="P45" s="95">
        <v>0</v>
      </c>
      <c r="Q45" s="95">
        <v>0</v>
      </c>
      <c r="R45" s="95">
        <v>0.25392506999999997</v>
      </c>
      <c r="S45" s="95">
        <v>0</v>
      </c>
      <c r="T45" s="95">
        <v>0</v>
      </c>
      <c r="U45" s="95">
        <v>0</v>
      </c>
      <c r="V45" s="95">
        <v>0</v>
      </c>
      <c r="W45" s="95">
        <v>0</v>
      </c>
      <c r="X45" s="95">
        <v>0</v>
      </c>
      <c r="Y45" s="95">
        <v>0</v>
      </c>
      <c r="Z45" s="95"/>
      <c r="AA45" s="8"/>
      <c r="AB45" s="8"/>
      <c r="AC45" s="8"/>
      <c r="AD45" s="8"/>
      <c r="AE45" s="11"/>
      <c r="AF45" s="179" t="s">
        <v>138</v>
      </c>
      <c r="AG45" t="str">
        <f>VLOOKUP(OfficeForms.Table[[#This Row],[Nama Proyek]],'Nama Proyek'!$D$2:$G$29,4,0)</f>
        <v>-6.12967558,107.07321308</v>
      </c>
      <c r="AH45" s="5"/>
      <c r="AI45" s="5"/>
      <c r="AJ45" s="5"/>
      <c r="AK45" s="5" t="s">
        <v>139</v>
      </c>
    </row>
    <row r="46" spans="1:37" ht="15" hidden="1" customHeight="1">
      <c r="A46" s="50">
        <v>327</v>
      </c>
      <c r="B46" s="110">
        <v>44630</v>
      </c>
      <c r="C46" s="28">
        <f>B46</f>
        <v>44630</v>
      </c>
      <c r="D46" s="19" t="s">
        <v>37</v>
      </c>
      <c r="E46" s="19" t="s">
        <v>82</v>
      </c>
      <c r="F46" s="5" t="str">
        <f>E46</f>
        <v>Ajik Prastiyo</v>
      </c>
      <c r="G46" s="35" t="s">
        <v>80</v>
      </c>
      <c r="H46" s="106">
        <v>44834</v>
      </c>
      <c r="I46" s="96">
        <v>60.036900000000003</v>
      </c>
      <c r="J46" s="96">
        <v>59.4559</v>
      </c>
      <c r="K46" s="96">
        <v>0.40100447</v>
      </c>
      <c r="L46" s="96">
        <v>9.8725519999999997E-2</v>
      </c>
      <c r="M46" s="96">
        <v>26.086527480000001</v>
      </c>
      <c r="N46" s="96">
        <v>0.53471208999999997</v>
      </c>
      <c r="O46" s="96">
        <v>0.40437960000000001</v>
      </c>
      <c r="P46" s="96">
        <v>7.5490050000000003E-2</v>
      </c>
      <c r="Q46" s="96">
        <v>5.0667300000000002E-3</v>
      </c>
      <c r="R46" s="96">
        <v>4.9610378300000004</v>
      </c>
      <c r="S46" s="96">
        <v>26.351491750000001</v>
      </c>
      <c r="T46" s="96">
        <v>0</v>
      </c>
      <c r="U46" s="96">
        <v>0.49465930000000002</v>
      </c>
      <c r="V46" s="96">
        <v>1.5564349999999999E-2</v>
      </c>
      <c r="W46" s="96">
        <v>3.659606E-2</v>
      </c>
      <c r="X46" s="96">
        <v>0.1433672</v>
      </c>
      <c r="Y46" s="96">
        <v>0</v>
      </c>
      <c r="Z46" s="96"/>
      <c r="AA46" s="19"/>
      <c r="AB46" s="19"/>
      <c r="AC46" s="19"/>
      <c r="AD46" s="19"/>
      <c r="AE46" s="13"/>
      <c r="AF46" s="178"/>
      <c r="AG46" t="str">
        <f>VLOOKUP(OfficeForms.Table[[#This Row],[Nama Proyek]],'Nama Proyek'!$D$2:$G$29,4,0)</f>
        <v>-7.82225167,113.29968319</v>
      </c>
      <c r="AH46" s="5"/>
      <c r="AI46" s="5"/>
      <c r="AJ46" s="5"/>
      <c r="AK46" s="5" t="s">
        <v>140</v>
      </c>
    </row>
    <row r="47" spans="1:37" ht="15" hidden="1" customHeight="1">
      <c r="A47">
        <v>246</v>
      </c>
      <c r="B47" s="111">
        <v>44630</v>
      </c>
      <c r="C47" s="29">
        <f>B47</f>
        <v>44630</v>
      </c>
      <c r="D47" s="8" t="s">
        <v>37</v>
      </c>
      <c r="E47" s="8" t="s">
        <v>109</v>
      </c>
      <c r="F47" s="5" t="str">
        <f>E47</f>
        <v>Muhamad Saifudin Ashari</v>
      </c>
      <c r="G47" s="17" t="s">
        <v>39</v>
      </c>
      <c r="H47" s="104"/>
      <c r="I47" s="95">
        <v>0</v>
      </c>
      <c r="J47" s="95">
        <v>0</v>
      </c>
      <c r="K47" s="95">
        <v>0</v>
      </c>
      <c r="L47" s="95">
        <v>0</v>
      </c>
      <c r="M47" s="95">
        <v>0</v>
      </c>
      <c r="N47" s="95">
        <v>0</v>
      </c>
      <c r="O47" s="95">
        <v>0</v>
      </c>
      <c r="P47" s="95">
        <v>0</v>
      </c>
      <c r="Q47" s="95">
        <v>0</v>
      </c>
      <c r="R47" s="95">
        <v>0</v>
      </c>
      <c r="S47" s="95">
        <v>0</v>
      </c>
      <c r="T47" s="95">
        <v>0</v>
      </c>
      <c r="U47" s="95">
        <v>0</v>
      </c>
      <c r="V47" s="95">
        <v>0</v>
      </c>
      <c r="W47" s="95">
        <v>0</v>
      </c>
      <c r="X47" s="95">
        <v>0</v>
      </c>
      <c r="Y47" s="95">
        <v>0</v>
      </c>
      <c r="Z47" s="95"/>
      <c r="AA47" s="8"/>
      <c r="AB47" s="8"/>
      <c r="AC47" s="8"/>
      <c r="AD47" s="8"/>
      <c r="AE47" s="11">
        <v>44690</v>
      </c>
      <c r="AF47" s="179"/>
      <c r="AG47" t="str">
        <f>VLOOKUP(OfficeForms.Table[[#This Row],[Nama Proyek]],'Nama Proyek'!$D$2:$G$29,4,0)</f>
        <v>-6.80675464,106.785366</v>
      </c>
      <c r="AH47" s="5"/>
      <c r="AI47" s="5"/>
      <c r="AJ47" s="5"/>
      <c r="AK47" s="5" t="s">
        <v>141</v>
      </c>
    </row>
    <row r="48" spans="1:37" ht="15" hidden="1" customHeight="1">
      <c r="A48" s="30">
        <v>319</v>
      </c>
      <c r="B48" s="110">
        <v>44630</v>
      </c>
      <c r="C48" s="28">
        <f>B48</f>
        <v>44630</v>
      </c>
      <c r="D48" s="19" t="s">
        <v>37</v>
      </c>
      <c r="E48" s="19" t="s">
        <v>136</v>
      </c>
      <c r="F48" s="5" t="str">
        <f>E48</f>
        <v>Utomo Aryowibowo</v>
      </c>
      <c r="G48" s="15" t="s">
        <v>52</v>
      </c>
      <c r="H48" s="106"/>
      <c r="I48" s="96">
        <v>0</v>
      </c>
      <c r="J48" s="96">
        <v>0</v>
      </c>
      <c r="K48" s="96">
        <v>0</v>
      </c>
      <c r="L48" s="96">
        <v>0</v>
      </c>
      <c r="M48" s="96">
        <v>0</v>
      </c>
      <c r="N48" s="96">
        <v>0</v>
      </c>
      <c r="O48" s="96">
        <v>0</v>
      </c>
      <c r="P48" s="96">
        <v>0</v>
      </c>
      <c r="Q48" s="96">
        <v>0</v>
      </c>
      <c r="R48" s="96">
        <v>0</v>
      </c>
      <c r="S48" s="96">
        <v>0</v>
      </c>
      <c r="T48" s="96">
        <v>0</v>
      </c>
      <c r="U48" s="96">
        <v>0</v>
      </c>
      <c r="V48" s="96">
        <v>0</v>
      </c>
      <c r="W48" s="96">
        <v>0</v>
      </c>
      <c r="X48" s="96">
        <v>0</v>
      </c>
      <c r="Y48" s="96">
        <v>0</v>
      </c>
      <c r="Z48" s="96"/>
      <c r="AA48" s="19" t="s">
        <v>142</v>
      </c>
      <c r="AB48" s="19" t="s">
        <v>142</v>
      </c>
      <c r="AC48" s="19" t="s">
        <v>143</v>
      </c>
      <c r="AD48" s="19" t="s">
        <v>143</v>
      </c>
      <c r="AE48" s="13"/>
      <c r="AF48" s="178" t="s">
        <v>144</v>
      </c>
      <c r="AG48" t="str">
        <f>VLOOKUP(OfficeForms.Table[[#This Row],[Nama Proyek]],'Nama Proyek'!$D$2:$G$29,4,0)</f>
        <v>-6.13491053,106.93675986</v>
      </c>
      <c r="AH48" s="5"/>
      <c r="AI48" s="5"/>
      <c r="AJ48" s="5"/>
      <c r="AK48" s="5" t="s">
        <v>145</v>
      </c>
    </row>
    <row r="49" spans="1:37" ht="15" hidden="1" customHeight="1">
      <c r="A49" s="50">
        <v>325</v>
      </c>
      <c r="B49" s="110">
        <v>44630</v>
      </c>
      <c r="C49" s="28">
        <f>B49</f>
        <v>44630</v>
      </c>
      <c r="D49" s="19" t="s">
        <v>37</v>
      </c>
      <c r="E49" s="19" t="s">
        <v>82</v>
      </c>
      <c r="F49" s="5" t="str">
        <f>E49</f>
        <v>Ajik Prastiyo</v>
      </c>
      <c r="G49" s="35" t="s">
        <v>80</v>
      </c>
      <c r="H49" s="106"/>
      <c r="I49" s="96">
        <v>0</v>
      </c>
      <c r="J49" s="96">
        <v>0</v>
      </c>
      <c r="K49" s="96">
        <v>0</v>
      </c>
      <c r="L49" s="96">
        <v>0</v>
      </c>
      <c r="M49" s="96">
        <v>0</v>
      </c>
      <c r="N49" s="96">
        <v>0</v>
      </c>
      <c r="O49" s="96">
        <v>0</v>
      </c>
      <c r="P49" s="96">
        <v>0</v>
      </c>
      <c r="Q49" s="96">
        <v>0</v>
      </c>
      <c r="R49" s="96">
        <v>0</v>
      </c>
      <c r="S49" s="96">
        <v>0</v>
      </c>
      <c r="T49" s="96">
        <v>0</v>
      </c>
      <c r="U49" s="96">
        <v>0</v>
      </c>
      <c r="V49" s="96">
        <v>0</v>
      </c>
      <c r="W49" s="96">
        <v>0</v>
      </c>
      <c r="X49" s="96">
        <v>0</v>
      </c>
      <c r="Y49" s="96">
        <v>0</v>
      </c>
      <c r="Z49" s="96"/>
      <c r="AA49" s="19"/>
      <c r="AB49" s="19"/>
      <c r="AC49" s="19"/>
      <c r="AD49" s="19"/>
      <c r="AE49" s="13">
        <v>44630</v>
      </c>
      <c r="AF49" s="178" t="s">
        <v>146</v>
      </c>
      <c r="AG49" t="str">
        <f>VLOOKUP(OfficeForms.Table[[#This Row],[Nama Proyek]],'Nama Proyek'!$D$2:$G$29,4,0)</f>
        <v>-7.82225167,113.29968319</v>
      </c>
      <c r="AH49" s="5"/>
      <c r="AI49" s="5"/>
      <c r="AJ49" s="5"/>
      <c r="AK49" s="5" t="s">
        <v>147</v>
      </c>
    </row>
    <row r="50" spans="1:37" ht="15" hidden="1" customHeight="1">
      <c r="A50">
        <v>326</v>
      </c>
      <c r="B50" s="111">
        <v>44630</v>
      </c>
      <c r="C50" s="29">
        <f>B50</f>
        <v>44630</v>
      </c>
      <c r="D50" s="8" t="s">
        <v>37</v>
      </c>
      <c r="E50" s="8" t="s">
        <v>82</v>
      </c>
      <c r="F50" s="5" t="str">
        <f>E50</f>
        <v>Ajik Prastiyo</v>
      </c>
      <c r="G50" s="33" t="s">
        <v>80</v>
      </c>
      <c r="H50" s="104"/>
      <c r="I50" s="95">
        <v>0</v>
      </c>
      <c r="J50" s="95">
        <v>0</v>
      </c>
      <c r="K50" s="95">
        <v>0</v>
      </c>
      <c r="L50" s="95">
        <v>0</v>
      </c>
      <c r="M50" s="95">
        <v>0</v>
      </c>
      <c r="N50" s="95">
        <v>0</v>
      </c>
      <c r="O50" s="95">
        <v>0</v>
      </c>
      <c r="P50" s="95">
        <v>0</v>
      </c>
      <c r="Q50" s="95">
        <v>0</v>
      </c>
      <c r="R50" s="95">
        <v>0</v>
      </c>
      <c r="S50" s="95">
        <v>0</v>
      </c>
      <c r="T50" s="95">
        <v>0</v>
      </c>
      <c r="U50" s="95">
        <v>0</v>
      </c>
      <c r="V50" s="95">
        <v>0</v>
      </c>
      <c r="W50" s="95">
        <v>0</v>
      </c>
      <c r="X50" s="95">
        <v>0</v>
      </c>
      <c r="Y50" s="95">
        <v>0</v>
      </c>
      <c r="Z50" s="95"/>
      <c r="AA50" s="8"/>
      <c r="AB50" s="8"/>
      <c r="AC50" s="8"/>
      <c r="AD50" s="8"/>
      <c r="AE50" s="11">
        <v>44630</v>
      </c>
      <c r="AF50" s="179"/>
      <c r="AG50" t="str">
        <f>VLOOKUP(OfficeForms.Table[[#This Row],[Nama Proyek]],'Nama Proyek'!$D$2:$G$29,4,0)</f>
        <v>-7.82225167,113.29968319</v>
      </c>
      <c r="AH50" s="5"/>
      <c r="AI50" s="5"/>
      <c r="AJ50" s="5"/>
      <c r="AK50" s="5" t="s">
        <v>148</v>
      </c>
    </row>
    <row r="51" spans="1:37" ht="15" hidden="1" customHeight="1">
      <c r="A51" s="31">
        <v>329</v>
      </c>
      <c r="B51" s="110">
        <v>44630</v>
      </c>
      <c r="C51" s="28">
        <f>B51</f>
        <v>44630</v>
      </c>
      <c r="D51" s="19" t="s">
        <v>37</v>
      </c>
      <c r="E51" s="19" t="s">
        <v>57</v>
      </c>
      <c r="F51" s="5" t="str">
        <f>E51</f>
        <v>Alfian Budi Prasetya</v>
      </c>
      <c r="G51" s="42" t="s">
        <v>58</v>
      </c>
      <c r="H51" s="106"/>
      <c r="I51" s="96">
        <v>0</v>
      </c>
      <c r="J51" s="96">
        <v>0</v>
      </c>
      <c r="K51" s="96">
        <v>0</v>
      </c>
      <c r="L51" s="96">
        <v>0</v>
      </c>
      <c r="M51" s="96">
        <v>0</v>
      </c>
      <c r="N51" s="96">
        <v>0</v>
      </c>
      <c r="O51" s="96">
        <v>0</v>
      </c>
      <c r="P51" s="96">
        <v>0</v>
      </c>
      <c r="Q51" s="96">
        <v>0</v>
      </c>
      <c r="R51" s="96">
        <v>0</v>
      </c>
      <c r="S51" s="96">
        <v>0</v>
      </c>
      <c r="T51" s="96">
        <v>0</v>
      </c>
      <c r="U51" s="96">
        <v>0</v>
      </c>
      <c r="V51" s="96">
        <v>0</v>
      </c>
      <c r="W51" s="96">
        <v>0</v>
      </c>
      <c r="X51" s="96">
        <v>0</v>
      </c>
      <c r="Y51" s="96">
        <v>0</v>
      </c>
      <c r="Z51" s="96"/>
      <c r="AA51" s="19"/>
      <c r="AB51" s="19"/>
      <c r="AC51" s="19"/>
      <c r="AD51" s="19"/>
      <c r="AE51" s="13" t="s">
        <v>149</v>
      </c>
      <c r="AF51" s="181"/>
      <c r="AG51" t="str">
        <f>VLOOKUP(OfficeForms.Table[[#This Row],[Nama Proyek]],'Nama Proyek'!$D$2:$G$29,4,0)</f>
        <v>-6.12967558,107.07321308</v>
      </c>
      <c r="AH51" s="5"/>
      <c r="AI51" s="5"/>
      <c r="AJ51" s="5"/>
      <c r="AK51" s="5" t="s">
        <v>150</v>
      </c>
    </row>
    <row r="52" spans="1:37" ht="15" hidden="1" customHeight="1">
      <c r="A52" s="30">
        <v>174</v>
      </c>
      <c r="B52" s="111">
        <v>44661</v>
      </c>
      <c r="C52" s="29">
        <f>B52</f>
        <v>44661</v>
      </c>
      <c r="D52" s="8" t="s">
        <v>37</v>
      </c>
      <c r="E52" s="8" t="s">
        <v>54</v>
      </c>
      <c r="F52" s="5" t="str">
        <f>E52</f>
        <v>Haryo Widiandoko</v>
      </c>
      <c r="G52" s="17" t="s">
        <v>55</v>
      </c>
      <c r="H52" s="105">
        <v>44832</v>
      </c>
      <c r="I52" s="95">
        <v>81.915999999999997</v>
      </c>
      <c r="J52" s="95">
        <v>86.468000000000004</v>
      </c>
      <c r="K52" s="95">
        <v>27.49</v>
      </c>
      <c r="L52" s="95">
        <v>76.97</v>
      </c>
      <c r="M52" s="95">
        <v>81.34</v>
      </c>
      <c r="N52" s="95">
        <v>79.790000000000006</v>
      </c>
      <c r="O52" s="95">
        <v>42.57</v>
      </c>
      <c r="P52" s="95">
        <v>68.16</v>
      </c>
      <c r="Q52" s="95">
        <v>80.099999999999994</v>
      </c>
      <c r="R52" s="95">
        <v>75.650000000000006</v>
      </c>
      <c r="S52" s="95">
        <v>101.91</v>
      </c>
      <c r="T52" s="95">
        <v>0</v>
      </c>
      <c r="U52" s="95">
        <v>30.82</v>
      </c>
      <c r="V52" s="95">
        <v>6.3</v>
      </c>
      <c r="W52" s="95">
        <v>0</v>
      </c>
      <c r="X52" s="95">
        <v>78.489999999999995</v>
      </c>
      <c r="Y52" s="95">
        <v>0</v>
      </c>
      <c r="Z52" s="95"/>
      <c r="AA52" s="8"/>
      <c r="AB52" s="8"/>
      <c r="AC52" s="8"/>
      <c r="AD52" s="15"/>
      <c r="AE52" s="11"/>
      <c r="AF52" s="42"/>
      <c r="AG52" t="str">
        <f>VLOOKUP(OfficeForms.Table[[#This Row],[Nama Proyek]],'Nama Proyek'!$D$2:$G$29,4,0)</f>
        <v>-6.42873464,107.19897003</v>
      </c>
      <c r="AH52" s="5"/>
      <c r="AI52" s="5"/>
      <c r="AJ52" s="5"/>
      <c r="AK52" s="5" t="s">
        <v>151</v>
      </c>
    </row>
    <row r="53" spans="1:37" ht="15" hidden="1" customHeight="1">
      <c r="A53" s="30">
        <v>478</v>
      </c>
      <c r="B53" s="111">
        <v>44661</v>
      </c>
      <c r="C53" s="29">
        <f>B53</f>
        <v>44661</v>
      </c>
      <c r="D53" s="8" t="s">
        <v>37</v>
      </c>
      <c r="E53" s="8" t="s">
        <v>54</v>
      </c>
      <c r="F53" s="5" t="str">
        <f>E53</f>
        <v>Haryo Widiandoko</v>
      </c>
      <c r="G53" s="9" t="s">
        <v>55</v>
      </c>
      <c r="H53" s="104"/>
      <c r="I53" s="95">
        <v>0</v>
      </c>
      <c r="J53" s="95">
        <v>0</v>
      </c>
      <c r="K53" s="95">
        <v>0</v>
      </c>
      <c r="L53" s="95">
        <v>0</v>
      </c>
      <c r="M53" s="95">
        <v>0</v>
      </c>
      <c r="N53" s="95">
        <v>0</v>
      </c>
      <c r="O53" s="95">
        <v>0</v>
      </c>
      <c r="P53" s="95">
        <v>0</v>
      </c>
      <c r="Q53" s="95">
        <v>0</v>
      </c>
      <c r="R53" s="95">
        <v>0</v>
      </c>
      <c r="S53" s="95">
        <v>0</v>
      </c>
      <c r="T53" s="95">
        <v>0</v>
      </c>
      <c r="U53" s="95">
        <v>0</v>
      </c>
      <c r="V53" s="95">
        <v>0</v>
      </c>
      <c r="W53" s="95">
        <v>0</v>
      </c>
      <c r="X53" s="95">
        <v>0</v>
      </c>
      <c r="Y53" s="95">
        <v>0</v>
      </c>
      <c r="Z53" s="95"/>
      <c r="AA53" s="8" t="s">
        <v>152</v>
      </c>
      <c r="AB53" s="8" t="s">
        <v>153</v>
      </c>
      <c r="AC53" s="15" t="s">
        <v>154</v>
      </c>
      <c r="AD53" s="15" t="s">
        <v>154</v>
      </c>
      <c r="AE53" s="16"/>
      <c r="AF53" s="178"/>
      <c r="AG53" t="str">
        <f>VLOOKUP(OfficeForms.Table[[#This Row],[Nama Proyek]],'Nama Proyek'!$D$2:$G$29,4,0)</f>
        <v>-6.42873464,107.19897003</v>
      </c>
      <c r="AH53" s="5"/>
      <c r="AI53" s="5"/>
      <c r="AJ53" s="5"/>
      <c r="AK53" s="5" t="s">
        <v>155</v>
      </c>
    </row>
    <row r="54" spans="1:37" ht="15" hidden="1" customHeight="1">
      <c r="A54">
        <v>50</v>
      </c>
      <c r="B54" s="111">
        <v>44662</v>
      </c>
      <c r="C54" s="29">
        <f>B54</f>
        <v>44662</v>
      </c>
      <c r="D54" s="8" t="s">
        <v>37</v>
      </c>
      <c r="E54" s="8" t="s">
        <v>75</v>
      </c>
      <c r="F54" s="5" t="str">
        <f>E54</f>
        <v>Banyu Purwita</v>
      </c>
      <c r="G54" s="37" t="s">
        <v>76</v>
      </c>
      <c r="H54" s="105">
        <v>44868</v>
      </c>
      <c r="I54" s="95">
        <v>25.486000000000001</v>
      </c>
      <c r="J54" s="95">
        <v>28.465</v>
      </c>
      <c r="K54" s="95">
        <v>0</v>
      </c>
      <c r="L54" s="95">
        <v>0</v>
      </c>
      <c r="M54" s="95">
        <v>0.96299999999999997</v>
      </c>
      <c r="N54" s="95">
        <v>0</v>
      </c>
      <c r="O54" s="95">
        <v>10.222</v>
      </c>
      <c r="P54" s="95">
        <v>0</v>
      </c>
      <c r="Q54" s="95">
        <v>0</v>
      </c>
      <c r="R54" s="95">
        <v>0</v>
      </c>
      <c r="S54" s="95">
        <v>13.066000000000001</v>
      </c>
      <c r="T54" s="95">
        <v>0</v>
      </c>
      <c r="U54" s="95">
        <v>0</v>
      </c>
      <c r="V54" s="95">
        <v>0</v>
      </c>
      <c r="W54" s="95">
        <v>0</v>
      </c>
      <c r="X54" s="95">
        <v>0</v>
      </c>
      <c r="Y54" s="95">
        <v>0</v>
      </c>
      <c r="Z54" s="95"/>
      <c r="AA54" s="8"/>
      <c r="AB54" s="8"/>
      <c r="AC54" s="15"/>
      <c r="AD54" s="15"/>
      <c r="AE54" s="11"/>
      <c r="AF54" s="178"/>
      <c r="AG54" t="str">
        <f>VLOOKUP(OfficeForms.Table[[#This Row],[Nama Proyek]],'Nama Proyek'!$D$2:$G$29,4,0)</f>
        <v>-2.95293103,104.75455094</v>
      </c>
      <c r="AH54" s="5"/>
      <c r="AI54" s="5"/>
      <c r="AJ54" s="5"/>
      <c r="AK54" s="5" t="s">
        <v>156</v>
      </c>
    </row>
    <row r="55" spans="1:37" ht="15" hidden="1" customHeight="1">
      <c r="A55">
        <v>122</v>
      </c>
      <c r="B55" s="111">
        <v>44673</v>
      </c>
      <c r="C55" s="29">
        <f>B55</f>
        <v>44673</v>
      </c>
      <c r="D55" s="8" t="s">
        <v>37</v>
      </c>
      <c r="E55" s="8" t="s">
        <v>136</v>
      </c>
      <c r="F55" s="5" t="str">
        <f>E55</f>
        <v>Utomo Aryowibowo</v>
      </c>
      <c r="G55" s="8" t="s">
        <v>52</v>
      </c>
      <c r="H55" s="105">
        <v>44665</v>
      </c>
      <c r="I55" s="95">
        <v>83.42</v>
      </c>
      <c r="J55" s="95">
        <v>84.3</v>
      </c>
      <c r="K55" s="95">
        <v>0</v>
      </c>
      <c r="L55" s="95">
        <v>0</v>
      </c>
      <c r="M55" s="95">
        <v>0</v>
      </c>
      <c r="N55" s="95">
        <v>0</v>
      </c>
      <c r="O55" s="95">
        <v>0</v>
      </c>
      <c r="P55" s="95">
        <v>0</v>
      </c>
      <c r="Q55" s="95">
        <v>0</v>
      </c>
      <c r="R55" s="95">
        <v>0</v>
      </c>
      <c r="S55" s="95">
        <v>0</v>
      </c>
      <c r="T55" s="95">
        <v>0</v>
      </c>
      <c r="U55" s="95">
        <v>0</v>
      </c>
      <c r="V55" s="95">
        <v>0</v>
      </c>
      <c r="W55" s="95">
        <v>0</v>
      </c>
      <c r="X55" s="95">
        <v>0</v>
      </c>
      <c r="Y55" s="95">
        <v>0</v>
      </c>
      <c r="Z55" s="95"/>
      <c r="AA55" s="8"/>
      <c r="AB55" s="8"/>
      <c r="AC55" s="8"/>
      <c r="AD55" s="8"/>
      <c r="AE55" s="16"/>
      <c r="AF55" s="179"/>
      <c r="AG55" t="str">
        <f>VLOOKUP(OfficeForms.Table[[#This Row],[Nama Proyek]],'Nama Proyek'!$D$2:$G$29,4,0)</f>
        <v>-6.13491053,106.93675986</v>
      </c>
      <c r="AH55" s="5"/>
      <c r="AI55" s="5"/>
      <c r="AJ55" s="5"/>
      <c r="AK55" s="5" t="s">
        <v>157</v>
      </c>
    </row>
    <row r="56" spans="1:37" ht="15" hidden="1" customHeight="1">
      <c r="A56" s="31">
        <v>96</v>
      </c>
      <c r="B56" s="111">
        <v>44673</v>
      </c>
      <c r="C56" s="29">
        <f>B56</f>
        <v>44673</v>
      </c>
      <c r="D56" s="9" t="s">
        <v>37</v>
      </c>
      <c r="E56" s="9" t="s">
        <v>158</v>
      </c>
      <c r="F56" s="5" t="str">
        <f>E56</f>
        <v>ISNAEN DWI SANJOYO</v>
      </c>
      <c r="G56" s="32" t="s">
        <v>159</v>
      </c>
      <c r="H56" s="105"/>
      <c r="I56" s="94">
        <v>0</v>
      </c>
      <c r="J56" s="94">
        <v>0</v>
      </c>
      <c r="K56" s="94">
        <v>0</v>
      </c>
      <c r="L56" s="94">
        <v>0</v>
      </c>
      <c r="M56" s="94">
        <v>0</v>
      </c>
      <c r="N56" s="94">
        <v>0</v>
      </c>
      <c r="O56" s="94">
        <v>0</v>
      </c>
      <c r="P56" s="94">
        <v>0</v>
      </c>
      <c r="Q56" s="94">
        <v>0</v>
      </c>
      <c r="R56" s="94">
        <v>0</v>
      </c>
      <c r="S56" s="94">
        <v>0</v>
      </c>
      <c r="T56" s="94">
        <v>0</v>
      </c>
      <c r="U56" s="94">
        <v>0</v>
      </c>
      <c r="V56" s="94">
        <v>0</v>
      </c>
      <c r="W56" s="94">
        <v>0</v>
      </c>
      <c r="X56" s="94">
        <v>0</v>
      </c>
      <c r="Y56" s="94">
        <v>0</v>
      </c>
      <c r="Z56" s="94"/>
      <c r="AA56" s="9" t="s">
        <v>160</v>
      </c>
      <c r="AB56" s="9" t="s">
        <v>160</v>
      </c>
      <c r="AC56" s="9" t="s">
        <v>161</v>
      </c>
      <c r="AD56" s="9" t="s">
        <v>161</v>
      </c>
      <c r="AE56" s="12"/>
      <c r="AF56" s="179"/>
      <c r="AG56" t="str">
        <f>VLOOKUP(OfficeForms.Table[[#This Row],[Nama Proyek]],'Nama Proyek'!$D$2:$G$29,4,0)</f>
        <v>-6.4209386,107.1876008</v>
      </c>
      <c r="AH56" s="5"/>
      <c r="AI56" s="5"/>
      <c r="AJ56" s="5"/>
      <c r="AK56" s="5" t="s">
        <v>162</v>
      </c>
    </row>
    <row r="57" spans="1:37" ht="15" hidden="1" customHeight="1">
      <c r="A57" s="30">
        <v>332</v>
      </c>
      <c r="B57" s="111">
        <v>44673</v>
      </c>
      <c r="C57" s="29">
        <f>B57</f>
        <v>44673</v>
      </c>
      <c r="D57" s="8" t="s">
        <v>37</v>
      </c>
      <c r="E57" s="8" t="s">
        <v>136</v>
      </c>
      <c r="F57" s="5" t="str">
        <f>E57</f>
        <v>Utomo Aryowibowo</v>
      </c>
      <c r="G57" s="15" t="s">
        <v>52</v>
      </c>
      <c r="H57" s="105"/>
      <c r="I57" s="95">
        <v>0</v>
      </c>
      <c r="J57" s="95">
        <v>0</v>
      </c>
      <c r="K57" s="95">
        <v>0</v>
      </c>
      <c r="L57" s="95">
        <v>0</v>
      </c>
      <c r="M57" s="95">
        <v>0</v>
      </c>
      <c r="N57" s="95">
        <v>0</v>
      </c>
      <c r="O57" s="95">
        <v>0</v>
      </c>
      <c r="P57" s="95">
        <v>0</v>
      </c>
      <c r="Q57" s="95">
        <v>0</v>
      </c>
      <c r="R57" s="95">
        <v>0</v>
      </c>
      <c r="S57" s="95">
        <v>0</v>
      </c>
      <c r="T57" s="95">
        <v>0</v>
      </c>
      <c r="U57" s="95">
        <v>0</v>
      </c>
      <c r="V57" s="95">
        <v>0</v>
      </c>
      <c r="W57" s="95">
        <v>0</v>
      </c>
      <c r="X57" s="95">
        <v>0</v>
      </c>
      <c r="Y57" s="95">
        <v>0</v>
      </c>
      <c r="Z57" s="95"/>
      <c r="AA57" s="8" t="s">
        <v>163</v>
      </c>
      <c r="AB57" s="8" t="s">
        <v>164</v>
      </c>
      <c r="AC57" s="8"/>
      <c r="AD57" s="8"/>
      <c r="AE57" s="11"/>
      <c r="AF57" s="179"/>
      <c r="AG57" t="str">
        <f>VLOOKUP(OfficeForms.Table[[#This Row],[Nama Proyek]],'Nama Proyek'!$D$2:$G$29,4,0)</f>
        <v>-6.13491053,106.93675986</v>
      </c>
      <c r="AH57" s="5"/>
      <c r="AI57" s="5"/>
      <c r="AJ57" s="5"/>
      <c r="AK57" s="5" t="s">
        <v>165</v>
      </c>
    </row>
    <row r="58" spans="1:37" ht="15" hidden="1" customHeight="1">
      <c r="A58" s="30">
        <v>84</v>
      </c>
      <c r="B58" s="111">
        <v>44674</v>
      </c>
      <c r="C58" s="29">
        <f>B58</f>
        <v>44674</v>
      </c>
      <c r="D58" s="9" t="s">
        <v>37</v>
      </c>
      <c r="E58" s="9" t="s">
        <v>166</v>
      </c>
      <c r="F58" s="5" t="str">
        <f>E58</f>
        <v>Ganis Satria Pratama</v>
      </c>
      <c r="G58" s="9" t="s">
        <v>167</v>
      </c>
      <c r="H58" s="104">
        <v>44587</v>
      </c>
      <c r="I58" s="94">
        <v>49.27</v>
      </c>
      <c r="J58" s="94">
        <v>51.7</v>
      </c>
      <c r="K58" s="94">
        <v>1.0900000000000001</v>
      </c>
      <c r="L58" s="94">
        <v>43.6</v>
      </c>
      <c r="M58" s="94">
        <v>0</v>
      </c>
      <c r="N58" s="94">
        <v>1.2</v>
      </c>
      <c r="O58" s="94">
        <v>0</v>
      </c>
      <c r="P58" s="94">
        <v>1.57</v>
      </c>
      <c r="Q58" s="94">
        <v>0</v>
      </c>
      <c r="R58" s="94">
        <v>0</v>
      </c>
      <c r="S58" s="94">
        <v>0</v>
      </c>
      <c r="T58" s="94">
        <v>0</v>
      </c>
      <c r="U58" s="94">
        <v>0</v>
      </c>
      <c r="V58" s="94">
        <v>0</v>
      </c>
      <c r="W58" s="94">
        <v>0</v>
      </c>
      <c r="X58" s="94">
        <v>0</v>
      </c>
      <c r="Y58" s="94">
        <v>0</v>
      </c>
      <c r="Z58" s="94"/>
      <c r="AA58" s="9"/>
      <c r="AB58" s="9"/>
      <c r="AC58" s="9"/>
      <c r="AD58" s="17"/>
      <c r="AE58" s="12"/>
      <c r="AF58" s="15"/>
      <c r="AG58" t="str">
        <f>VLOOKUP(OfficeForms.Table[[#This Row],[Nama Proyek]],'Nama Proyek'!$D$2:$G$29,4,0)</f>
        <v>2.426249030,128.29766314</v>
      </c>
      <c r="AH58" s="5"/>
      <c r="AI58" s="5"/>
      <c r="AJ58" s="5"/>
      <c r="AK58" s="5" t="s">
        <v>168</v>
      </c>
    </row>
    <row r="59" spans="1:37" ht="15" hidden="1" customHeight="1">
      <c r="A59">
        <v>86</v>
      </c>
      <c r="B59" s="111">
        <v>44674</v>
      </c>
      <c r="C59" s="29">
        <f>B59</f>
        <v>44674</v>
      </c>
      <c r="D59" s="9" t="s">
        <v>37</v>
      </c>
      <c r="E59" s="9" t="s">
        <v>166</v>
      </c>
      <c r="F59" s="5" t="str">
        <f>E59</f>
        <v>Ganis Satria Pratama</v>
      </c>
      <c r="G59" s="9" t="s">
        <v>167</v>
      </c>
      <c r="H59" s="104">
        <v>44615</v>
      </c>
      <c r="I59" s="94">
        <v>52.05</v>
      </c>
      <c r="J59" s="94">
        <v>54.9</v>
      </c>
      <c r="K59" s="94">
        <v>1.0900000000000001</v>
      </c>
      <c r="L59" s="94">
        <v>47.18</v>
      </c>
      <c r="M59" s="94">
        <v>0</v>
      </c>
      <c r="N59" s="94">
        <v>0.54</v>
      </c>
      <c r="O59" s="94">
        <v>0</v>
      </c>
      <c r="P59" s="94">
        <v>1.57</v>
      </c>
      <c r="Q59" s="94">
        <v>0</v>
      </c>
      <c r="R59" s="94">
        <v>0</v>
      </c>
      <c r="S59" s="94">
        <v>0</v>
      </c>
      <c r="T59" s="94">
        <v>0</v>
      </c>
      <c r="U59" s="94">
        <v>0</v>
      </c>
      <c r="V59" s="94">
        <v>0</v>
      </c>
      <c r="W59" s="94">
        <v>0</v>
      </c>
      <c r="X59" s="94">
        <v>0</v>
      </c>
      <c r="Y59" s="94">
        <v>0</v>
      </c>
      <c r="Z59" s="94"/>
      <c r="AA59" s="9"/>
      <c r="AB59" s="17"/>
      <c r="AC59" s="9"/>
      <c r="AD59" s="17"/>
      <c r="AE59" s="18"/>
      <c r="AF59" s="15" t="s">
        <v>169</v>
      </c>
      <c r="AG59" t="str">
        <f>VLOOKUP(OfficeForms.Table[[#This Row],[Nama Proyek]],'Nama Proyek'!$D$2:$G$29,4,0)</f>
        <v>2.426249030,128.29766314</v>
      </c>
      <c r="AH59" s="5"/>
      <c r="AI59" s="5"/>
      <c r="AJ59" s="5"/>
      <c r="AK59" s="5" t="s">
        <v>170</v>
      </c>
    </row>
    <row r="60" spans="1:37" ht="15" hidden="1" customHeight="1">
      <c r="A60" s="50">
        <v>89</v>
      </c>
      <c r="B60" s="110">
        <v>44674</v>
      </c>
      <c r="C60" s="28">
        <f>B60</f>
        <v>44674</v>
      </c>
      <c r="D60" s="8" t="s">
        <v>37</v>
      </c>
      <c r="E60" s="8" t="s">
        <v>166</v>
      </c>
      <c r="F60" s="5" t="str">
        <f>E60</f>
        <v>Ganis Satria Pratama</v>
      </c>
      <c r="G60" s="9" t="s">
        <v>167</v>
      </c>
      <c r="H60" s="105">
        <v>44645</v>
      </c>
      <c r="I60" s="95">
        <v>52.75</v>
      </c>
      <c r="J60" s="95">
        <v>59.93</v>
      </c>
      <c r="K60" s="95">
        <v>1.0900000000000001</v>
      </c>
      <c r="L60" s="95">
        <v>47.83</v>
      </c>
      <c r="M60" s="95">
        <v>0</v>
      </c>
      <c r="N60" s="95">
        <v>0.54</v>
      </c>
      <c r="O60" s="95">
        <v>0</v>
      </c>
      <c r="P60" s="95">
        <v>1.62</v>
      </c>
      <c r="Q60" s="95">
        <v>0</v>
      </c>
      <c r="R60" s="95">
        <v>0</v>
      </c>
      <c r="S60" s="95">
        <v>0</v>
      </c>
      <c r="T60" s="95">
        <v>0</v>
      </c>
      <c r="U60" s="95">
        <v>0</v>
      </c>
      <c r="V60" s="95">
        <v>0</v>
      </c>
      <c r="W60" s="95">
        <v>0</v>
      </c>
      <c r="X60" s="95">
        <v>0</v>
      </c>
      <c r="Y60" s="95">
        <v>0</v>
      </c>
      <c r="Z60" s="95"/>
      <c r="AA60" s="8"/>
      <c r="AB60" s="8"/>
      <c r="AC60" s="8"/>
      <c r="AD60" s="8"/>
      <c r="AE60" s="16"/>
      <c r="AF60" s="181" t="s">
        <v>171</v>
      </c>
      <c r="AG60" t="str">
        <f>VLOOKUP(OfficeForms.Table[[#This Row],[Nama Proyek]],'Nama Proyek'!$D$2:$G$29,4,0)</f>
        <v>2.426249030,128.29766314</v>
      </c>
      <c r="AH60" s="5"/>
      <c r="AI60" s="5"/>
      <c r="AJ60" s="5"/>
      <c r="AK60" s="5" t="s">
        <v>172</v>
      </c>
    </row>
    <row r="61" spans="1:37" ht="15" hidden="1" customHeight="1">
      <c r="A61" s="30">
        <v>97</v>
      </c>
      <c r="B61" s="110">
        <v>44674</v>
      </c>
      <c r="C61" s="28">
        <f>B61</f>
        <v>44674</v>
      </c>
      <c r="D61" s="19" t="s">
        <v>37</v>
      </c>
      <c r="E61" s="19" t="s">
        <v>82</v>
      </c>
      <c r="F61" s="5" t="str">
        <f>E61</f>
        <v>Ajik Prastiyo</v>
      </c>
      <c r="G61" s="39" t="s">
        <v>80</v>
      </c>
      <c r="H61" s="106">
        <v>44668</v>
      </c>
      <c r="I61" s="96">
        <v>20.280100000000001</v>
      </c>
      <c r="J61" s="96">
        <v>40.183100000000003</v>
      </c>
      <c r="K61" s="96">
        <v>0.12666628999999999</v>
      </c>
      <c r="L61" s="96">
        <v>7.6368039999999998E-2</v>
      </c>
      <c r="M61" s="96">
        <v>8.6341195099999997</v>
      </c>
      <c r="N61" s="96">
        <v>0.21776350999999999</v>
      </c>
      <c r="O61" s="96">
        <v>1.707589E-2</v>
      </c>
      <c r="P61" s="96">
        <v>3.11027E-3</v>
      </c>
      <c r="Q61" s="96">
        <v>6.1819000000000002E-4</v>
      </c>
      <c r="R61" s="96">
        <v>0.20179342</v>
      </c>
      <c r="S61" s="96">
        <v>10.6034954</v>
      </c>
      <c r="T61" s="96">
        <v>0</v>
      </c>
      <c r="U61" s="96">
        <v>8.1858559999999997E-2</v>
      </c>
      <c r="V61" s="96">
        <v>0</v>
      </c>
      <c r="W61" s="96">
        <v>0</v>
      </c>
      <c r="X61" s="96">
        <v>8.7124370000000007E-2</v>
      </c>
      <c r="Y61" s="96">
        <v>0</v>
      </c>
      <c r="Z61" s="96"/>
      <c r="AA61" s="19"/>
      <c r="AB61" s="19"/>
      <c r="AC61" s="19"/>
      <c r="AD61" s="19"/>
      <c r="AE61" s="13"/>
      <c r="AF61" s="178" t="s">
        <v>173</v>
      </c>
      <c r="AG61" t="str">
        <f>VLOOKUP(OfficeForms.Table[[#This Row],[Nama Proyek]],'Nama Proyek'!$D$2:$G$29,4,0)</f>
        <v>-7.82225167,113.29968319</v>
      </c>
      <c r="AH61" s="5"/>
      <c r="AI61" s="5"/>
      <c r="AJ61" s="5"/>
      <c r="AK61" s="5" t="s">
        <v>174</v>
      </c>
    </row>
    <row r="62" spans="1:37" ht="15" hidden="1" customHeight="1">
      <c r="A62" s="30">
        <v>87</v>
      </c>
      <c r="B62" s="110">
        <v>44674</v>
      </c>
      <c r="C62" s="28">
        <f>B62</f>
        <v>44674</v>
      </c>
      <c r="D62" s="8" t="s">
        <v>37</v>
      </c>
      <c r="E62" s="8" t="s">
        <v>166</v>
      </c>
      <c r="F62" s="5" t="str">
        <f>E62</f>
        <v>Ganis Satria Pratama</v>
      </c>
      <c r="G62" s="9" t="s">
        <v>167</v>
      </c>
      <c r="H62" s="105"/>
      <c r="I62" s="95">
        <v>0</v>
      </c>
      <c r="J62" s="95">
        <v>0</v>
      </c>
      <c r="K62" s="95">
        <v>0</v>
      </c>
      <c r="L62" s="95">
        <v>0</v>
      </c>
      <c r="M62" s="95">
        <v>0</v>
      </c>
      <c r="N62" s="95">
        <v>0</v>
      </c>
      <c r="O62" s="95">
        <v>0</v>
      </c>
      <c r="P62" s="95">
        <v>0</v>
      </c>
      <c r="Q62" s="95">
        <v>0</v>
      </c>
      <c r="R62" s="95">
        <v>0</v>
      </c>
      <c r="S62" s="95">
        <v>0</v>
      </c>
      <c r="T62" s="95">
        <v>0</v>
      </c>
      <c r="U62" s="95">
        <v>0</v>
      </c>
      <c r="V62" s="95">
        <v>0</v>
      </c>
      <c r="W62" s="95">
        <v>0</v>
      </c>
      <c r="X62" s="95">
        <v>0</v>
      </c>
      <c r="Y62" s="95">
        <v>0</v>
      </c>
      <c r="Z62" s="95"/>
      <c r="AA62" s="8"/>
      <c r="AB62" s="8"/>
      <c r="AC62" s="8"/>
      <c r="AD62" s="8"/>
      <c r="AE62" s="11">
        <v>44774</v>
      </c>
      <c r="AF62" s="178"/>
      <c r="AG62" t="str">
        <f>VLOOKUP(OfficeForms.Table[[#This Row],[Nama Proyek]],'Nama Proyek'!$D$2:$G$29,4,0)</f>
        <v>2.426249030,128.29766314</v>
      </c>
      <c r="AH62" s="5"/>
      <c r="AI62" s="5"/>
      <c r="AJ62" s="5"/>
      <c r="AK62" s="5" t="s">
        <v>175</v>
      </c>
    </row>
    <row r="63" spans="1:37" ht="15" hidden="1" customHeight="1">
      <c r="A63" s="31">
        <v>90</v>
      </c>
      <c r="B63" s="111">
        <v>44674</v>
      </c>
      <c r="C63" s="29">
        <f>B63</f>
        <v>44674</v>
      </c>
      <c r="D63" s="9" t="s">
        <v>37</v>
      </c>
      <c r="E63" s="9" t="s">
        <v>166</v>
      </c>
      <c r="F63" s="5" t="str">
        <f>E63</f>
        <v>Ganis Satria Pratama</v>
      </c>
      <c r="G63" s="9" t="s">
        <v>167</v>
      </c>
      <c r="H63" s="105"/>
      <c r="I63" s="94">
        <v>0</v>
      </c>
      <c r="J63" s="94">
        <v>0</v>
      </c>
      <c r="K63" s="94">
        <v>0</v>
      </c>
      <c r="L63" s="94">
        <v>0</v>
      </c>
      <c r="M63" s="94">
        <v>0</v>
      </c>
      <c r="N63" s="94">
        <v>0</v>
      </c>
      <c r="O63" s="94">
        <v>0</v>
      </c>
      <c r="P63" s="94">
        <v>0</v>
      </c>
      <c r="Q63" s="94">
        <v>0</v>
      </c>
      <c r="R63" s="94">
        <v>0</v>
      </c>
      <c r="S63" s="94">
        <v>0</v>
      </c>
      <c r="T63" s="94">
        <v>0</v>
      </c>
      <c r="U63" s="94">
        <v>0</v>
      </c>
      <c r="V63" s="94">
        <v>0</v>
      </c>
      <c r="W63" s="94">
        <v>0</v>
      </c>
      <c r="X63" s="94">
        <v>0</v>
      </c>
      <c r="Y63" s="94">
        <v>0</v>
      </c>
      <c r="Z63" s="94"/>
      <c r="AA63" s="9"/>
      <c r="AB63" s="9"/>
      <c r="AC63" s="9"/>
      <c r="AD63" s="9"/>
      <c r="AE63" s="12">
        <v>44684</v>
      </c>
      <c r="AF63" s="178" t="s">
        <v>176</v>
      </c>
      <c r="AG63" t="str">
        <f>VLOOKUP(OfficeForms.Table[[#This Row],[Nama Proyek]],'Nama Proyek'!$D$2:$G$29,4,0)</f>
        <v>2.426249030,128.29766314</v>
      </c>
      <c r="AH63" s="5"/>
      <c r="AI63" s="5"/>
      <c r="AJ63" s="5"/>
      <c r="AK63" s="5" t="s">
        <v>177</v>
      </c>
    </row>
    <row r="64" spans="1:37" ht="15" hidden="1" customHeight="1">
      <c r="A64">
        <v>91</v>
      </c>
      <c r="B64" s="110">
        <v>44674</v>
      </c>
      <c r="C64" s="28">
        <f>B64</f>
        <v>44674</v>
      </c>
      <c r="D64" s="8" t="s">
        <v>37</v>
      </c>
      <c r="E64" s="8" t="s">
        <v>166</v>
      </c>
      <c r="F64" s="5" t="str">
        <f>E64</f>
        <v>Ganis Satria Pratama</v>
      </c>
      <c r="G64" s="17" t="s">
        <v>167</v>
      </c>
      <c r="H64" s="105"/>
      <c r="I64" s="95">
        <v>0</v>
      </c>
      <c r="J64" s="95">
        <v>0</v>
      </c>
      <c r="K64" s="95">
        <v>0</v>
      </c>
      <c r="L64" s="95">
        <v>0</v>
      </c>
      <c r="M64" s="95">
        <v>0</v>
      </c>
      <c r="N64" s="95">
        <v>0</v>
      </c>
      <c r="O64" s="95">
        <v>0</v>
      </c>
      <c r="P64" s="95">
        <v>0</v>
      </c>
      <c r="Q64" s="95">
        <v>0</v>
      </c>
      <c r="R64" s="95">
        <v>0</v>
      </c>
      <c r="S64" s="95">
        <v>0</v>
      </c>
      <c r="T64" s="95">
        <v>0</v>
      </c>
      <c r="U64" s="95">
        <v>0</v>
      </c>
      <c r="V64" s="95">
        <v>0</v>
      </c>
      <c r="W64" s="95">
        <v>0</v>
      </c>
      <c r="X64" s="95">
        <v>0</v>
      </c>
      <c r="Y64" s="95">
        <v>0</v>
      </c>
      <c r="Z64" s="95"/>
      <c r="AA64" s="8"/>
      <c r="AB64" s="8"/>
      <c r="AC64" s="8"/>
      <c r="AD64" s="8"/>
      <c r="AE64" s="11">
        <v>44412</v>
      </c>
      <c r="AF64" s="181" t="s">
        <v>178</v>
      </c>
      <c r="AG64" t="str">
        <f>VLOOKUP(OfficeForms.Table[[#This Row],[Nama Proyek]],'Nama Proyek'!$D$2:$G$29,4,0)</f>
        <v>2.426249030,128.29766314</v>
      </c>
      <c r="AH64" s="5"/>
      <c r="AI64" s="5"/>
      <c r="AJ64" s="5"/>
      <c r="AK64" s="5" t="s">
        <v>179</v>
      </c>
    </row>
    <row r="65" spans="1:37" ht="15" hidden="1" customHeight="1">
      <c r="A65" s="50">
        <v>92</v>
      </c>
      <c r="B65" s="111">
        <v>44674</v>
      </c>
      <c r="C65" s="29">
        <f>B65</f>
        <v>44674</v>
      </c>
      <c r="D65" s="9" t="s">
        <v>37</v>
      </c>
      <c r="E65" s="9" t="s">
        <v>166</v>
      </c>
      <c r="F65" s="5" t="str">
        <f>E65</f>
        <v>Ganis Satria Pratama</v>
      </c>
      <c r="G65" s="17" t="s">
        <v>167</v>
      </c>
      <c r="H65" s="105"/>
      <c r="I65" s="94">
        <v>0</v>
      </c>
      <c r="J65" s="94">
        <v>0</v>
      </c>
      <c r="K65" s="94">
        <v>0</v>
      </c>
      <c r="L65" s="94">
        <v>0</v>
      </c>
      <c r="M65" s="94">
        <v>0</v>
      </c>
      <c r="N65" s="94">
        <v>0</v>
      </c>
      <c r="O65" s="94">
        <v>0</v>
      </c>
      <c r="P65" s="94">
        <v>0</v>
      </c>
      <c r="Q65" s="94">
        <v>0</v>
      </c>
      <c r="R65" s="94">
        <v>0</v>
      </c>
      <c r="S65" s="94">
        <v>0</v>
      </c>
      <c r="T65" s="94">
        <v>0</v>
      </c>
      <c r="U65" s="94">
        <v>0</v>
      </c>
      <c r="V65" s="94">
        <v>0</v>
      </c>
      <c r="W65" s="94">
        <v>0</v>
      </c>
      <c r="X65" s="94">
        <v>0</v>
      </c>
      <c r="Y65" s="94">
        <v>0</v>
      </c>
      <c r="Z65" s="94"/>
      <c r="AA65" s="9"/>
      <c r="AB65" s="9"/>
      <c r="AC65" s="9"/>
      <c r="AD65" s="9"/>
      <c r="AE65" s="12" t="s">
        <v>180</v>
      </c>
      <c r="AF65" s="179"/>
      <c r="AG65" t="str">
        <f>VLOOKUP(OfficeForms.Table[[#This Row],[Nama Proyek]],'Nama Proyek'!$D$2:$G$29,4,0)</f>
        <v>2.426249030,128.29766314</v>
      </c>
      <c r="AH65" s="5"/>
      <c r="AI65" s="5"/>
      <c r="AJ65" s="5"/>
      <c r="AK65" s="5" t="s">
        <v>181</v>
      </c>
    </row>
    <row r="66" spans="1:37" ht="15" hidden="1" customHeight="1">
      <c r="A66" s="31">
        <v>94</v>
      </c>
      <c r="B66" s="111">
        <v>44674</v>
      </c>
      <c r="C66" s="29">
        <f>B66</f>
        <v>44674</v>
      </c>
      <c r="D66" s="8" t="s">
        <v>37</v>
      </c>
      <c r="E66" s="8" t="s">
        <v>166</v>
      </c>
      <c r="F66" s="5" t="str">
        <f>E66</f>
        <v>Ganis Satria Pratama</v>
      </c>
      <c r="G66" s="17" t="s">
        <v>167</v>
      </c>
      <c r="H66" s="105"/>
      <c r="I66" s="95">
        <v>0</v>
      </c>
      <c r="J66" s="95">
        <v>0</v>
      </c>
      <c r="K66" s="95">
        <v>0</v>
      </c>
      <c r="L66" s="95">
        <v>0</v>
      </c>
      <c r="M66" s="95">
        <v>0</v>
      </c>
      <c r="N66" s="95">
        <v>0</v>
      </c>
      <c r="O66" s="95">
        <v>0</v>
      </c>
      <c r="P66" s="95">
        <v>0</v>
      </c>
      <c r="Q66" s="95">
        <v>0</v>
      </c>
      <c r="R66" s="95">
        <v>0</v>
      </c>
      <c r="S66" s="95">
        <v>0</v>
      </c>
      <c r="T66" s="95">
        <v>0</v>
      </c>
      <c r="U66" s="95">
        <v>0</v>
      </c>
      <c r="V66" s="95">
        <v>0</v>
      </c>
      <c r="W66" s="95">
        <v>0</v>
      </c>
      <c r="X66" s="95">
        <v>0</v>
      </c>
      <c r="Y66" s="95">
        <v>0</v>
      </c>
      <c r="Z66" s="95"/>
      <c r="AA66" s="8"/>
      <c r="AB66" s="15"/>
      <c r="AC66" s="15"/>
      <c r="AD66" s="8"/>
      <c r="AE66" s="11" t="s">
        <v>182</v>
      </c>
      <c r="AF66" s="178"/>
      <c r="AG66" t="str">
        <f>VLOOKUP(OfficeForms.Table[[#This Row],[Nama Proyek]],'Nama Proyek'!$D$2:$G$29,4,0)</f>
        <v>2.426249030,128.29766314</v>
      </c>
      <c r="AH66" s="5"/>
      <c r="AI66" s="5"/>
      <c r="AJ66" s="5"/>
      <c r="AK66" s="5" t="s">
        <v>183</v>
      </c>
    </row>
    <row r="67" spans="1:37" ht="15" hidden="1" customHeight="1">
      <c r="A67" s="31">
        <v>104</v>
      </c>
      <c r="B67" s="111">
        <v>44674</v>
      </c>
      <c r="C67" s="29">
        <f>B67</f>
        <v>44674</v>
      </c>
      <c r="D67" s="9" t="s">
        <v>37</v>
      </c>
      <c r="E67" s="9" t="s">
        <v>82</v>
      </c>
      <c r="F67" s="5" t="str">
        <f>E67</f>
        <v>Ajik Prastiyo</v>
      </c>
      <c r="G67" s="32" t="s">
        <v>80</v>
      </c>
      <c r="H67" s="105"/>
      <c r="I67" s="94">
        <v>0</v>
      </c>
      <c r="J67" s="94">
        <v>0</v>
      </c>
      <c r="K67" s="94">
        <v>0</v>
      </c>
      <c r="L67" s="94">
        <v>0</v>
      </c>
      <c r="M67" s="94">
        <v>0</v>
      </c>
      <c r="N67" s="94">
        <v>0</v>
      </c>
      <c r="O67" s="94">
        <v>0</v>
      </c>
      <c r="P67" s="94">
        <v>0</v>
      </c>
      <c r="Q67" s="94">
        <v>0</v>
      </c>
      <c r="R67" s="94">
        <v>0</v>
      </c>
      <c r="S67" s="94">
        <v>0</v>
      </c>
      <c r="T67" s="94">
        <v>0</v>
      </c>
      <c r="U67" s="94">
        <v>0</v>
      </c>
      <c r="V67" s="94">
        <v>0</v>
      </c>
      <c r="W67" s="94">
        <v>0</v>
      </c>
      <c r="X67" s="94">
        <v>0</v>
      </c>
      <c r="Y67" s="94">
        <v>0</v>
      </c>
      <c r="Z67" s="94"/>
      <c r="AA67" s="9"/>
      <c r="AB67" s="17"/>
      <c r="AC67" s="17"/>
      <c r="AD67" s="17"/>
      <c r="AE67" s="18">
        <v>44564</v>
      </c>
      <c r="AF67" s="179"/>
      <c r="AG67" t="str">
        <f>VLOOKUP(OfficeForms.Table[[#This Row],[Nama Proyek]],'Nama Proyek'!$D$2:$G$29,4,0)</f>
        <v>-7.82225167,113.29968319</v>
      </c>
      <c r="AH67" s="5"/>
      <c r="AI67" s="5"/>
      <c r="AJ67" s="5"/>
      <c r="AK67" s="5" t="s">
        <v>184</v>
      </c>
    </row>
    <row r="68" spans="1:37" ht="15" hidden="1" customHeight="1">
      <c r="A68" s="31">
        <v>109</v>
      </c>
      <c r="B68" s="110">
        <v>44674</v>
      </c>
      <c r="C68" s="28">
        <f>B68</f>
        <v>44674</v>
      </c>
      <c r="D68" s="19" t="s">
        <v>37</v>
      </c>
      <c r="E68" s="19" t="s">
        <v>82</v>
      </c>
      <c r="F68" s="5" t="str">
        <f>E68</f>
        <v>Ajik Prastiyo</v>
      </c>
      <c r="G68" s="23" t="s">
        <v>80</v>
      </c>
      <c r="H68" s="105"/>
      <c r="I68" s="96">
        <v>0</v>
      </c>
      <c r="J68" s="96">
        <v>0</v>
      </c>
      <c r="K68" s="96">
        <v>0</v>
      </c>
      <c r="L68" s="96">
        <v>0</v>
      </c>
      <c r="M68" s="96">
        <v>0</v>
      </c>
      <c r="N68" s="96">
        <v>0</v>
      </c>
      <c r="O68" s="96">
        <v>0</v>
      </c>
      <c r="P68" s="96">
        <v>0</v>
      </c>
      <c r="Q68" s="96">
        <v>0</v>
      </c>
      <c r="R68" s="96">
        <v>0</v>
      </c>
      <c r="S68" s="96">
        <v>0</v>
      </c>
      <c r="T68" s="96">
        <v>0</v>
      </c>
      <c r="U68" s="96">
        <v>0</v>
      </c>
      <c r="V68" s="96">
        <v>0</v>
      </c>
      <c r="W68" s="96">
        <v>0</v>
      </c>
      <c r="X68" s="96">
        <v>0</v>
      </c>
      <c r="Y68" s="96">
        <v>0</v>
      </c>
      <c r="Z68" s="96"/>
      <c r="AA68" s="19"/>
      <c r="AB68" s="19"/>
      <c r="AC68" s="19"/>
      <c r="AD68" s="19"/>
      <c r="AE68" s="13">
        <v>44564</v>
      </c>
      <c r="AF68" s="178" t="s">
        <v>185</v>
      </c>
      <c r="AG68" t="str">
        <f>VLOOKUP(OfficeForms.Table[[#This Row],[Nama Proyek]],'Nama Proyek'!$D$2:$G$29,4,0)</f>
        <v>-7.82225167,113.29968319</v>
      </c>
      <c r="AH68" s="5"/>
      <c r="AI68" s="5"/>
      <c r="AJ68" s="5"/>
      <c r="AK68" s="5" t="s">
        <v>186</v>
      </c>
    </row>
    <row r="69" spans="1:37" ht="15" hidden="1" customHeight="1">
      <c r="A69" s="50">
        <v>110</v>
      </c>
      <c r="B69" s="111">
        <v>44674</v>
      </c>
      <c r="C69" s="29">
        <f>B69</f>
        <v>44674</v>
      </c>
      <c r="D69" s="8" t="s">
        <v>37</v>
      </c>
      <c r="E69" s="8" t="s">
        <v>82</v>
      </c>
      <c r="F69" s="5" t="str">
        <f>E69</f>
        <v>Ajik Prastiyo</v>
      </c>
      <c r="G69" s="22" t="s">
        <v>80</v>
      </c>
      <c r="H69" s="105"/>
      <c r="I69" s="95">
        <v>0</v>
      </c>
      <c r="J69" s="95">
        <v>0</v>
      </c>
      <c r="K69" s="95">
        <v>0</v>
      </c>
      <c r="L69" s="95">
        <v>0</v>
      </c>
      <c r="M69" s="95">
        <v>0</v>
      </c>
      <c r="N69" s="95">
        <v>0</v>
      </c>
      <c r="O69" s="95">
        <v>0</v>
      </c>
      <c r="P69" s="95">
        <v>0</v>
      </c>
      <c r="Q69" s="95">
        <v>0</v>
      </c>
      <c r="R69" s="95">
        <v>0</v>
      </c>
      <c r="S69" s="95">
        <v>0</v>
      </c>
      <c r="T69" s="95">
        <v>0</v>
      </c>
      <c r="U69" s="95">
        <v>0</v>
      </c>
      <c r="V69" s="95">
        <v>0</v>
      </c>
      <c r="W69" s="95">
        <v>0</v>
      </c>
      <c r="X69" s="95">
        <v>0</v>
      </c>
      <c r="Y69" s="95">
        <v>0</v>
      </c>
      <c r="Z69" s="95"/>
      <c r="AA69" s="8"/>
      <c r="AB69" s="8"/>
      <c r="AC69" s="8"/>
      <c r="AD69" s="8"/>
      <c r="AE69" s="11">
        <v>44564</v>
      </c>
      <c r="AF69" s="179" t="s">
        <v>187</v>
      </c>
      <c r="AG69" t="str">
        <f>VLOOKUP(OfficeForms.Table[[#This Row],[Nama Proyek]],'Nama Proyek'!$D$2:$G$29,4,0)</f>
        <v>-7.82225167,113.29968319</v>
      </c>
      <c r="AH69" s="5"/>
      <c r="AI69" s="5"/>
      <c r="AJ69" s="5"/>
      <c r="AK69" s="5" t="s">
        <v>188</v>
      </c>
    </row>
    <row r="70" spans="1:37" ht="15" hidden="1" customHeight="1">
      <c r="A70">
        <v>111</v>
      </c>
      <c r="B70" s="110">
        <v>44674</v>
      </c>
      <c r="C70" s="28">
        <f>B70</f>
        <v>44674</v>
      </c>
      <c r="D70" s="19" t="s">
        <v>37</v>
      </c>
      <c r="E70" s="19" t="s">
        <v>82</v>
      </c>
      <c r="F70" s="5" t="str">
        <f>E70</f>
        <v>Ajik Prastiyo</v>
      </c>
      <c r="G70" s="39" t="s">
        <v>80</v>
      </c>
      <c r="H70" s="105"/>
      <c r="I70" s="96">
        <v>0</v>
      </c>
      <c r="J70" s="96">
        <v>0</v>
      </c>
      <c r="K70" s="96">
        <v>0</v>
      </c>
      <c r="L70" s="96">
        <v>0</v>
      </c>
      <c r="M70" s="96">
        <v>0</v>
      </c>
      <c r="N70" s="96">
        <v>0</v>
      </c>
      <c r="O70" s="96">
        <v>0</v>
      </c>
      <c r="P70" s="96">
        <v>0</v>
      </c>
      <c r="Q70" s="96">
        <v>0</v>
      </c>
      <c r="R70" s="96">
        <v>0</v>
      </c>
      <c r="S70" s="96">
        <v>0</v>
      </c>
      <c r="T70" s="96">
        <v>0</v>
      </c>
      <c r="U70" s="96">
        <v>0</v>
      </c>
      <c r="V70" s="96">
        <v>0</v>
      </c>
      <c r="W70" s="96">
        <v>0</v>
      </c>
      <c r="X70" s="96">
        <v>0</v>
      </c>
      <c r="Y70" s="96">
        <v>0</v>
      </c>
      <c r="Z70" s="96"/>
      <c r="AA70" s="19"/>
      <c r="AB70" s="19"/>
      <c r="AC70" s="42"/>
      <c r="AD70" s="42"/>
      <c r="AE70" s="13">
        <v>44565</v>
      </c>
      <c r="AF70" s="178" t="s">
        <v>189</v>
      </c>
      <c r="AG70" t="str">
        <f>VLOOKUP(OfficeForms.Table[[#This Row],[Nama Proyek]],'Nama Proyek'!$D$2:$G$29,4,0)</f>
        <v>-7.82225167,113.29968319</v>
      </c>
      <c r="AH70" s="5"/>
      <c r="AI70" s="5"/>
      <c r="AJ70" s="5"/>
      <c r="AK70" s="5" t="s">
        <v>190</v>
      </c>
    </row>
    <row r="71" spans="1:37" ht="15" hidden="1" customHeight="1">
      <c r="A71" s="30">
        <v>112</v>
      </c>
      <c r="B71" s="111">
        <v>44674</v>
      </c>
      <c r="C71" s="29">
        <f>B71</f>
        <v>44674</v>
      </c>
      <c r="D71" s="8" t="s">
        <v>37</v>
      </c>
      <c r="E71" s="8" t="s">
        <v>82</v>
      </c>
      <c r="F71" s="5" t="str">
        <f>E71</f>
        <v>Ajik Prastiyo</v>
      </c>
      <c r="G71" s="22" t="s">
        <v>80</v>
      </c>
      <c r="H71" s="105"/>
      <c r="I71" s="95">
        <v>0</v>
      </c>
      <c r="J71" s="95">
        <v>0</v>
      </c>
      <c r="K71" s="95">
        <v>0</v>
      </c>
      <c r="L71" s="95">
        <v>0</v>
      </c>
      <c r="M71" s="95">
        <v>0</v>
      </c>
      <c r="N71" s="95">
        <v>0</v>
      </c>
      <c r="O71" s="95">
        <v>0</v>
      </c>
      <c r="P71" s="95">
        <v>0</v>
      </c>
      <c r="Q71" s="95">
        <v>0</v>
      </c>
      <c r="R71" s="95">
        <v>0</v>
      </c>
      <c r="S71" s="95">
        <v>0</v>
      </c>
      <c r="T71" s="95">
        <v>0</v>
      </c>
      <c r="U71" s="95">
        <v>0</v>
      </c>
      <c r="V71" s="95">
        <v>0</v>
      </c>
      <c r="W71" s="95">
        <v>0</v>
      </c>
      <c r="X71" s="95">
        <v>0</v>
      </c>
      <c r="Y71" s="95">
        <v>0</v>
      </c>
      <c r="Z71" s="95"/>
      <c r="AA71" s="8"/>
      <c r="AB71" s="15"/>
      <c r="AC71" s="15"/>
      <c r="AD71" s="15"/>
      <c r="AE71" s="16">
        <v>44565</v>
      </c>
      <c r="AF71" s="179" t="s">
        <v>191</v>
      </c>
      <c r="AG71" t="str">
        <f>VLOOKUP(OfficeForms.Table[[#This Row],[Nama Proyek]],'Nama Proyek'!$D$2:$G$29,4,0)</f>
        <v>-7.82225167,113.29968319</v>
      </c>
      <c r="AH71" s="5"/>
      <c r="AI71" s="5"/>
      <c r="AJ71" s="5"/>
      <c r="AK71" s="5" t="s">
        <v>192</v>
      </c>
    </row>
    <row r="72" spans="1:37" ht="15" hidden="1" customHeight="1">
      <c r="A72">
        <v>113</v>
      </c>
      <c r="B72" s="110">
        <v>44674</v>
      </c>
      <c r="C72" s="28">
        <f>B72</f>
        <v>44674</v>
      </c>
      <c r="D72" s="19" t="s">
        <v>37</v>
      </c>
      <c r="E72" s="19" t="s">
        <v>82</v>
      </c>
      <c r="F72" s="5" t="str">
        <f>E72</f>
        <v>Ajik Prastiyo</v>
      </c>
      <c r="G72" s="39" t="s">
        <v>80</v>
      </c>
      <c r="H72" s="105"/>
      <c r="I72" s="96">
        <v>0</v>
      </c>
      <c r="J72" s="96">
        <v>0</v>
      </c>
      <c r="K72" s="96">
        <v>0</v>
      </c>
      <c r="L72" s="96">
        <v>0</v>
      </c>
      <c r="M72" s="96">
        <v>0</v>
      </c>
      <c r="N72" s="96">
        <v>0</v>
      </c>
      <c r="O72" s="96">
        <v>0</v>
      </c>
      <c r="P72" s="96">
        <v>0</v>
      </c>
      <c r="Q72" s="96">
        <v>0</v>
      </c>
      <c r="R72" s="96">
        <v>0</v>
      </c>
      <c r="S72" s="96">
        <v>0</v>
      </c>
      <c r="T72" s="96">
        <v>0</v>
      </c>
      <c r="U72" s="96">
        <v>0</v>
      </c>
      <c r="V72" s="96">
        <v>0</v>
      </c>
      <c r="W72" s="96">
        <v>0</v>
      </c>
      <c r="X72" s="96">
        <v>0</v>
      </c>
      <c r="Y72" s="96">
        <v>0</v>
      </c>
      <c r="Z72" s="96"/>
      <c r="AA72" s="19"/>
      <c r="AB72" s="19"/>
      <c r="AC72" s="19"/>
      <c r="AD72" s="19"/>
      <c r="AE72" s="13">
        <v>44563</v>
      </c>
      <c r="AF72" s="178" t="s">
        <v>193</v>
      </c>
      <c r="AG72" t="str">
        <f>VLOOKUP(OfficeForms.Table[[#This Row],[Nama Proyek]],'Nama Proyek'!$D$2:$G$29,4,0)</f>
        <v>-7.82225167,113.29968319</v>
      </c>
      <c r="AH72" s="5"/>
      <c r="AI72" s="5"/>
      <c r="AJ72" s="5"/>
      <c r="AK72" s="5" t="s">
        <v>194</v>
      </c>
    </row>
    <row r="73" spans="1:37" ht="15" hidden="1" customHeight="1">
      <c r="A73">
        <v>114</v>
      </c>
      <c r="B73" s="111">
        <v>44674</v>
      </c>
      <c r="C73" s="29">
        <f>B73</f>
        <v>44674</v>
      </c>
      <c r="D73" s="8" t="s">
        <v>37</v>
      </c>
      <c r="E73" s="8" t="s">
        <v>82</v>
      </c>
      <c r="F73" s="5" t="str">
        <f>E73</f>
        <v>Ajik Prastiyo</v>
      </c>
      <c r="G73" s="32" t="s">
        <v>80</v>
      </c>
      <c r="H73" s="105"/>
      <c r="I73" s="95">
        <v>0</v>
      </c>
      <c r="J73" s="95">
        <v>0</v>
      </c>
      <c r="K73" s="95">
        <v>0</v>
      </c>
      <c r="L73" s="95">
        <v>0</v>
      </c>
      <c r="M73" s="95">
        <v>0</v>
      </c>
      <c r="N73" s="95">
        <v>0</v>
      </c>
      <c r="O73" s="95">
        <v>0</v>
      </c>
      <c r="P73" s="95">
        <v>0</v>
      </c>
      <c r="Q73" s="95">
        <v>0</v>
      </c>
      <c r="R73" s="95">
        <v>0</v>
      </c>
      <c r="S73" s="95">
        <v>0</v>
      </c>
      <c r="T73" s="95">
        <v>0</v>
      </c>
      <c r="U73" s="95">
        <v>0</v>
      </c>
      <c r="V73" s="95">
        <v>0</v>
      </c>
      <c r="W73" s="95">
        <v>0</v>
      </c>
      <c r="X73" s="95">
        <v>0</v>
      </c>
      <c r="Y73" s="95">
        <v>0</v>
      </c>
      <c r="Z73" s="95"/>
      <c r="AA73" s="8"/>
      <c r="AB73" s="8"/>
      <c r="AC73" s="8"/>
      <c r="AD73" s="15"/>
      <c r="AE73" s="11">
        <v>44564</v>
      </c>
      <c r="AF73" s="15"/>
      <c r="AG73" t="str">
        <f>VLOOKUP(OfficeForms.Table[[#This Row],[Nama Proyek]],'Nama Proyek'!$D$2:$G$29,4,0)</f>
        <v>-7.82225167,113.29968319</v>
      </c>
      <c r="AH73" s="5"/>
      <c r="AI73" s="5"/>
      <c r="AJ73" s="5"/>
      <c r="AK73" s="5" t="s">
        <v>195</v>
      </c>
    </row>
    <row r="74" spans="1:37" ht="15" hidden="1" customHeight="1">
      <c r="A74" s="31">
        <v>127</v>
      </c>
      <c r="B74" s="110">
        <v>44677</v>
      </c>
      <c r="C74" s="28">
        <f>B74</f>
        <v>44677</v>
      </c>
      <c r="D74" s="19" t="s">
        <v>37</v>
      </c>
      <c r="E74" s="19" t="s">
        <v>82</v>
      </c>
      <c r="F74" s="5" t="str">
        <f>E74</f>
        <v>Ajik Prastiyo</v>
      </c>
      <c r="G74" s="39" t="s">
        <v>80</v>
      </c>
      <c r="H74" s="106">
        <v>44528</v>
      </c>
      <c r="I74" s="96">
        <v>9.8632060799999994</v>
      </c>
      <c r="J74" s="96">
        <v>15.80779431</v>
      </c>
      <c r="K74" s="96">
        <v>5.7717190000000002E-2</v>
      </c>
      <c r="L74" s="96">
        <v>7.6368039999999998E-2</v>
      </c>
      <c r="M74" s="96">
        <v>4.4220249100000002</v>
      </c>
      <c r="N74" s="96">
        <v>0.10412803</v>
      </c>
      <c r="O74" s="96">
        <v>2.5671600000000002E-3</v>
      </c>
      <c r="P74" s="96">
        <v>2.0919699999999999E-3</v>
      </c>
      <c r="Q74" s="96">
        <v>6.1819000000000002E-4</v>
      </c>
      <c r="R74" s="96">
        <v>0.10353709</v>
      </c>
      <c r="S74" s="96">
        <v>4.7592363000000004</v>
      </c>
      <c r="T74" s="96">
        <v>0</v>
      </c>
      <c r="U74" s="96">
        <v>5.3759700000000001E-2</v>
      </c>
      <c r="V74" s="96">
        <v>0</v>
      </c>
      <c r="W74" s="96">
        <v>0</v>
      </c>
      <c r="X74" s="96">
        <v>5.1057499999999999E-2</v>
      </c>
      <c r="Y74" s="96">
        <v>0</v>
      </c>
      <c r="Z74" s="96"/>
      <c r="AA74" s="19"/>
      <c r="AB74" s="19"/>
      <c r="AC74" s="42"/>
      <c r="AD74" s="42"/>
      <c r="AE74" s="24"/>
      <c r="AF74" s="181" t="s">
        <v>196</v>
      </c>
      <c r="AG74" t="str">
        <f>VLOOKUP(OfficeForms.Table[[#This Row],[Nama Proyek]],'Nama Proyek'!$D$2:$G$29,4,0)</f>
        <v>-7.82225167,113.29968319</v>
      </c>
      <c r="AH74" s="5"/>
      <c r="AI74" s="5"/>
      <c r="AJ74" s="5"/>
      <c r="AK74" s="5" t="s">
        <v>197</v>
      </c>
    </row>
    <row r="75" spans="1:37" ht="15" hidden="1" customHeight="1">
      <c r="A75" s="30">
        <v>125</v>
      </c>
      <c r="B75" s="110">
        <v>44677</v>
      </c>
      <c r="C75" s="28">
        <f>B75</f>
        <v>44677</v>
      </c>
      <c r="D75" s="19" t="s">
        <v>37</v>
      </c>
      <c r="E75" s="19" t="s">
        <v>82</v>
      </c>
      <c r="F75" s="5" t="str">
        <f>E75</f>
        <v>Ajik Prastiyo</v>
      </c>
      <c r="G75" s="39" t="s">
        <v>80</v>
      </c>
      <c r="H75" s="106">
        <v>44591</v>
      </c>
      <c r="I75" s="96">
        <v>14.61407284</v>
      </c>
      <c r="J75" s="96">
        <v>23.75360706</v>
      </c>
      <c r="K75" s="96">
        <v>9.105705E-2</v>
      </c>
      <c r="L75" s="96">
        <v>7.6368039999999998E-2</v>
      </c>
      <c r="M75" s="96">
        <v>6.0169144000000001</v>
      </c>
      <c r="N75" s="96">
        <v>0.15711281999999999</v>
      </c>
      <c r="O75" s="96">
        <v>1.707589E-2</v>
      </c>
      <c r="P75" s="96">
        <v>2.0919699999999999E-3</v>
      </c>
      <c r="Q75" s="96">
        <v>6.1819000000000002E-4</v>
      </c>
      <c r="R75" s="96">
        <v>0.10353709</v>
      </c>
      <c r="S75" s="96">
        <v>7.7819536100000004</v>
      </c>
      <c r="T75" s="96">
        <v>0</v>
      </c>
      <c r="U75" s="96">
        <v>8.1858559999999997E-2</v>
      </c>
      <c r="V75" s="96">
        <v>0</v>
      </c>
      <c r="W75" s="96">
        <v>0</v>
      </c>
      <c r="X75" s="96">
        <v>5.5385230000000001E-2</v>
      </c>
      <c r="Y75" s="96">
        <v>0</v>
      </c>
      <c r="Z75" s="96"/>
      <c r="AA75" s="19"/>
      <c r="AB75" s="19"/>
      <c r="AC75" s="19"/>
      <c r="AD75" s="42"/>
      <c r="AE75" s="13"/>
      <c r="AF75" s="178"/>
      <c r="AG75" t="str">
        <f>VLOOKUP(OfficeForms.Table[[#This Row],[Nama Proyek]],'Nama Proyek'!$D$2:$G$29,4,0)</f>
        <v>-7.82225167,113.29968319</v>
      </c>
      <c r="AH75" s="5"/>
      <c r="AI75" s="5"/>
      <c r="AJ75" s="5"/>
      <c r="AK75" s="5" t="s">
        <v>198</v>
      </c>
    </row>
    <row r="76" spans="1:37" ht="15" hidden="1" customHeight="1">
      <c r="A76" s="31">
        <v>126</v>
      </c>
      <c r="B76" s="111">
        <v>44677</v>
      </c>
      <c r="C76" s="29">
        <f>B76</f>
        <v>44677</v>
      </c>
      <c r="D76" s="8" t="s">
        <v>37</v>
      </c>
      <c r="E76" s="8" t="s">
        <v>82</v>
      </c>
      <c r="F76" s="5" t="str">
        <f>E76</f>
        <v>Ajik Prastiyo</v>
      </c>
      <c r="G76" s="22" t="s">
        <v>80</v>
      </c>
      <c r="H76" s="105">
        <v>44593</v>
      </c>
      <c r="I76" s="95">
        <v>12.88899617</v>
      </c>
      <c r="J76" s="95">
        <v>20.244885759999999</v>
      </c>
      <c r="K76" s="95">
        <v>7.5680700000000004E-2</v>
      </c>
      <c r="L76" s="95">
        <v>7.6368039999999998E-2</v>
      </c>
      <c r="M76" s="95">
        <v>5.3931380100000004</v>
      </c>
      <c r="N76" s="95">
        <v>0.14194266999999999</v>
      </c>
      <c r="O76" s="95">
        <v>2.5671600000000002E-3</v>
      </c>
      <c r="P76" s="95">
        <v>2.0919699999999999E-3</v>
      </c>
      <c r="Q76" s="95">
        <v>6.1819000000000002E-4</v>
      </c>
      <c r="R76" s="95">
        <v>0.10353709</v>
      </c>
      <c r="S76" s="95">
        <v>6.7268071300000001</v>
      </c>
      <c r="T76" s="95">
        <v>0</v>
      </c>
      <c r="U76" s="95">
        <v>8.0759990000000004E-2</v>
      </c>
      <c r="V76" s="95">
        <v>0</v>
      </c>
      <c r="W76" s="95">
        <v>0</v>
      </c>
      <c r="X76" s="95">
        <v>5.5385230000000001E-2</v>
      </c>
      <c r="Y76" s="95">
        <v>0</v>
      </c>
      <c r="Z76" s="95"/>
      <c r="AA76" s="8"/>
      <c r="AB76" s="8"/>
      <c r="AC76" s="8"/>
      <c r="AD76" s="8"/>
      <c r="AE76" s="11"/>
      <c r="AF76" s="42"/>
      <c r="AG76" t="str">
        <f>VLOOKUP(OfficeForms.Table[[#This Row],[Nama Proyek]],'Nama Proyek'!$D$2:$G$29,4,0)</f>
        <v>-7.82225167,113.29968319</v>
      </c>
      <c r="AH76" s="5"/>
      <c r="AI76" s="5"/>
      <c r="AJ76" s="5"/>
      <c r="AK76" s="5" t="s">
        <v>199</v>
      </c>
    </row>
    <row r="77" spans="1:37" ht="15" hidden="1" customHeight="1">
      <c r="A77">
        <v>124</v>
      </c>
      <c r="B77" s="111">
        <v>44677</v>
      </c>
      <c r="C77" s="29">
        <f>B77</f>
        <v>44677</v>
      </c>
      <c r="D77" s="8" t="s">
        <v>37</v>
      </c>
      <c r="E77" s="8" t="s">
        <v>82</v>
      </c>
      <c r="F77" s="5" t="str">
        <f>E77</f>
        <v>Ajik Prastiyo</v>
      </c>
      <c r="G77" s="22" t="s">
        <v>80</v>
      </c>
      <c r="H77" s="105">
        <v>44619</v>
      </c>
      <c r="I77" s="95">
        <v>15.987054260000001</v>
      </c>
      <c r="J77" s="95">
        <v>28.70082365</v>
      </c>
      <c r="K77" s="95">
        <v>9.3258389999999997E-2</v>
      </c>
      <c r="L77" s="95">
        <v>7.6368039999999998E-2</v>
      </c>
      <c r="M77" s="95">
        <v>6.4965874699999997</v>
      </c>
      <c r="N77" s="95">
        <v>0.17004126</v>
      </c>
      <c r="O77" s="95">
        <v>1.707589E-2</v>
      </c>
      <c r="P77" s="95">
        <v>2.0919699999999999E-3</v>
      </c>
      <c r="Q77" s="95">
        <v>6.1819000000000002E-4</v>
      </c>
      <c r="R77" s="95">
        <v>0.10685451</v>
      </c>
      <c r="S77" s="95">
        <v>8.6250756099999997</v>
      </c>
      <c r="T77" s="95">
        <v>0</v>
      </c>
      <c r="U77" s="95">
        <v>8.1858559999999997E-2</v>
      </c>
      <c r="V77" s="95">
        <v>0</v>
      </c>
      <c r="W77" s="95">
        <v>0</v>
      </c>
      <c r="X77" s="95">
        <v>8.7124370000000007E-2</v>
      </c>
      <c r="Y77" s="95">
        <v>0</v>
      </c>
      <c r="Z77" s="95"/>
      <c r="AA77" s="8"/>
      <c r="AB77" s="8"/>
      <c r="AC77" s="8"/>
      <c r="AD77" s="8"/>
      <c r="AE77" s="16"/>
      <c r="AF77" s="179"/>
      <c r="AG77" t="str">
        <f>VLOOKUP(OfficeForms.Table[[#This Row],[Nama Proyek]],'Nama Proyek'!$D$2:$G$29,4,0)</f>
        <v>-7.82225167,113.29968319</v>
      </c>
      <c r="AH77" s="5"/>
      <c r="AI77" s="5"/>
      <c r="AJ77" s="5"/>
      <c r="AK77" s="5" t="s">
        <v>200</v>
      </c>
    </row>
    <row r="78" spans="1:37" ht="15" hidden="1" customHeight="1">
      <c r="A78">
        <v>131</v>
      </c>
      <c r="B78" s="110">
        <v>44677</v>
      </c>
      <c r="C78" s="28">
        <f>B78</f>
        <v>44677</v>
      </c>
      <c r="D78" s="8" t="s">
        <v>37</v>
      </c>
      <c r="E78" s="8" t="s">
        <v>54</v>
      </c>
      <c r="F78" s="5" t="str">
        <f>E78</f>
        <v>Haryo Widiandoko</v>
      </c>
      <c r="G78" s="42" t="s">
        <v>55</v>
      </c>
      <c r="H78" s="105">
        <v>44621</v>
      </c>
      <c r="I78" s="95">
        <v>65.668000000000006</v>
      </c>
      <c r="J78" s="95">
        <v>66.17</v>
      </c>
      <c r="K78" s="95">
        <v>0.14099999999999999</v>
      </c>
      <c r="L78" s="95">
        <v>0.161</v>
      </c>
      <c r="M78" s="95">
        <v>19.268999999999998</v>
      </c>
      <c r="N78" s="95">
        <v>2.165</v>
      </c>
      <c r="O78" s="95">
        <v>1.952</v>
      </c>
      <c r="P78" s="95">
        <v>6.6000000000000003E-2</v>
      </c>
      <c r="Q78" s="95">
        <v>0.58699999999999997</v>
      </c>
      <c r="R78" s="95">
        <v>7.766</v>
      </c>
      <c r="S78" s="95">
        <v>32.265999999999998</v>
      </c>
      <c r="T78" s="95">
        <v>0.23899999999999999</v>
      </c>
      <c r="U78" s="95">
        <v>0.56000000000000005</v>
      </c>
      <c r="V78" s="95">
        <v>3.9E-2</v>
      </c>
      <c r="W78" s="95">
        <v>0</v>
      </c>
      <c r="X78" s="95">
        <v>0.90500000000000003</v>
      </c>
      <c r="Y78" s="95">
        <v>0</v>
      </c>
      <c r="Z78" s="95"/>
      <c r="AA78" s="8"/>
      <c r="AB78" s="8"/>
      <c r="AC78" s="15"/>
      <c r="AD78" s="15"/>
      <c r="AE78" s="11"/>
      <c r="AF78" s="181"/>
      <c r="AG78" t="str">
        <f>VLOOKUP(OfficeForms.Table[[#This Row],[Nama Proyek]],'Nama Proyek'!$D$2:$G$29,4,0)</f>
        <v>-6.42873464,107.19897003</v>
      </c>
      <c r="AH78" s="5"/>
      <c r="AI78" s="5"/>
      <c r="AJ78" s="5"/>
      <c r="AK78" s="5" t="s">
        <v>201</v>
      </c>
    </row>
    <row r="79" spans="1:37" ht="15" hidden="1" customHeight="1">
      <c r="A79" s="30">
        <v>123</v>
      </c>
      <c r="B79" s="110">
        <v>44677</v>
      </c>
      <c r="C79" s="28">
        <f>B79</f>
        <v>44677</v>
      </c>
      <c r="D79" s="19" t="s">
        <v>37</v>
      </c>
      <c r="E79" s="19" t="s">
        <v>82</v>
      </c>
      <c r="F79" s="5" t="str">
        <f>E79</f>
        <v>Ajik Prastiyo</v>
      </c>
      <c r="G79" s="23" t="s">
        <v>80</v>
      </c>
      <c r="H79" s="106">
        <v>44647</v>
      </c>
      <c r="I79" s="96">
        <v>18.008815930000001</v>
      </c>
      <c r="J79" s="96">
        <v>35.55554205</v>
      </c>
      <c r="K79" s="96">
        <v>9.3258389999999997E-2</v>
      </c>
      <c r="L79" s="96">
        <v>7.6368039999999998E-2</v>
      </c>
      <c r="M79" s="96">
        <v>7.4859980500000001</v>
      </c>
      <c r="N79" s="96">
        <v>0.18931913</v>
      </c>
      <c r="O79" s="96">
        <v>1.707589E-2</v>
      </c>
      <c r="P79" s="96">
        <v>3.11027E-3</v>
      </c>
      <c r="Q79" s="96">
        <v>6.1819000000000002E-4</v>
      </c>
      <c r="R79" s="96">
        <v>0.20179342</v>
      </c>
      <c r="S79" s="96">
        <v>9.5421916200000005</v>
      </c>
      <c r="T79" s="96">
        <v>0</v>
      </c>
      <c r="U79" s="96">
        <v>8.1858559999999997E-2</v>
      </c>
      <c r="V79" s="96">
        <v>0</v>
      </c>
      <c r="W79" s="96">
        <v>0</v>
      </c>
      <c r="X79" s="96">
        <v>8.7124370000000007E-2</v>
      </c>
      <c r="Y79" s="96">
        <v>0</v>
      </c>
      <c r="Z79" s="96"/>
      <c r="AA79" s="19"/>
      <c r="AB79" s="42"/>
      <c r="AC79" s="19"/>
      <c r="AD79" s="19"/>
      <c r="AE79" s="13"/>
      <c r="AF79" s="178"/>
      <c r="AG79" t="str">
        <f>VLOOKUP(OfficeForms.Table[[#This Row],[Nama Proyek]],'Nama Proyek'!$D$2:$G$29,4,0)</f>
        <v>-7.82225167,113.29968319</v>
      </c>
      <c r="AH79" s="5"/>
      <c r="AI79" s="5"/>
      <c r="AJ79" s="5"/>
      <c r="AK79" s="5" t="s">
        <v>202</v>
      </c>
    </row>
    <row r="80" spans="1:37" ht="15" hidden="1" customHeight="1">
      <c r="A80" s="31">
        <v>85</v>
      </c>
      <c r="B80" s="110">
        <v>44677</v>
      </c>
      <c r="C80" s="28">
        <f>B80</f>
        <v>44677</v>
      </c>
      <c r="D80" s="8" t="s">
        <v>37</v>
      </c>
      <c r="E80" s="8" t="s">
        <v>203</v>
      </c>
      <c r="F80" s="5" t="str">
        <f>E80</f>
        <v>BUDI SUGORO</v>
      </c>
      <c r="G80" s="54" t="s">
        <v>76</v>
      </c>
      <c r="H80" s="105">
        <v>44674</v>
      </c>
      <c r="I80" s="95">
        <v>22.81</v>
      </c>
      <c r="J80" s="95">
        <v>23</v>
      </c>
      <c r="K80" s="95">
        <v>0</v>
      </c>
      <c r="L80" s="95">
        <v>21.414000000000001</v>
      </c>
      <c r="M80" s="95">
        <v>0</v>
      </c>
      <c r="N80" s="95">
        <v>0</v>
      </c>
      <c r="O80" s="95">
        <v>0</v>
      </c>
      <c r="P80" s="95">
        <v>0</v>
      </c>
      <c r="Q80" s="95">
        <v>0</v>
      </c>
      <c r="R80" s="95">
        <v>0.23100000000000001</v>
      </c>
      <c r="S80" s="95">
        <v>0</v>
      </c>
      <c r="T80" s="95">
        <v>0</v>
      </c>
      <c r="U80" s="95">
        <v>0</v>
      </c>
      <c r="V80" s="95">
        <v>0</v>
      </c>
      <c r="W80" s="95">
        <v>0</v>
      </c>
      <c r="X80" s="95">
        <v>0</v>
      </c>
      <c r="Y80" s="95">
        <v>0</v>
      </c>
      <c r="Z80" s="95"/>
      <c r="AA80" s="8"/>
      <c r="AB80" s="8"/>
      <c r="AC80" s="15"/>
      <c r="AD80" s="15"/>
      <c r="AE80" s="11"/>
      <c r="AF80" s="17"/>
      <c r="AG80" t="str">
        <f>VLOOKUP(OfficeForms.Table[[#This Row],[Nama Proyek]],'Nama Proyek'!$D$2:$G$29,4,0)</f>
        <v>-2.95293103,104.75455094</v>
      </c>
      <c r="AH80" s="5"/>
      <c r="AI80" s="5"/>
      <c r="AJ80" s="5"/>
      <c r="AK80" s="5" t="s">
        <v>204</v>
      </c>
    </row>
    <row r="81" spans="1:37" ht="15" hidden="1" customHeight="1">
      <c r="A81" s="31">
        <v>163</v>
      </c>
      <c r="B81" s="110">
        <v>44677</v>
      </c>
      <c r="C81" s="28">
        <f>B81</f>
        <v>44677</v>
      </c>
      <c r="D81" s="8" t="s">
        <v>37</v>
      </c>
      <c r="E81" s="8" t="s">
        <v>136</v>
      </c>
      <c r="F81" s="5" t="str">
        <f>E81</f>
        <v>Utomo Aryowibowo</v>
      </c>
      <c r="G81" s="15" t="s">
        <v>52</v>
      </c>
      <c r="H81" s="105">
        <v>44679</v>
      </c>
      <c r="I81" s="95">
        <v>83.908000000000001</v>
      </c>
      <c r="J81" s="95">
        <v>84.869</v>
      </c>
      <c r="K81" s="95">
        <v>0</v>
      </c>
      <c r="L81" s="95">
        <v>-1E-3</v>
      </c>
      <c r="M81" s="95">
        <v>0.152</v>
      </c>
      <c r="N81" s="95">
        <v>0.23599999999999999</v>
      </c>
      <c r="O81" s="95">
        <v>0</v>
      </c>
      <c r="P81" s="95">
        <v>0</v>
      </c>
      <c r="Q81" s="95">
        <v>0</v>
      </c>
      <c r="R81" s="95">
        <v>1.8009999999999999</v>
      </c>
      <c r="S81" s="95">
        <v>64.891999999999996</v>
      </c>
      <c r="T81" s="95">
        <v>0</v>
      </c>
      <c r="U81" s="95">
        <v>0.23</v>
      </c>
      <c r="V81" s="95">
        <v>0.317</v>
      </c>
      <c r="W81" s="95">
        <v>0</v>
      </c>
      <c r="X81" s="95">
        <v>0.51800000000000002</v>
      </c>
      <c r="Y81" s="95">
        <v>0</v>
      </c>
      <c r="Z81" s="95"/>
      <c r="AA81" s="8"/>
      <c r="AB81" s="8"/>
      <c r="AC81" s="8"/>
      <c r="AD81" s="15"/>
      <c r="AE81" s="16"/>
      <c r="AF81" s="186"/>
      <c r="AG81" t="str">
        <f>VLOOKUP(OfficeForms.Table[[#This Row],[Nama Proyek]],'Nama Proyek'!$D$2:$G$29,4,0)</f>
        <v>-6.13491053,106.93675986</v>
      </c>
      <c r="AH81" s="5"/>
      <c r="AI81" s="5"/>
      <c r="AJ81" s="5"/>
      <c r="AK81" s="5" t="s">
        <v>205</v>
      </c>
    </row>
    <row r="82" spans="1:37" ht="15" hidden="1" customHeight="1">
      <c r="A82">
        <v>57</v>
      </c>
      <c r="B82" s="110">
        <v>44677</v>
      </c>
      <c r="C82" s="28">
        <f>B82</f>
        <v>44677</v>
      </c>
      <c r="D82" s="170" t="s">
        <v>37</v>
      </c>
      <c r="E82" s="170" t="s">
        <v>64</v>
      </c>
      <c r="F82" s="5" t="str">
        <f>E82</f>
        <v>Nizar Zulkarnain</v>
      </c>
      <c r="G82" s="42" t="s">
        <v>65</v>
      </c>
      <c r="H82" s="161"/>
      <c r="I82" s="173">
        <v>0</v>
      </c>
      <c r="J82" s="173">
        <v>0</v>
      </c>
      <c r="K82" s="173">
        <v>0</v>
      </c>
      <c r="L82" s="173">
        <v>0</v>
      </c>
      <c r="M82" s="173">
        <v>0</v>
      </c>
      <c r="N82" s="173">
        <v>0</v>
      </c>
      <c r="O82" s="173">
        <v>0</v>
      </c>
      <c r="P82" s="173">
        <v>0</v>
      </c>
      <c r="Q82" s="173">
        <v>0</v>
      </c>
      <c r="R82" s="173">
        <v>0</v>
      </c>
      <c r="S82" s="173">
        <v>0</v>
      </c>
      <c r="T82" s="173">
        <v>0</v>
      </c>
      <c r="U82" s="173">
        <v>0</v>
      </c>
      <c r="V82" s="173">
        <v>0</v>
      </c>
      <c r="W82" s="173">
        <v>0</v>
      </c>
      <c r="X82" s="173">
        <v>0</v>
      </c>
      <c r="Y82" s="173">
        <v>0</v>
      </c>
      <c r="Z82" s="173"/>
      <c r="AA82" s="170"/>
      <c r="AB82" s="170"/>
      <c r="AC82" s="170" t="s">
        <v>206</v>
      </c>
      <c r="AD82" s="170"/>
      <c r="AE82" s="177"/>
      <c r="AF82" s="9"/>
      <c r="AG82" t="str">
        <f>VLOOKUP(OfficeForms.Table[[#This Row],[Nama Proyek]],'Nama Proyek'!$D$2:$G$29,4,0)</f>
        <v>-6.35008011,107.02324233</v>
      </c>
      <c r="AH82" s="5"/>
      <c r="AI82" s="5"/>
      <c r="AJ82" s="5"/>
      <c r="AK82" s="5" t="s">
        <v>207</v>
      </c>
    </row>
    <row r="83" spans="1:37" ht="15" hidden="1" customHeight="1">
      <c r="A83" s="50">
        <v>59</v>
      </c>
      <c r="B83" s="110">
        <v>44677</v>
      </c>
      <c r="C83" s="28">
        <f>B83</f>
        <v>44677</v>
      </c>
      <c r="D83" s="8" t="s">
        <v>37</v>
      </c>
      <c r="E83" s="8" t="s">
        <v>64</v>
      </c>
      <c r="F83" s="5" t="str">
        <f>E83</f>
        <v>Nizar Zulkarnain</v>
      </c>
      <c r="G83" s="19" t="s">
        <v>65</v>
      </c>
      <c r="H83" s="106"/>
      <c r="I83" s="95">
        <v>0</v>
      </c>
      <c r="J83" s="95">
        <v>0</v>
      </c>
      <c r="K83" s="95">
        <v>0</v>
      </c>
      <c r="L83" s="95">
        <v>0</v>
      </c>
      <c r="M83" s="95">
        <v>0</v>
      </c>
      <c r="N83" s="95">
        <v>0</v>
      </c>
      <c r="O83" s="95">
        <v>0</v>
      </c>
      <c r="P83" s="95">
        <v>0</v>
      </c>
      <c r="Q83" s="95">
        <v>0</v>
      </c>
      <c r="R83" s="95">
        <v>0</v>
      </c>
      <c r="S83" s="95">
        <v>0</v>
      </c>
      <c r="T83" s="95">
        <v>0</v>
      </c>
      <c r="U83" s="95">
        <v>0</v>
      </c>
      <c r="V83" s="95">
        <v>0</v>
      </c>
      <c r="W83" s="95">
        <v>0</v>
      </c>
      <c r="X83" s="95">
        <v>0</v>
      </c>
      <c r="Y83" s="95">
        <v>0</v>
      </c>
      <c r="Z83" s="95"/>
      <c r="AA83" s="8"/>
      <c r="AB83" s="8"/>
      <c r="AC83" s="8" t="s">
        <v>208</v>
      </c>
      <c r="AD83" s="8"/>
      <c r="AE83" s="11"/>
      <c r="AF83" s="40" t="s">
        <v>209</v>
      </c>
      <c r="AG83" t="str">
        <f>VLOOKUP(OfficeForms.Table[[#This Row],[Nama Proyek]],'Nama Proyek'!$D$2:$G$29,4,0)</f>
        <v>-6.35008011,107.02324233</v>
      </c>
      <c r="AH83" s="5"/>
      <c r="AI83" s="5"/>
      <c r="AJ83" s="5"/>
      <c r="AK83" s="5" t="s">
        <v>210</v>
      </c>
    </row>
    <row r="84" spans="1:37" ht="15" hidden="1" customHeight="1">
      <c r="A84" s="31">
        <v>98</v>
      </c>
      <c r="B84" s="111">
        <v>44677</v>
      </c>
      <c r="C84" s="29">
        <f>B84</f>
        <v>44677</v>
      </c>
      <c r="D84" s="8" t="s">
        <v>37</v>
      </c>
      <c r="E84" s="8" t="s">
        <v>211</v>
      </c>
      <c r="F84" s="5" t="str">
        <f>E84</f>
        <v>ADITYA ANGGA</v>
      </c>
      <c r="G84" s="54" t="s">
        <v>76</v>
      </c>
      <c r="H84" s="105"/>
      <c r="I84" s="95">
        <v>0</v>
      </c>
      <c r="J84" s="95">
        <v>0</v>
      </c>
      <c r="K84" s="95">
        <v>0</v>
      </c>
      <c r="L84" s="95">
        <v>0</v>
      </c>
      <c r="M84" s="95">
        <v>0</v>
      </c>
      <c r="N84" s="95">
        <v>0</v>
      </c>
      <c r="O84" s="95">
        <v>0</v>
      </c>
      <c r="P84" s="95">
        <v>0</v>
      </c>
      <c r="Q84" s="95">
        <v>0</v>
      </c>
      <c r="R84" s="95">
        <v>0</v>
      </c>
      <c r="S84" s="95">
        <v>0</v>
      </c>
      <c r="T84" s="95">
        <v>0</v>
      </c>
      <c r="U84" s="95">
        <v>0</v>
      </c>
      <c r="V84" s="95">
        <v>0</v>
      </c>
      <c r="W84" s="95">
        <v>0</v>
      </c>
      <c r="X84" s="95">
        <v>0</v>
      </c>
      <c r="Y84" s="95">
        <v>0</v>
      </c>
      <c r="Z84" s="95"/>
      <c r="AA84" s="8"/>
      <c r="AB84" s="8"/>
      <c r="AC84" s="8"/>
      <c r="AD84" s="8"/>
      <c r="AE84" s="11">
        <v>44899</v>
      </c>
      <c r="AF84" s="8"/>
      <c r="AG84" t="str">
        <f>VLOOKUP(OfficeForms.Table[[#This Row],[Nama Proyek]],'Nama Proyek'!$D$2:$G$29,4,0)</f>
        <v>-2.95293103,104.75455094</v>
      </c>
      <c r="AH84" s="5"/>
      <c r="AI84" s="5"/>
      <c r="AJ84" s="5"/>
      <c r="AK84" s="5" t="s">
        <v>212</v>
      </c>
    </row>
    <row r="85" spans="1:37" ht="15" hidden="1" customHeight="1">
      <c r="A85" s="31">
        <v>116</v>
      </c>
      <c r="B85" s="111">
        <v>44677</v>
      </c>
      <c r="C85" s="29">
        <f>B85</f>
        <v>44677</v>
      </c>
      <c r="D85" s="8" t="s">
        <v>37</v>
      </c>
      <c r="E85" s="8" t="s">
        <v>158</v>
      </c>
      <c r="F85" s="5" t="str">
        <f>E85</f>
        <v>ISNAEN DWI SANJOYO</v>
      </c>
      <c r="G85" s="22" t="s">
        <v>159</v>
      </c>
      <c r="H85" s="105"/>
      <c r="I85" s="95">
        <v>0</v>
      </c>
      <c r="J85" s="95">
        <v>0</v>
      </c>
      <c r="K85" s="95">
        <v>0</v>
      </c>
      <c r="L85" s="95">
        <v>0</v>
      </c>
      <c r="M85" s="95">
        <v>0</v>
      </c>
      <c r="N85" s="95">
        <v>0</v>
      </c>
      <c r="O85" s="95">
        <v>0</v>
      </c>
      <c r="P85" s="95">
        <v>0</v>
      </c>
      <c r="Q85" s="95">
        <v>0</v>
      </c>
      <c r="R85" s="95">
        <v>0</v>
      </c>
      <c r="S85" s="95">
        <v>0</v>
      </c>
      <c r="T85" s="95">
        <v>0</v>
      </c>
      <c r="U85" s="95">
        <v>0</v>
      </c>
      <c r="V85" s="95">
        <v>0</v>
      </c>
      <c r="W85" s="95">
        <v>0</v>
      </c>
      <c r="X85" s="95">
        <v>0</v>
      </c>
      <c r="Y85" s="95">
        <v>0</v>
      </c>
      <c r="Z85" s="95"/>
      <c r="AA85" s="8"/>
      <c r="AB85" s="8"/>
      <c r="AC85" s="15"/>
      <c r="AD85" s="15"/>
      <c r="AE85" s="16">
        <v>44563</v>
      </c>
      <c r="AF85" s="19"/>
      <c r="AG85" t="str">
        <f>VLOOKUP(OfficeForms.Table[[#This Row],[Nama Proyek]],'Nama Proyek'!$D$2:$G$29,4,0)</f>
        <v>-6.4209386,107.1876008</v>
      </c>
      <c r="AH85" s="5"/>
      <c r="AI85" s="5"/>
      <c r="AJ85" s="5"/>
      <c r="AK85" s="5" t="s">
        <v>213</v>
      </c>
    </row>
    <row r="86" spans="1:37" ht="15" hidden="1" customHeight="1">
      <c r="A86" s="31">
        <v>134</v>
      </c>
      <c r="B86" s="111">
        <v>44677</v>
      </c>
      <c r="C86" s="29">
        <f>B86</f>
        <v>44677</v>
      </c>
      <c r="D86" s="9" t="s">
        <v>37</v>
      </c>
      <c r="E86" s="9" t="s">
        <v>214</v>
      </c>
      <c r="F86" s="5" t="str">
        <f>E86</f>
        <v>BASUKI RAHMAT HAKIM</v>
      </c>
      <c r="G86" s="60" t="s">
        <v>48</v>
      </c>
      <c r="H86" s="105"/>
      <c r="I86" s="94">
        <v>0</v>
      </c>
      <c r="J86" s="94">
        <v>0</v>
      </c>
      <c r="K86" s="94">
        <v>0</v>
      </c>
      <c r="L86" s="94">
        <v>0</v>
      </c>
      <c r="M86" s="94">
        <v>0</v>
      </c>
      <c r="N86" s="94">
        <v>0</v>
      </c>
      <c r="O86" s="94">
        <v>0</v>
      </c>
      <c r="P86" s="94">
        <v>0</v>
      </c>
      <c r="Q86" s="94">
        <v>0</v>
      </c>
      <c r="R86" s="94">
        <v>0</v>
      </c>
      <c r="S86" s="94">
        <v>0</v>
      </c>
      <c r="T86" s="94">
        <v>0</v>
      </c>
      <c r="U86" s="94">
        <v>0</v>
      </c>
      <c r="V86" s="94">
        <v>0</v>
      </c>
      <c r="W86" s="94">
        <v>0</v>
      </c>
      <c r="X86" s="94">
        <v>0</v>
      </c>
      <c r="Y86" s="94">
        <v>0</v>
      </c>
      <c r="Z86" s="94"/>
      <c r="AA86" s="9"/>
      <c r="AB86" s="9"/>
      <c r="AC86" s="9"/>
      <c r="AD86" s="9"/>
      <c r="AE86" s="12" t="s">
        <v>215</v>
      </c>
      <c r="AF86" s="8" t="s">
        <v>216</v>
      </c>
      <c r="AG86" t="str">
        <f>VLOOKUP(OfficeForms.Table[[#This Row],[Nama Proyek]],'Nama Proyek'!$D$2:$G$29,4,0)</f>
        <v>3.76047575,115.89977678</v>
      </c>
      <c r="AH86" s="5"/>
      <c r="AI86" s="5"/>
      <c r="AJ86" s="5"/>
      <c r="AK86" s="5" t="s">
        <v>217</v>
      </c>
    </row>
    <row r="87" spans="1:37" ht="15" hidden="1" customHeight="1">
      <c r="A87" s="50">
        <v>135</v>
      </c>
      <c r="B87" s="110">
        <v>44677</v>
      </c>
      <c r="C87" s="28">
        <f>B87</f>
        <v>44677</v>
      </c>
      <c r="D87" s="8" t="s">
        <v>37</v>
      </c>
      <c r="E87" s="8" t="s">
        <v>218</v>
      </c>
      <c r="F87" s="5" t="s">
        <v>218</v>
      </c>
      <c r="G87" s="37" t="s">
        <v>76</v>
      </c>
      <c r="H87" s="105"/>
      <c r="I87" s="95">
        <v>0</v>
      </c>
      <c r="J87" s="95">
        <v>0</v>
      </c>
      <c r="K87" s="95">
        <v>0</v>
      </c>
      <c r="L87" s="95">
        <v>0</v>
      </c>
      <c r="M87" s="95">
        <v>0</v>
      </c>
      <c r="N87" s="95">
        <v>0</v>
      </c>
      <c r="O87" s="95">
        <v>0</v>
      </c>
      <c r="P87" s="95">
        <v>0</v>
      </c>
      <c r="Q87" s="95">
        <v>0</v>
      </c>
      <c r="R87" s="95">
        <v>0</v>
      </c>
      <c r="S87" s="95">
        <v>0</v>
      </c>
      <c r="T87" s="95">
        <v>0</v>
      </c>
      <c r="U87" s="95">
        <v>0</v>
      </c>
      <c r="V87" s="95">
        <v>0</v>
      </c>
      <c r="W87" s="95">
        <v>0</v>
      </c>
      <c r="X87" s="95">
        <v>0</v>
      </c>
      <c r="Y87" s="95">
        <v>0</v>
      </c>
      <c r="Z87" s="95"/>
      <c r="AA87" s="8"/>
      <c r="AB87" s="8"/>
      <c r="AC87" s="8"/>
      <c r="AD87" s="8"/>
      <c r="AE87" s="11" t="s">
        <v>219</v>
      </c>
      <c r="AF87" s="9" t="s">
        <v>220</v>
      </c>
      <c r="AG87" t="str">
        <f>VLOOKUP(OfficeForms.Table[[#This Row],[Nama Proyek]],'Nama Proyek'!$D$2:$G$29,4,0)</f>
        <v>-2.95293103,104.75455094</v>
      </c>
      <c r="AH87" s="5"/>
      <c r="AI87" s="5"/>
      <c r="AJ87" s="5"/>
      <c r="AK87" s="5" t="s">
        <v>221</v>
      </c>
    </row>
    <row r="88" spans="1:37" ht="15" hidden="1" customHeight="1">
      <c r="A88">
        <v>136</v>
      </c>
      <c r="B88" s="111">
        <v>44677</v>
      </c>
      <c r="C88" s="29">
        <f>B88</f>
        <v>44677</v>
      </c>
      <c r="D88" s="9" t="s">
        <v>37</v>
      </c>
      <c r="E88" s="9" t="s">
        <v>218</v>
      </c>
      <c r="F88" s="5" t="s">
        <v>218</v>
      </c>
      <c r="G88" s="54" t="s">
        <v>76</v>
      </c>
      <c r="H88" s="105"/>
      <c r="I88" s="94">
        <v>0</v>
      </c>
      <c r="J88" s="94">
        <v>0</v>
      </c>
      <c r="K88" s="94">
        <v>0</v>
      </c>
      <c r="L88" s="94">
        <v>0</v>
      </c>
      <c r="M88" s="94">
        <v>0</v>
      </c>
      <c r="N88" s="94">
        <v>0</v>
      </c>
      <c r="O88" s="94">
        <v>0</v>
      </c>
      <c r="P88" s="94">
        <v>0</v>
      </c>
      <c r="Q88" s="94">
        <v>0</v>
      </c>
      <c r="R88" s="94">
        <v>0</v>
      </c>
      <c r="S88" s="94">
        <v>0</v>
      </c>
      <c r="T88" s="94">
        <v>0</v>
      </c>
      <c r="U88" s="94">
        <v>0</v>
      </c>
      <c r="V88" s="94">
        <v>0</v>
      </c>
      <c r="W88" s="94">
        <v>0</v>
      </c>
      <c r="X88" s="94">
        <v>0</v>
      </c>
      <c r="Y88" s="94">
        <v>0</v>
      </c>
      <c r="Z88" s="94"/>
      <c r="AA88" s="9"/>
      <c r="AB88" s="9"/>
      <c r="AC88" s="9"/>
      <c r="AD88" s="9"/>
      <c r="AE88" s="12" t="s">
        <v>219</v>
      </c>
      <c r="AF88" s="8"/>
      <c r="AG88" t="str">
        <f>VLOOKUP(OfficeForms.Table[[#This Row],[Nama Proyek]],'Nama Proyek'!$D$2:$G$29,4,0)</f>
        <v>-2.95293103,104.75455094</v>
      </c>
      <c r="AH88" s="5"/>
      <c r="AI88" s="5"/>
      <c r="AJ88" s="5"/>
      <c r="AK88" s="5" t="s">
        <v>222</v>
      </c>
    </row>
    <row r="89" spans="1:37" ht="15" hidden="1" customHeight="1">
      <c r="A89" s="31">
        <v>137</v>
      </c>
      <c r="B89" s="110">
        <v>44677</v>
      </c>
      <c r="C89" s="28">
        <f>B89</f>
        <v>44677</v>
      </c>
      <c r="D89" s="8" t="s">
        <v>37</v>
      </c>
      <c r="E89" s="8" t="s">
        <v>214</v>
      </c>
      <c r="F89" s="5" t="str">
        <f>E89</f>
        <v>BASUKI RAHMAT HAKIM</v>
      </c>
      <c r="G89" s="60" t="s">
        <v>48</v>
      </c>
      <c r="H89" s="105"/>
      <c r="I89" s="95">
        <v>0</v>
      </c>
      <c r="J89" s="95">
        <v>0</v>
      </c>
      <c r="K89" s="95">
        <v>0</v>
      </c>
      <c r="L89" s="95">
        <v>0</v>
      </c>
      <c r="M89" s="95">
        <v>0</v>
      </c>
      <c r="N89" s="95">
        <v>0</v>
      </c>
      <c r="O89" s="95">
        <v>0</v>
      </c>
      <c r="P89" s="95">
        <v>0</v>
      </c>
      <c r="Q89" s="95">
        <v>0</v>
      </c>
      <c r="R89" s="95">
        <v>0</v>
      </c>
      <c r="S89" s="95">
        <v>0</v>
      </c>
      <c r="T89" s="95">
        <v>0</v>
      </c>
      <c r="U89" s="95">
        <v>0</v>
      </c>
      <c r="V89" s="95">
        <v>0</v>
      </c>
      <c r="W89" s="95">
        <v>0</v>
      </c>
      <c r="X89" s="95">
        <v>0</v>
      </c>
      <c r="Y89" s="95">
        <v>0</v>
      </c>
      <c r="Z89" s="95"/>
      <c r="AA89" s="8" t="s">
        <v>223</v>
      </c>
      <c r="AB89" s="8" t="s">
        <v>224</v>
      </c>
      <c r="AC89" s="8" t="s">
        <v>225</v>
      </c>
      <c r="AD89" s="8" t="s">
        <v>226</v>
      </c>
      <c r="AE89" s="11"/>
      <c r="AF89" s="9"/>
      <c r="AG89" t="str">
        <f>VLOOKUP(OfficeForms.Table[[#This Row],[Nama Proyek]],'Nama Proyek'!$D$2:$G$29,4,0)</f>
        <v>3.76047575,115.89977678</v>
      </c>
      <c r="AH89" s="5"/>
      <c r="AI89" s="5"/>
      <c r="AJ89" s="5"/>
      <c r="AK89" s="5" t="s">
        <v>227</v>
      </c>
    </row>
    <row r="90" spans="1:37" ht="15" hidden="1" customHeight="1">
      <c r="A90" s="31">
        <v>366</v>
      </c>
      <c r="B90" s="111">
        <v>44677</v>
      </c>
      <c r="C90" s="29">
        <f>B90</f>
        <v>44677</v>
      </c>
      <c r="D90" s="9" t="s">
        <v>37</v>
      </c>
      <c r="E90" s="9" t="s">
        <v>54</v>
      </c>
      <c r="F90" s="5" t="str">
        <f>E90</f>
        <v>Haryo Widiandoko</v>
      </c>
      <c r="G90" s="9" t="s">
        <v>55</v>
      </c>
      <c r="H90" s="105"/>
      <c r="I90" s="94">
        <v>0</v>
      </c>
      <c r="J90" s="94">
        <v>0</v>
      </c>
      <c r="K90" s="94">
        <v>0</v>
      </c>
      <c r="L90" s="94">
        <v>0</v>
      </c>
      <c r="M90" s="94">
        <v>0</v>
      </c>
      <c r="N90" s="94">
        <v>0</v>
      </c>
      <c r="O90" s="94">
        <v>0</v>
      </c>
      <c r="P90" s="94">
        <v>0</v>
      </c>
      <c r="Q90" s="94">
        <v>0</v>
      </c>
      <c r="R90" s="94">
        <v>0</v>
      </c>
      <c r="S90" s="94">
        <v>0</v>
      </c>
      <c r="T90" s="94">
        <v>0</v>
      </c>
      <c r="U90" s="94">
        <v>0</v>
      </c>
      <c r="V90" s="94">
        <v>0</v>
      </c>
      <c r="W90" s="94">
        <v>0</v>
      </c>
      <c r="X90" s="94">
        <v>0</v>
      </c>
      <c r="Y90" s="94">
        <v>0</v>
      </c>
      <c r="Z90" s="94"/>
      <c r="AA90" s="9"/>
      <c r="AB90" s="9"/>
      <c r="AC90" s="9"/>
      <c r="AD90" s="9"/>
      <c r="AE90" s="12">
        <v>44564</v>
      </c>
      <c r="AF90" s="19"/>
      <c r="AG90" t="str">
        <f>VLOOKUP(OfficeForms.Table[[#This Row],[Nama Proyek]],'Nama Proyek'!$D$2:$G$29,4,0)</f>
        <v>-6.42873464,107.19897003</v>
      </c>
      <c r="AH90" s="5"/>
      <c r="AI90" s="5"/>
      <c r="AJ90" s="5"/>
      <c r="AK90" s="5" t="s">
        <v>228</v>
      </c>
    </row>
    <row r="91" spans="1:37" ht="15" hidden="1" customHeight="1">
      <c r="A91" s="30">
        <v>388</v>
      </c>
      <c r="B91" s="111">
        <v>44677</v>
      </c>
      <c r="C91" s="29">
        <f>B91</f>
        <v>44677</v>
      </c>
      <c r="D91" s="9" t="s">
        <v>37</v>
      </c>
      <c r="E91" s="9" t="s">
        <v>54</v>
      </c>
      <c r="F91" s="5" t="str">
        <f>E91</f>
        <v>Haryo Widiandoko</v>
      </c>
      <c r="G91" s="9" t="s">
        <v>55</v>
      </c>
      <c r="H91" s="105"/>
      <c r="I91" s="94">
        <v>0</v>
      </c>
      <c r="J91" s="94">
        <v>0</v>
      </c>
      <c r="K91" s="94">
        <v>0</v>
      </c>
      <c r="L91" s="94">
        <v>0</v>
      </c>
      <c r="M91" s="94">
        <v>0</v>
      </c>
      <c r="N91" s="94">
        <v>0</v>
      </c>
      <c r="O91" s="94">
        <v>0</v>
      </c>
      <c r="P91" s="94">
        <v>0</v>
      </c>
      <c r="Q91" s="94">
        <v>0</v>
      </c>
      <c r="R91" s="94">
        <v>0</v>
      </c>
      <c r="S91" s="94">
        <v>0</v>
      </c>
      <c r="T91" s="94">
        <v>0</v>
      </c>
      <c r="U91" s="94">
        <v>0</v>
      </c>
      <c r="V91" s="94">
        <v>0</v>
      </c>
      <c r="W91" s="94">
        <v>0</v>
      </c>
      <c r="X91" s="94">
        <v>0</v>
      </c>
      <c r="Y91" s="94">
        <v>0</v>
      </c>
      <c r="Z91" s="94"/>
      <c r="AA91" s="9"/>
      <c r="AB91" s="9"/>
      <c r="AC91" s="9"/>
      <c r="AD91" s="9"/>
      <c r="AE91" s="12">
        <v>44564</v>
      </c>
      <c r="AF91" s="8"/>
      <c r="AG91" t="str">
        <f>VLOOKUP(OfficeForms.Table[[#This Row],[Nama Proyek]],'Nama Proyek'!$D$2:$G$29,4,0)</f>
        <v>-6.42873464,107.19897003</v>
      </c>
      <c r="AH91" s="5"/>
      <c r="AI91" s="5"/>
      <c r="AJ91" s="5"/>
      <c r="AK91" s="5" t="s">
        <v>229</v>
      </c>
    </row>
    <row r="92" spans="1:37" ht="15" hidden="1" customHeight="1">
      <c r="A92">
        <v>390</v>
      </c>
      <c r="B92" s="111">
        <v>44677</v>
      </c>
      <c r="C92" s="29">
        <f>B92</f>
        <v>44677</v>
      </c>
      <c r="D92" s="9" t="s">
        <v>37</v>
      </c>
      <c r="E92" s="9" t="s">
        <v>54</v>
      </c>
      <c r="F92" s="5" t="str">
        <f>E92</f>
        <v>Haryo Widiandoko</v>
      </c>
      <c r="G92" s="9" t="s">
        <v>55</v>
      </c>
      <c r="H92" s="105"/>
      <c r="I92" s="94">
        <v>0</v>
      </c>
      <c r="J92" s="94">
        <v>0</v>
      </c>
      <c r="K92" s="94">
        <v>0</v>
      </c>
      <c r="L92" s="94">
        <v>0</v>
      </c>
      <c r="M92" s="94">
        <v>0</v>
      </c>
      <c r="N92" s="94">
        <v>0</v>
      </c>
      <c r="O92" s="94">
        <v>0</v>
      </c>
      <c r="P92" s="94">
        <v>0</v>
      </c>
      <c r="Q92" s="94">
        <v>0</v>
      </c>
      <c r="R92" s="94">
        <v>0</v>
      </c>
      <c r="S92" s="94">
        <v>0</v>
      </c>
      <c r="T92" s="94">
        <v>0</v>
      </c>
      <c r="U92" s="94">
        <v>0</v>
      </c>
      <c r="V92" s="94">
        <v>0</v>
      </c>
      <c r="W92" s="94">
        <v>0</v>
      </c>
      <c r="X92" s="94">
        <v>0</v>
      </c>
      <c r="Y92" s="94">
        <v>0</v>
      </c>
      <c r="Z92" s="94"/>
      <c r="AA92" s="9"/>
      <c r="AB92" s="9"/>
      <c r="AC92" s="9"/>
      <c r="AD92" s="9"/>
      <c r="AE92" s="12" t="s">
        <v>230</v>
      </c>
      <c r="AF92" s="8" t="s">
        <v>231</v>
      </c>
      <c r="AG92" t="str">
        <f>VLOOKUP(OfficeForms.Table[[#This Row],[Nama Proyek]],'Nama Proyek'!$D$2:$G$29,4,0)</f>
        <v>-6.42873464,107.19897003</v>
      </c>
      <c r="AH92" s="5"/>
      <c r="AI92" s="5"/>
      <c r="AJ92" s="5"/>
      <c r="AK92" s="5" t="s">
        <v>232</v>
      </c>
    </row>
    <row r="93" spans="1:37" ht="15" hidden="1" customHeight="1">
      <c r="A93" s="50">
        <v>394</v>
      </c>
      <c r="B93" s="111">
        <v>44677</v>
      </c>
      <c r="C93" s="29">
        <f>B93</f>
        <v>44677</v>
      </c>
      <c r="D93" s="8" t="s">
        <v>37</v>
      </c>
      <c r="E93" s="8" t="s">
        <v>54</v>
      </c>
      <c r="F93" s="5" t="str">
        <f>E93</f>
        <v>Haryo Widiandoko</v>
      </c>
      <c r="G93" s="9" t="s">
        <v>55</v>
      </c>
      <c r="H93" s="105"/>
      <c r="I93" s="95">
        <v>0</v>
      </c>
      <c r="J93" s="95">
        <v>0</v>
      </c>
      <c r="K93" s="95">
        <v>0</v>
      </c>
      <c r="L93" s="95">
        <v>0</v>
      </c>
      <c r="M93" s="95">
        <v>0</v>
      </c>
      <c r="N93" s="95">
        <v>0</v>
      </c>
      <c r="O93" s="95">
        <v>0</v>
      </c>
      <c r="P93" s="95">
        <v>0</v>
      </c>
      <c r="Q93" s="95">
        <v>0</v>
      </c>
      <c r="R93" s="95">
        <v>0</v>
      </c>
      <c r="S93" s="95">
        <v>0</v>
      </c>
      <c r="T93" s="95">
        <v>0</v>
      </c>
      <c r="U93" s="95">
        <v>0</v>
      </c>
      <c r="V93" s="95">
        <v>0</v>
      </c>
      <c r="W93" s="95">
        <v>0</v>
      </c>
      <c r="X93" s="95">
        <v>0</v>
      </c>
      <c r="Y93" s="95">
        <v>0</v>
      </c>
      <c r="Z93" s="95"/>
      <c r="AA93" s="8"/>
      <c r="AB93" s="8"/>
      <c r="AC93" s="8"/>
      <c r="AD93" s="8"/>
      <c r="AE93" s="11" t="s">
        <v>230</v>
      </c>
      <c r="AF93" s="43" t="s">
        <v>233</v>
      </c>
      <c r="AG93" t="str">
        <f>VLOOKUP(OfficeForms.Table[[#This Row],[Nama Proyek]],'Nama Proyek'!$D$2:$G$29,4,0)</f>
        <v>-6.42873464,107.19897003</v>
      </c>
      <c r="AH93" s="5"/>
      <c r="AI93" s="5"/>
      <c r="AJ93" s="5"/>
      <c r="AK93" s="5" t="s">
        <v>234</v>
      </c>
    </row>
    <row r="94" spans="1:37" ht="15" hidden="1" customHeight="1">
      <c r="A94" s="31">
        <v>395</v>
      </c>
      <c r="B94" s="110">
        <v>44677</v>
      </c>
      <c r="C94" s="28">
        <f>B94</f>
        <v>44677</v>
      </c>
      <c r="D94" s="19" t="s">
        <v>37</v>
      </c>
      <c r="E94" s="19" t="s">
        <v>54</v>
      </c>
      <c r="F94" s="5" t="str">
        <f>E94</f>
        <v>Haryo Widiandoko</v>
      </c>
      <c r="G94" s="19" t="s">
        <v>55</v>
      </c>
      <c r="H94" s="105"/>
      <c r="I94" s="96">
        <v>0</v>
      </c>
      <c r="J94" s="96">
        <v>0</v>
      </c>
      <c r="K94" s="96">
        <v>0</v>
      </c>
      <c r="L94" s="96">
        <v>0</v>
      </c>
      <c r="M94" s="96">
        <v>0</v>
      </c>
      <c r="N94" s="96">
        <v>0</v>
      </c>
      <c r="O94" s="96">
        <v>0</v>
      </c>
      <c r="P94" s="96">
        <v>0</v>
      </c>
      <c r="Q94" s="96">
        <v>0</v>
      </c>
      <c r="R94" s="96">
        <v>0</v>
      </c>
      <c r="S94" s="96">
        <v>0</v>
      </c>
      <c r="T94" s="96">
        <v>0</v>
      </c>
      <c r="U94" s="96">
        <v>0</v>
      </c>
      <c r="V94" s="96">
        <v>0</v>
      </c>
      <c r="W94" s="96">
        <v>0</v>
      </c>
      <c r="X94" s="96">
        <v>0</v>
      </c>
      <c r="Y94" s="96">
        <v>0</v>
      </c>
      <c r="Z94" s="96"/>
      <c r="AA94" s="19"/>
      <c r="AB94" s="19"/>
      <c r="AC94" s="19"/>
      <c r="AD94" s="19"/>
      <c r="AE94" s="13" t="s">
        <v>230</v>
      </c>
      <c r="AF94" s="8"/>
      <c r="AG94" t="str">
        <f>VLOOKUP(OfficeForms.Table[[#This Row],[Nama Proyek]],'Nama Proyek'!$D$2:$G$29,4,0)</f>
        <v>-6.42873464,107.19897003</v>
      </c>
      <c r="AH94" s="5"/>
      <c r="AI94" s="5"/>
      <c r="AJ94" s="5"/>
      <c r="AK94" s="5" t="s">
        <v>235</v>
      </c>
    </row>
    <row r="95" spans="1:37" ht="17.25" hidden="1" customHeight="1">
      <c r="A95">
        <v>397</v>
      </c>
      <c r="B95" s="110">
        <v>44677</v>
      </c>
      <c r="C95" s="28">
        <f>B95</f>
        <v>44677</v>
      </c>
      <c r="D95" s="19" t="s">
        <v>37</v>
      </c>
      <c r="E95" s="19" t="s">
        <v>54</v>
      </c>
      <c r="F95" s="5" t="str">
        <f>E95</f>
        <v>Haryo Widiandoko</v>
      </c>
      <c r="G95" s="19" t="s">
        <v>55</v>
      </c>
      <c r="H95" s="105"/>
      <c r="I95" s="96">
        <v>0</v>
      </c>
      <c r="J95" s="96">
        <v>0</v>
      </c>
      <c r="K95" s="96">
        <v>0</v>
      </c>
      <c r="L95" s="96">
        <v>0</v>
      </c>
      <c r="M95" s="96">
        <v>0</v>
      </c>
      <c r="N95" s="96">
        <v>0</v>
      </c>
      <c r="O95" s="96">
        <v>0</v>
      </c>
      <c r="P95" s="96">
        <v>0</v>
      </c>
      <c r="Q95" s="96">
        <v>0</v>
      </c>
      <c r="R95" s="96">
        <v>0</v>
      </c>
      <c r="S95" s="96">
        <v>0</v>
      </c>
      <c r="T95" s="96">
        <v>0</v>
      </c>
      <c r="U95" s="96">
        <v>0</v>
      </c>
      <c r="V95" s="96">
        <v>0</v>
      </c>
      <c r="W95" s="96">
        <v>0</v>
      </c>
      <c r="X95" s="96">
        <v>0</v>
      </c>
      <c r="Y95" s="96">
        <v>0</v>
      </c>
      <c r="Z95" s="96"/>
      <c r="AA95" s="19"/>
      <c r="AB95" s="19"/>
      <c r="AC95" s="19"/>
      <c r="AD95" s="19"/>
      <c r="AE95" s="13" t="s">
        <v>230</v>
      </c>
      <c r="AF95" s="8"/>
      <c r="AG95" t="str">
        <f>VLOOKUP(OfficeForms.Table[[#This Row],[Nama Proyek]],'Nama Proyek'!$D$2:$G$29,4,0)</f>
        <v>-6.42873464,107.19897003</v>
      </c>
      <c r="AH95" s="5"/>
      <c r="AI95" s="5"/>
      <c r="AJ95" s="5"/>
      <c r="AK95" s="5" t="s">
        <v>236</v>
      </c>
    </row>
    <row r="96" spans="1:37" ht="15" hidden="1" customHeight="1">
      <c r="A96">
        <v>410</v>
      </c>
      <c r="B96" s="111">
        <v>44677</v>
      </c>
      <c r="C96" s="29">
        <f>B96</f>
        <v>44677</v>
      </c>
      <c r="D96" s="8" t="s">
        <v>37</v>
      </c>
      <c r="E96" s="8" t="s">
        <v>54</v>
      </c>
      <c r="F96" s="5" t="str">
        <f>E96</f>
        <v>Haryo Widiandoko</v>
      </c>
      <c r="G96" s="9" t="s">
        <v>55</v>
      </c>
      <c r="H96" s="105"/>
      <c r="I96" s="95">
        <v>0</v>
      </c>
      <c r="J96" s="95">
        <v>0</v>
      </c>
      <c r="K96" s="95">
        <v>0</v>
      </c>
      <c r="L96" s="95">
        <v>0</v>
      </c>
      <c r="M96" s="95">
        <v>0</v>
      </c>
      <c r="N96" s="95">
        <v>0</v>
      </c>
      <c r="O96" s="95">
        <v>0</v>
      </c>
      <c r="P96" s="95">
        <v>0</v>
      </c>
      <c r="Q96" s="95">
        <v>0</v>
      </c>
      <c r="R96" s="95">
        <v>0</v>
      </c>
      <c r="S96" s="95">
        <v>0</v>
      </c>
      <c r="T96" s="95">
        <v>0</v>
      </c>
      <c r="U96" s="95">
        <v>0</v>
      </c>
      <c r="V96" s="95">
        <v>0</v>
      </c>
      <c r="W96" s="95">
        <v>0</v>
      </c>
      <c r="X96" s="95">
        <v>0</v>
      </c>
      <c r="Y96" s="95">
        <v>0</v>
      </c>
      <c r="Z96" s="95"/>
      <c r="AA96" s="8"/>
      <c r="AB96" s="8" t="s">
        <v>237</v>
      </c>
      <c r="AC96" s="8"/>
      <c r="AD96" s="8"/>
      <c r="AE96" s="11"/>
      <c r="AF96" s="15" t="s">
        <v>238</v>
      </c>
      <c r="AG96" t="str">
        <f>VLOOKUP(OfficeForms.Table[[#This Row],[Nama Proyek]],'Nama Proyek'!$D$2:$G$29,4,0)</f>
        <v>-6.42873464,107.19897003</v>
      </c>
      <c r="AH96" s="5"/>
      <c r="AI96" s="5"/>
      <c r="AJ96" s="5"/>
      <c r="AK96" s="5" t="s">
        <v>239</v>
      </c>
    </row>
    <row r="97" spans="1:37" ht="15" hidden="1" customHeight="1">
      <c r="A97" s="30">
        <v>434</v>
      </c>
      <c r="B97" s="111">
        <v>44677</v>
      </c>
      <c r="C97" s="29">
        <f>B97</f>
        <v>44677</v>
      </c>
      <c r="D97" s="9" t="s">
        <v>37</v>
      </c>
      <c r="E97" s="9" t="s">
        <v>136</v>
      </c>
      <c r="F97" s="5" t="str">
        <f>E97</f>
        <v>Utomo Aryowibowo</v>
      </c>
      <c r="G97" s="8" t="s">
        <v>52</v>
      </c>
      <c r="H97" s="105"/>
      <c r="I97" s="94">
        <v>0</v>
      </c>
      <c r="J97" s="94">
        <v>0</v>
      </c>
      <c r="K97" s="94">
        <v>0</v>
      </c>
      <c r="L97" s="94">
        <v>0</v>
      </c>
      <c r="M97" s="94">
        <v>0</v>
      </c>
      <c r="N97" s="94">
        <v>0</v>
      </c>
      <c r="O97" s="94">
        <v>0</v>
      </c>
      <c r="P97" s="94">
        <v>0</v>
      </c>
      <c r="Q97" s="94">
        <v>0</v>
      </c>
      <c r="R97" s="94">
        <v>0</v>
      </c>
      <c r="S97" s="94">
        <v>0</v>
      </c>
      <c r="T97" s="94">
        <v>0</v>
      </c>
      <c r="U97" s="94">
        <v>0</v>
      </c>
      <c r="V97" s="94">
        <v>0</v>
      </c>
      <c r="W97" s="94">
        <v>0</v>
      </c>
      <c r="X97" s="94">
        <v>0</v>
      </c>
      <c r="Y97" s="94">
        <v>0</v>
      </c>
      <c r="Z97" s="94"/>
      <c r="AA97" s="9"/>
      <c r="AB97" s="9"/>
      <c r="AC97" s="9"/>
      <c r="AD97" s="9"/>
      <c r="AE97" s="18" t="s">
        <v>240</v>
      </c>
      <c r="AF97" s="15" t="s">
        <v>241</v>
      </c>
      <c r="AG97" t="str">
        <f>VLOOKUP(OfficeForms.Table[[#This Row],[Nama Proyek]],'Nama Proyek'!$D$2:$G$29,4,0)</f>
        <v>-6.13491053,106.93675986</v>
      </c>
      <c r="AH97" s="5"/>
      <c r="AI97" s="5"/>
      <c r="AJ97" s="5"/>
      <c r="AK97" s="5" t="s">
        <v>242</v>
      </c>
    </row>
    <row r="98" spans="1:37" ht="15" hidden="1" customHeight="1">
      <c r="A98" s="31">
        <v>435</v>
      </c>
      <c r="B98" s="110">
        <v>44677</v>
      </c>
      <c r="C98" s="28">
        <f>B98</f>
        <v>44677</v>
      </c>
      <c r="D98" s="8" t="s">
        <v>37</v>
      </c>
      <c r="E98" s="8" t="s">
        <v>136</v>
      </c>
      <c r="F98" s="5" t="str">
        <f>E98</f>
        <v>Utomo Aryowibowo</v>
      </c>
      <c r="G98" s="8" t="s">
        <v>52</v>
      </c>
      <c r="H98" s="105"/>
      <c r="I98" s="95">
        <v>0</v>
      </c>
      <c r="J98" s="95">
        <v>0</v>
      </c>
      <c r="K98" s="95">
        <v>0</v>
      </c>
      <c r="L98" s="95">
        <v>0</v>
      </c>
      <c r="M98" s="95">
        <v>0</v>
      </c>
      <c r="N98" s="95">
        <v>0</v>
      </c>
      <c r="O98" s="95">
        <v>0</v>
      </c>
      <c r="P98" s="95">
        <v>0</v>
      </c>
      <c r="Q98" s="95">
        <v>0</v>
      </c>
      <c r="R98" s="95">
        <v>0</v>
      </c>
      <c r="S98" s="95">
        <v>0</v>
      </c>
      <c r="T98" s="95">
        <v>0</v>
      </c>
      <c r="U98" s="95">
        <v>0</v>
      </c>
      <c r="V98" s="95">
        <v>0</v>
      </c>
      <c r="W98" s="95">
        <v>0</v>
      </c>
      <c r="X98" s="95">
        <v>0</v>
      </c>
      <c r="Y98" s="95">
        <v>0</v>
      </c>
      <c r="Z98" s="95"/>
      <c r="AA98" s="8"/>
      <c r="AB98" s="8"/>
      <c r="AC98" s="8"/>
      <c r="AD98" s="8"/>
      <c r="AE98" s="16" t="s">
        <v>240</v>
      </c>
      <c r="AF98" s="9"/>
      <c r="AG98" t="str">
        <f>VLOOKUP(OfficeForms.Table[[#This Row],[Nama Proyek]],'Nama Proyek'!$D$2:$G$29,4,0)</f>
        <v>-6.13491053,106.93675986</v>
      </c>
      <c r="AH98" s="5"/>
      <c r="AI98" s="5"/>
      <c r="AJ98" s="5"/>
      <c r="AK98" s="5" t="s">
        <v>243</v>
      </c>
    </row>
    <row r="99" spans="1:37" ht="15" hidden="1" customHeight="1">
      <c r="A99" s="31">
        <v>449</v>
      </c>
      <c r="B99" s="110">
        <v>44677</v>
      </c>
      <c r="C99" s="28">
        <f>B99</f>
        <v>44677</v>
      </c>
      <c r="D99" s="19" t="s">
        <v>37</v>
      </c>
      <c r="E99" s="19" t="s">
        <v>136</v>
      </c>
      <c r="F99" s="5" t="str">
        <f>E99</f>
        <v>Utomo Aryowibowo</v>
      </c>
      <c r="G99" s="15" t="s">
        <v>52</v>
      </c>
      <c r="H99" s="105"/>
      <c r="I99" s="96">
        <v>0</v>
      </c>
      <c r="J99" s="96">
        <v>0</v>
      </c>
      <c r="K99" s="96">
        <v>0</v>
      </c>
      <c r="L99" s="96">
        <v>0</v>
      </c>
      <c r="M99" s="96">
        <v>0</v>
      </c>
      <c r="N99" s="96">
        <v>0</v>
      </c>
      <c r="O99" s="96">
        <v>0</v>
      </c>
      <c r="P99" s="96">
        <v>0</v>
      </c>
      <c r="Q99" s="96">
        <v>0</v>
      </c>
      <c r="R99" s="96">
        <v>0</v>
      </c>
      <c r="S99" s="96">
        <v>0</v>
      </c>
      <c r="T99" s="96">
        <v>0</v>
      </c>
      <c r="U99" s="96">
        <v>0</v>
      </c>
      <c r="V99" s="96">
        <v>0</v>
      </c>
      <c r="W99" s="96">
        <v>0</v>
      </c>
      <c r="X99" s="96">
        <v>0</v>
      </c>
      <c r="Y99" s="96">
        <v>0</v>
      </c>
      <c r="Z99" s="96"/>
      <c r="AA99" s="19"/>
      <c r="AB99" s="19"/>
      <c r="AC99" s="19"/>
      <c r="AD99" s="19"/>
      <c r="AE99" s="13" t="s">
        <v>240</v>
      </c>
      <c r="AF99" s="8" t="s">
        <v>244</v>
      </c>
      <c r="AG99" t="str">
        <f>VLOOKUP(OfficeForms.Table[[#This Row],[Nama Proyek]],'Nama Proyek'!$D$2:$G$29,4,0)</f>
        <v>-6.13491053,106.93675986</v>
      </c>
      <c r="AH99" s="5"/>
      <c r="AI99" s="5"/>
      <c r="AJ99" s="5"/>
      <c r="AK99" s="5" t="s">
        <v>245</v>
      </c>
    </row>
    <row r="100" spans="1:37" ht="15" hidden="1" customHeight="1">
      <c r="A100" s="50">
        <v>450</v>
      </c>
      <c r="B100" s="111">
        <v>44677</v>
      </c>
      <c r="C100" s="29">
        <f>B100</f>
        <v>44677</v>
      </c>
      <c r="D100" s="8" t="s">
        <v>37</v>
      </c>
      <c r="E100" s="8" t="s">
        <v>136</v>
      </c>
      <c r="F100" s="5" t="str">
        <f>E100</f>
        <v>Utomo Aryowibowo</v>
      </c>
      <c r="G100" s="15" t="s">
        <v>52</v>
      </c>
      <c r="H100" s="105"/>
      <c r="I100" s="95">
        <v>0</v>
      </c>
      <c r="J100" s="95">
        <v>0</v>
      </c>
      <c r="K100" s="95">
        <v>0</v>
      </c>
      <c r="L100" s="95">
        <v>0</v>
      </c>
      <c r="M100" s="95">
        <v>0</v>
      </c>
      <c r="N100" s="95">
        <v>0</v>
      </c>
      <c r="O100" s="95">
        <v>0</v>
      </c>
      <c r="P100" s="95">
        <v>0</v>
      </c>
      <c r="Q100" s="95">
        <v>0</v>
      </c>
      <c r="R100" s="95">
        <v>0</v>
      </c>
      <c r="S100" s="95">
        <v>0</v>
      </c>
      <c r="T100" s="95">
        <v>0</v>
      </c>
      <c r="U100" s="95">
        <v>0</v>
      </c>
      <c r="V100" s="95">
        <v>0</v>
      </c>
      <c r="W100" s="95">
        <v>0</v>
      </c>
      <c r="X100" s="95">
        <v>0</v>
      </c>
      <c r="Y100" s="95">
        <v>0</v>
      </c>
      <c r="Z100" s="95"/>
      <c r="AA100" s="8"/>
      <c r="AB100" s="8"/>
      <c r="AC100" s="8"/>
      <c r="AD100" s="8"/>
      <c r="AE100" s="11" t="s">
        <v>240</v>
      </c>
      <c r="AF100" s="48" t="s">
        <v>246</v>
      </c>
      <c r="AG100" t="str">
        <f>VLOOKUP(OfficeForms.Table[[#This Row],[Nama Proyek]],'Nama Proyek'!$D$2:$G$29,4,0)</f>
        <v>-6.13491053,106.93675986</v>
      </c>
      <c r="AH100" s="5"/>
      <c r="AI100" s="5"/>
      <c r="AJ100" s="5"/>
      <c r="AK100" s="5" t="s">
        <v>247</v>
      </c>
    </row>
    <row r="101" spans="1:37" ht="15" hidden="1" customHeight="1">
      <c r="A101" s="50">
        <v>496</v>
      </c>
      <c r="B101" s="111">
        <v>44677</v>
      </c>
      <c r="C101" s="29">
        <f>B101</f>
        <v>44677</v>
      </c>
      <c r="D101" s="9" t="s">
        <v>37</v>
      </c>
      <c r="E101" s="9" t="s">
        <v>136</v>
      </c>
      <c r="F101" s="5" t="str">
        <f>E101</f>
        <v>Utomo Aryowibowo</v>
      </c>
      <c r="G101" s="15" t="s">
        <v>52</v>
      </c>
      <c r="H101" s="105"/>
      <c r="I101" s="94">
        <v>0</v>
      </c>
      <c r="J101" s="94">
        <v>0</v>
      </c>
      <c r="K101" s="94">
        <v>0</v>
      </c>
      <c r="L101" s="94">
        <v>0</v>
      </c>
      <c r="M101" s="94">
        <v>0</v>
      </c>
      <c r="N101" s="94">
        <v>0</v>
      </c>
      <c r="O101" s="94">
        <v>0</v>
      </c>
      <c r="P101" s="94">
        <v>0</v>
      </c>
      <c r="Q101" s="94">
        <v>0</v>
      </c>
      <c r="R101" s="94">
        <v>0</v>
      </c>
      <c r="S101" s="94">
        <v>0</v>
      </c>
      <c r="T101" s="94">
        <v>0</v>
      </c>
      <c r="U101" s="94">
        <v>0</v>
      </c>
      <c r="V101" s="94">
        <v>0</v>
      </c>
      <c r="W101" s="94">
        <v>0</v>
      </c>
      <c r="X101" s="94">
        <v>0</v>
      </c>
      <c r="Y101" s="94">
        <v>0</v>
      </c>
      <c r="Z101" s="94"/>
      <c r="AA101" s="9"/>
      <c r="AB101" s="9"/>
      <c r="AC101" s="9"/>
      <c r="AD101" s="17"/>
      <c r="AE101" s="18" t="s">
        <v>240</v>
      </c>
      <c r="AF101" s="15" t="s">
        <v>248</v>
      </c>
      <c r="AG101" t="str">
        <f>VLOOKUP(OfficeForms.Table[[#This Row],[Nama Proyek]],'Nama Proyek'!$D$2:$G$29,4,0)</f>
        <v>-6.13491053,106.93675986</v>
      </c>
      <c r="AH101" s="5"/>
      <c r="AI101" s="5"/>
      <c r="AJ101" s="5"/>
      <c r="AK101" s="5" t="s">
        <v>249</v>
      </c>
    </row>
    <row r="102" spans="1:37" ht="15" hidden="1" customHeight="1">
      <c r="A102" s="30">
        <v>138</v>
      </c>
      <c r="B102" s="111">
        <v>44678</v>
      </c>
      <c r="C102" s="29">
        <f>B102</f>
        <v>44678</v>
      </c>
      <c r="D102" s="9" t="s">
        <v>37</v>
      </c>
      <c r="E102" s="9" t="s">
        <v>82</v>
      </c>
      <c r="F102" s="5" t="str">
        <f>E102</f>
        <v>Ajik Prastiyo</v>
      </c>
      <c r="G102" s="32" t="s">
        <v>80</v>
      </c>
      <c r="H102" s="104">
        <v>44678</v>
      </c>
      <c r="I102" s="94">
        <v>21.660376400000001</v>
      </c>
      <c r="J102" s="94">
        <v>42.614681500000003</v>
      </c>
      <c r="K102" s="94">
        <v>0.13563331000000001</v>
      </c>
      <c r="L102" s="94">
        <v>7.6368039999999998E-2</v>
      </c>
      <c r="M102" s="94">
        <v>9.3309965600000009</v>
      </c>
      <c r="N102" s="94">
        <v>0.21776350999999999</v>
      </c>
      <c r="O102" s="94">
        <v>4.0019069999999997E-2</v>
      </c>
      <c r="P102" s="94">
        <v>3.11027E-3</v>
      </c>
      <c r="Q102" s="94">
        <v>6.1819000000000002E-4</v>
      </c>
      <c r="R102" s="94">
        <v>0.20179342</v>
      </c>
      <c r="S102" s="94">
        <v>11.254991090000001</v>
      </c>
      <c r="T102" s="94">
        <v>0</v>
      </c>
      <c r="U102" s="94">
        <v>8.1858559999999997E-2</v>
      </c>
      <c r="V102" s="94">
        <v>0</v>
      </c>
      <c r="W102" s="94">
        <v>0</v>
      </c>
      <c r="X102" s="94">
        <v>8.7124370000000007E-2</v>
      </c>
      <c r="Y102" s="94">
        <v>0</v>
      </c>
      <c r="Z102" s="94"/>
      <c r="AA102" s="9"/>
      <c r="AB102" s="17"/>
      <c r="AC102" s="9"/>
      <c r="AD102" s="9"/>
      <c r="AE102" s="18"/>
      <c r="AF102" s="8" t="s">
        <v>250</v>
      </c>
      <c r="AG102" t="str">
        <f>VLOOKUP(OfficeForms.Table[[#This Row],[Nama Proyek]],'Nama Proyek'!$D$2:$G$29,4,0)</f>
        <v>-7.82225167,113.29968319</v>
      </c>
      <c r="AH102" s="5"/>
      <c r="AI102" s="5"/>
      <c r="AJ102" s="5"/>
      <c r="AK102" s="5" t="s">
        <v>251</v>
      </c>
    </row>
    <row r="103" spans="1:37" ht="15" hidden="1" customHeight="1">
      <c r="A103" s="30">
        <v>100</v>
      </c>
      <c r="B103" s="111">
        <v>44678</v>
      </c>
      <c r="C103" s="29">
        <f>B103</f>
        <v>44678</v>
      </c>
      <c r="D103" s="9" t="s">
        <v>37</v>
      </c>
      <c r="E103" s="9" t="s">
        <v>252</v>
      </c>
      <c r="F103" s="5" t="s">
        <v>252</v>
      </c>
      <c r="G103" s="22" t="s">
        <v>80</v>
      </c>
      <c r="H103" s="105"/>
      <c r="I103" s="94">
        <v>0</v>
      </c>
      <c r="J103" s="94">
        <v>0</v>
      </c>
      <c r="K103" s="94">
        <v>0</v>
      </c>
      <c r="L103" s="94">
        <v>0</v>
      </c>
      <c r="M103" s="94">
        <v>0</v>
      </c>
      <c r="N103" s="94">
        <v>0</v>
      </c>
      <c r="O103" s="94">
        <v>0</v>
      </c>
      <c r="P103" s="94">
        <v>0</v>
      </c>
      <c r="Q103" s="94">
        <v>0</v>
      </c>
      <c r="R103" s="94">
        <v>0</v>
      </c>
      <c r="S103" s="94">
        <v>0</v>
      </c>
      <c r="T103" s="94">
        <v>0</v>
      </c>
      <c r="U103" s="94">
        <v>0</v>
      </c>
      <c r="V103" s="94">
        <v>0</v>
      </c>
      <c r="W103" s="94">
        <v>0</v>
      </c>
      <c r="X103" s="94">
        <v>0</v>
      </c>
      <c r="Y103" s="94">
        <v>0</v>
      </c>
      <c r="Z103" s="94"/>
      <c r="AA103" s="9" t="s">
        <v>253</v>
      </c>
      <c r="AB103" s="9"/>
      <c r="AC103" s="9" t="s">
        <v>254</v>
      </c>
      <c r="AD103" s="9" t="s">
        <v>255</v>
      </c>
      <c r="AE103" s="12"/>
      <c r="AF103" s="19" t="s">
        <v>256</v>
      </c>
      <c r="AG103" t="str">
        <f>VLOOKUP(OfficeForms.Table[[#This Row],[Nama Proyek]],'Nama Proyek'!$D$2:$G$29,4,0)</f>
        <v>-7.82225167,113.29968319</v>
      </c>
      <c r="AH103" s="5"/>
      <c r="AI103" s="5"/>
      <c r="AJ103" s="5"/>
      <c r="AK103" s="5" t="s">
        <v>257</v>
      </c>
    </row>
    <row r="104" spans="1:37" ht="15" hidden="1" customHeight="1">
      <c r="A104" s="30">
        <v>181</v>
      </c>
      <c r="B104" s="110">
        <v>44691</v>
      </c>
      <c r="C104" s="28">
        <f>B104</f>
        <v>44691</v>
      </c>
      <c r="D104" s="19" t="s">
        <v>37</v>
      </c>
      <c r="E104" s="19" t="s">
        <v>51</v>
      </c>
      <c r="F104" s="5" t="str">
        <f>E104</f>
        <v>Riezky Ibnu Prasetyo</v>
      </c>
      <c r="G104" s="8" t="s">
        <v>52</v>
      </c>
      <c r="H104" s="106">
        <v>44798</v>
      </c>
      <c r="I104" s="96">
        <v>79.349000000000004</v>
      </c>
      <c r="J104" s="96">
        <v>79.198999999999998</v>
      </c>
      <c r="K104" s="96">
        <v>0</v>
      </c>
      <c r="L104" s="96">
        <v>0</v>
      </c>
      <c r="M104" s="96">
        <v>0</v>
      </c>
      <c r="N104" s="96">
        <v>0</v>
      </c>
      <c r="O104" s="96">
        <v>0</v>
      </c>
      <c r="P104" s="96">
        <v>0</v>
      </c>
      <c r="Q104" s="96">
        <v>0</v>
      </c>
      <c r="R104" s="96">
        <v>0.53400000000000003</v>
      </c>
      <c r="S104" s="96">
        <v>2.5289999999999999</v>
      </c>
      <c r="T104" s="96">
        <v>0</v>
      </c>
      <c r="U104" s="96">
        <v>0</v>
      </c>
      <c r="V104" s="96">
        <v>0</v>
      </c>
      <c r="W104" s="96">
        <v>0</v>
      </c>
      <c r="X104" s="96">
        <v>0</v>
      </c>
      <c r="Y104" s="96">
        <v>0</v>
      </c>
      <c r="Z104" s="96"/>
      <c r="AA104" s="19"/>
      <c r="AB104" s="19"/>
      <c r="AC104" s="19"/>
      <c r="AD104" s="19"/>
      <c r="AE104" s="13"/>
      <c r="AF104" s="9" t="s">
        <v>258</v>
      </c>
      <c r="AG104" t="str">
        <f>VLOOKUP(OfficeForms.Table[[#This Row],[Nama Proyek]],'Nama Proyek'!$D$2:$G$29,4,0)</f>
        <v>-6.13491053,106.93675986</v>
      </c>
      <c r="AH104" s="5"/>
      <c r="AI104" s="5"/>
      <c r="AJ104" s="5"/>
      <c r="AK104" s="5" t="s">
        <v>259</v>
      </c>
    </row>
    <row r="105" spans="1:37" ht="15" hidden="1" customHeight="1">
      <c r="A105" s="50">
        <v>335</v>
      </c>
      <c r="B105" s="110">
        <v>44691</v>
      </c>
      <c r="C105" s="28">
        <f>B105</f>
        <v>44691</v>
      </c>
      <c r="D105" s="19" t="s">
        <v>37</v>
      </c>
      <c r="E105" s="19" t="s">
        <v>79</v>
      </c>
      <c r="F105" s="5" t="str">
        <f>E105</f>
        <v>Fajar Sodiq Febriansyah</v>
      </c>
      <c r="G105" s="38" t="s">
        <v>80</v>
      </c>
      <c r="H105" s="106"/>
      <c r="I105" s="96">
        <v>0</v>
      </c>
      <c r="J105" s="96">
        <v>0</v>
      </c>
      <c r="K105" s="96">
        <v>0</v>
      </c>
      <c r="L105" s="96">
        <v>0</v>
      </c>
      <c r="M105" s="96">
        <v>0</v>
      </c>
      <c r="N105" s="96">
        <v>0</v>
      </c>
      <c r="O105" s="96">
        <v>0</v>
      </c>
      <c r="P105" s="96">
        <v>0</v>
      </c>
      <c r="Q105" s="96">
        <v>0</v>
      </c>
      <c r="R105" s="96">
        <v>0</v>
      </c>
      <c r="S105" s="96">
        <v>0</v>
      </c>
      <c r="T105" s="96">
        <v>0</v>
      </c>
      <c r="U105" s="96">
        <v>0</v>
      </c>
      <c r="V105" s="96">
        <v>0</v>
      </c>
      <c r="W105" s="96">
        <v>0</v>
      </c>
      <c r="X105" s="96">
        <v>0</v>
      </c>
      <c r="Y105" s="96">
        <v>0</v>
      </c>
      <c r="Z105" s="96"/>
      <c r="AA105" s="19" t="s">
        <v>260</v>
      </c>
      <c r="AB105" s="19" t="s">
        <v>261</v>
      </c>
      <c r="AC105" s="19" t="s">
        <v>262</v>
      </c>
      <c r="AD105" s="19" t="s">
        <v>263</v>
      </c>
      <c r="AE105" s="13"/>
      <c r="AF105" s="8"/>
      <c r="AG105" t="str">
        <f>VLOOKUP(OfficeForms.Table[[#This Row],[Nama Proyek]],'Nama Proyek'!$D$2:$G$29,4,0)</f>
        <v>-7.82225167,113.29968319</v>
      </c>
      <c r="AH105" s="5"/>
      <c r="AI105" s="5"/>
      <c r="AJ105" s="5"/>
      <c r="AK105" s="5" t="s">
        <v>264</v>
      </c>
    </row>
    <row r="106" spans="1:37" ht="15" hidden="1" customHeight="1">
      <c r="A106">
        <v>108</v>
      </c>
      <c r="B106" s="111">
        <v>44701</v>
      </c>
      <c r="C106" s="29">
        <f>B106</f>
        <v>44701</v>
      </c>
      <c r="D106" s="8" t="s">
        <v>37</v>
      </c>
      <c r="E106" s="8" t="s">
        <v>166</v>
      </c>
      <c r="F106" s="5" t="str">
        <f>E106</f>
        <v>Ganis Satria Pratama</v>
      </c>
      <c r="G106" s="17" t="s">
        <v>167</v>
      </c>
      <c r="H106" s="105"/>
      <c r="I106" s="95">
        <v>0</v>
      </c>
      <c r="J106" s="95">
        <v>0</v>
      </c>
      <c r="K106" s="95">
        <v>0</v>
      </c>
      <c r="L106" s="95">
        <v>0</v>
      </c>
      <c r="M106" s="95">
        <v>0</v>
      </c>
      <c r="N106" s="95">
        <v>0</v>
      </c>
      <c r="O106" s="95">
        <v>0</v>
      </c>
      <c r="P106" s="95">
        <v>0</v>
      </c>
      <c r="Q106" s="95">
        <v>0</v>
      </c>
      <c r="R106" s="95">
        <v>0</v>
      </c>
      <c r="S106" s="95">
        <v>0</v>
      </c>
      <c r="T106" s="95">
        <v>0</v>
      </c>
      <c r="U106" s="95">
        <v>0</v>
      </c>
      <c r="V106" s="95">
        <v>0</v>
      </c>
      <c r="W106" s="95">
        <v>0</v>
      </c>
      <c r="X106" s="95">
        <v>0</v>
      </c>
      <c r="Y106" s="95">
        <v>0</v>
      </c>
      <c r="Z106" s="95"/>
      <c r="AA106" s="8"/>
      <c r="AB106" s="8"/>
      <c r="AC106" s="8"/>
      <c r="AD106" s="8"/>
      <c r="AE106" s="11" t="s">
        <v>265</v>
      </c>
      <c r="AF106" s="19" t="s">
        <v>266</v>
      </c>
      <c r="AG106" t="str">
        <f>VLOOKUP(OfficeForms.Table[[#This Row],[Nama Proyek]],'Nama Proyek'!$D$2:$G$29,4,0)</f>
        <v>2.426249030,128.29766314</v>
      </c>
      <c r="AH106" s="5"/>
      <c r="AI106" s="5"/>
      <c r="AJ106" s="5"/>
      <c r="AK106" s="5" t="s">
        <v>267</v>
      </c>
    </row>
    <row r="107" spans="1:37" ht="15" hidden="1" customHeight="1">
      <c r="A107" s="31">
        <v>139</v>
      </c>
      <c r="B107" s="110">
        <v>44701</v>
      </c>
      <c r="C107" s="28">
        <f>B107</f>
        <v>44701</v>
      </c>
      <c r="D107" s="8" t="s">
        <v>37</v>
      </c>
      <c r="E107" s="8" t="s">
        <v>166</v>
      </c>
      <c r="F107" s="5" t="str">
        <f>E107</f>
        <v>Ganis Satria Pratama</v>
      </c>
      <c r="G107" s="17" t="s">
        <v>167</v>
      </c>
      <c r="H107" s="105"/>
      <c r="I107" s="95">
        <v>0</v>
      </c>
      <c r="J107" s="95">
        <v>0</v>
      </c>
      <c r="K107" s="95">
        <v>0</v>
      </c>
      <c r="L107" s="95">
        <v>0</v>
      </c>
      <c r="M107" s="95">
        <v>0</v>
      </c>
      <c r="N107" s="95">
        <v>0</v>
      </c>
      <c r="O107" s="95">
        <v>0</v>
      </c>
      <c r="P107" s="95">
        <v>0</v>
      </c>
      <c r="Q107" s="95">
        <v>0</v>
      </c>
      <c r="R107" s="95">
        <v>0</v>
      </c>
      <c r="S107" s="95">
        <v>0</v>
      </c>
      <c r="T107" s="95">
        <v>0</v>
      </c>
      <c r="U107" s="95">
        <v>0</v>
      </c>
      <c r="V107" s="95">
        <v>0</v>
      </c>
      <c r="W107" s="95">
        <v>0</v>
      </c>
      <c r="X107" s="95">
        <v>0</v>
      </c>
      <c r="Y107" s="95">
        <v>0</v>
      </c>
      <c r="Z107" s="95"/>
      <c r="AA107" s="8"/>
      <c r="AB107" s="8"/>
      <c r="AC107" s="8"/>
      <c r="AD107" s="8"/>
      <c r="AE107" s="11">
        <v>44593</v>
      </c>
      <c r="AF107" s="8" t="s">
        <v>268</v>
      </c>
      <c r="AG107" t="str">
        <f>VLOOKUP(OfficeForms.Table[[#This Row],[Nama Proyek]],'Nama Proyek'!$D$2:$G$29,4,0)</f>
        <v>2.426249030,128.29766314</v>
      </c>
      <c r="AH107" s="5"/>
      <c r="AI107" s="5"/>
      <c r="AJ107" s="5"/>
      <c r="AK107" s="5" t="s">
        <v>269</v>
      </c>
    </row>
    <row r="108" spans="1:37" ht="15" hidden="1" customHeight="1">
      <c r="A108" s="31">
        <v>140</v>
      </c>
      <c r="B108" s="111">
        <v>44701</v>
      </c>
      <c r="C108" s="29">
        <f>B108</f>
        <v>44701</v>
      </c>
      <c r="D108" s="8" t="s">
        <v>37</v>
      </c>
      <c r="E108" s="8" t="s">
        <v>166</v>
      </c>
      <c r="F108" s="5" t="str">
        <f>E108</f>
        <v>Ganis Satria Pratama</v>
      </c>
      <c r="G108" s="9" t="s">
        <v>167</v>
      </c>
      <c r="H108" s="105"/>
      <c r="I108" s="95">
        <v>0</v>
      </c>
      <c r="J108" s="95">
        <v>0</v>
      </c>
      <c r="K108" s="95">
        <v>0</v>
      </c>
      <c r="L108" s="95">
        <v>0</v>
      </c>
      <c r="M108" s="95">
        <v>0</v>
      </c>
      <c r="N108" s="95">
        <v>0</v>
      </c>
      <c r="O108" s="95">
        <v>0</v>
      </c>
      <c r="P108" s="95">
        <v>0</v>
      </c>
      <c r="Q108" s="95">
        <v>0</v>
      </c>
      <c r="R108" s="95">
        <v>0</v>
      </c>
      <c r="S108" s="95">
        <v>0</v>
      </c>
      <c r="T108" s="95">
        <v>0</v>
      </c>
      <c r="U108" s="95">
        <v>0</v>
      </c>
      <c r="V108" s="95">
        <v>0</v>
      </c>
      <c r="W108" s="95">
        <v>0</v>
      </c>
      <c r="X108" s="95">
        <v>0</v>
      </c>
      <c r="Y108" s="95">
        <v>0</v>
      </c>
      <c r="Z108" s="95"/>
      <c r="AA108" s="8"/>
      <c r="AB108" s="8"/>
      <c r="AC108" s="8"/>
      <c r="AD108" s="8"/>
      <c r="AE108" s="11" t="s">
        <v>270</v>
      </c>
      <c r="AF108" s="19" t="s">
        <v>271</v>
      </c>
      <c r="AG108" t="str">
        <f>VLOOKUP(OfficeForms.Table[[#This Row],[Nama Proyek]],'Nama Proyek'!$D$2:$G$29,4,0)</f>
        <v>2.426249030,128.29766314</v>
      </c>
      <c r="AH108" s="5"/>
      <c r="AI108" s="5"/>
      <c r="AJ108" s="5"/>
      <c r="AK108" s="5" t="s">
        <v>272</v>
      </c>
    </row>
    <row r="109" spans="1:37" ht="15" hidden="1" customHeight="1">
      <c r="A109" s="30">
        <v>141</v>
      </c>
      <c r="B109" s="110">
        <v>44701</v>
      </c>
      <c r="C109" s="28">
        <f>B109</f>
        <v>44701</v>
      </c>
      <c r="D109" s="19" t="s">
        <v>37</v>
      </c>
      <c r="E109" s="19" t="s">
        <v>166</v>
      </c>
      <c r="F109" s="5" t="str">
        <f>E109</f>
        <v>Ganis Satria Pratama</v>
      </c>
      <c r="G109" s="9" t="s">
        <v>167</v>
      </c>
      <c r="H109" s="105"/>
      <c r="I109" s="96">
        <v>0</v>
      </c>
      <c r="J109" s="96">
        <v>0</v>
      </c>
      <c r="K109" s="96">
        <v>0</v>
      </c>
      <c r="L109" s="96">
        <v>0</v>
      </c>
      <c r="M109" s="96">
        <v>0</v>
      </c>
      <c r="N109" s="96">
        <v>0</v>
      </c>
      <c r="O109" s="96">
        <v>0</v>
      </c>
      <c r="P109" s="96">
        <v>0</v>
      </c>
      <c r="Q109" s="96">
        <v>0</v>
      </c>
      <c r="R109" s="96">
        <v>0</v>
      </c>
      <c r="S109" s="96">
        <v>0</v>
      </c>
      <c r="T109" s="96">
        <v>0</v>
      </c>
      <c r="U109" s="96">
        <v>0</v>
      </c>
      <c r="V109" s="96">
        <v>0</v>
      </c>
      <c r="W109" s="96">
        <v>0</v>
      </c>
      <c r="X109" s="96">
        <v>0</v>
      </c>
      <c r="Y109" s="96">
        <v>0</v>
      </c>
      <c r="Z109" s="96"/>
      <c r="AA109" s="19"/>
      <c r="AB109" s="19"/>
      <c r="AC109" s="19"/>
      <c r="AD109" s="19"/>
      <c r="AE109" s="13" t="s">
        <v>273</v>
      </c>
      <c r="AF109" s="8" t="s">
        <v>274</v>
      </c>
      <c r="AG109" t="str">
        <f>VLOOKUP(OfficeForms.Table[[#This Row],[Nama Proyek]],'Nama Proyek'!$D$2:$G$29,4,0)</f>
        <v>2.426249030,128.29766314</v>
      </c>
      <c r="AH109" s="5"/>
      <c r="AI109" s="5"/>
      <c r="AJ109" s="5"/>
      <c r="AK109" s="5" t="s">
        <v>275</v>
      </c>
    </row>
    <row r="110" spans="1:37" ht="15" hidden="1" customHeight="1">
      <c r="A110">
        <v>142</v>
      </c>
      <c r="B110" s="111">
        <v>44701</v>
      </c>
      <c r="C110" s="29">
        <f>B110</f>
        <v>44701</v>
      </c>
      <c r="D110" s="8" t="s">
        <v>37</v>
      </c>
      <c r="E110" s="8" t="s">
        <v>166</v>
      </c>
      <c r="F110" s="5" t="str">
        <f>E110</f>
        <v>Ganis Satria Pratama</v>
      </c>
      <c r="G110" s="9" t="s">
        <v>167</v>
      </c>
      <c r="H110" s="105"/>
      <c r="I110" s="95">
        <v>0</v>
      </c>
      <c r="J110" s="95">
        <v>0</v>
      </c>
      <c r="K110" s="95">
        <v>0</v>
      </c>
      <c r="L110" s="95">
        <v>0</v>
      </c>
      <c r="M110" s="95">
        <v>0</v>
      </c>
      <c r="N110" s="95">
        <v>0</v>
      </c>
      <c r="O110" s="95">
        <v>0</v>
      </c>
      <c r="P110" s="95">
        <v>0</v>
      </c>
      <c r="Q110" s="95">
        <v>0</v>
      </c>
      <c r="R110" s="95">
        <v>0</v>
      </c>
      <c r="S110" s="95">
        <v>0</v>
      </c>
      <c r="T110" s="95">
        <v>0</v>
      </c>
      <c r="U110" s="95">
        <v>0</v>
      </c>
      <c r="V110" s="95">
        <v>0</v>
      </c>
      <c r="W110" s="95">
        <v>0</v>
      </c>
      <c r="X110" s="95">
        <v>0</v>
      </c>
      <c r="Y110" s="95">
        <v>0</v>
      </c>
      <c r="Z110" s="95"/>
      <c r="AA110" s="8"/>
      <c r="AB110" s="8"/>
      <c r="AC110" s="8"/>
      <c r="AD110" s="8"/>
      <c r="AE110" s="11">
        <v>44328</v>
      </c>
      <c r="AF110" s="8" t="s">
        <v>276</v>
      </c>
      <c r="AG110" t="str">
        <f>VLOOKUP(OfficeForms.Table[[#This Row],[Nama Proyek]],'Nama Proyek'!$D$2:$G$29,4,0)</f>
        <v>2.426249030,128.29766314</v>
      </c>
      <c r="AH110" s="5"/>
      <c r="AI110" s="5"/>
      <c r="AJ110" s="5"/>
      <c r="AK110" s="5" t="s">
        <v>277</v>
      </c>
    </row>
    <row r="111" spans="1:37" ht="15" hidden="1" customHeight="1">
      <c r="A111" s="50">
        <v>95</v>
      </c>
      <c r="B111" s="110">
        <v>44702</v>
      </c>
      <c r="C111" s="28">
        <f>B111</f>
        <v>44702</v>
      </c>
      <c r="D111" s="8" t="s">
        <v>37</v>
      </c>
      <c r="E111" s="8" t="s">
        <v>278</v>
      </c>
      <c r="F111" s="5" t="str">
        <f>E111</f>
        <v>Teddy Pradana</v>
      </c>
      <c r="G111" s="17" t="s">
        <v>167</v>
      </c>
      <c r="H111" s="105"/>
      <c r="I111" s="95">
        <v>0</v>
      </c>
      <c r="J111" s="95">
        <v>0</v>
      </c>
      <c r="K111" s="95">
        <v>0</v>
      </c>
      <c r="L111" s="95">
        <v>0</v>
      </c>
      <c r="M111" s="95">
        <v>0</v>
      </c>
      <c r="N111" s="95">
        <v>0</v>
      </c>
      <c r="O111" s="95">
        <v>0</v>
      </c>
      <c r="P111" s="95">
        <v>0</v>
      </c>
      <c r="Q111" s="95">
        <v>0</v>
      </c>
      <c r="R111" s="95">
        <v>0</v>
      </c>
      <c r="S111" s="95">
        <v>0</v>
      </c>
      <c r="T111" s="95">
        <v>0</v>
      </c>
      <c r="U111" s="95">
        <v>0</v>
      </c>
      <c r="V111" s="95">
        <v>0</v>
      </c>
      <c r="W111" s="95">
        <v>0</v>
      </c>
      <c r="X111" s="95">
        <v>0</v>
      </c>
      <c r="Y111" s="95">
        <v>0</v>
      </c>
      <c r="Z111" s="95"/>
      <c r="AA111" s="8" t="s">
        <v>279</v>
      </c>
      <c r="AB111" s="8" t="s">
        <v>280</v>
      </c>
      <c r="AC111" s="8" t="s">
        <v>281</v>
      </c>
      <c r="AD111" s="8" t="s">
        <v>282</v>
      </c>
      <c r="AE111" s="11"/>
      <c r="AF111" s="9"/>
      <c r="AG111" t="str">
        <f>VLOOKUP(OfficeForms.Table[[#This Row],[Nama Proyek]],'Nama Proyek'!$D$2:$G$29,4,0)</f>
        <v>2.426249030,128.29766314</v>
      </c>
      <c r="AH111" s="5"/>
      <c r="AI111" s="5"/>
      <c r="AJ111" s="5"/>
      <c r="AK111" s="5" t="s">
        <v>283</v>
      </c>
    </row>
    <row r="112" spans="1:37" ht="15" hidden="1" customHeight="1">
      <c r="A112" s="31">
        <v>145</v>
      </c>
      <c r="B112" s="110">
        <v>44704</v>
      </c>
      <c r="C112" s="28">
        <f>B112</f>
        <v>44704</v>
      </c>
      <c r="D112" s="19" t="s">
        <v>37</v>
      </c>
      <c r="E112" s="19" t="s">
        <v>203</v>
      </c>
      <c r="F112" s="5" t="str">
        <f>E112</f>
        <v>BUDI SUGORO</v>
      </c>
      <c r="G112" s="37" t="s">
        <v>76</v>
      </c>
      <c r="H112" s="106">
        <v>44701</v>
      </c>
      <c r="I112" s="96">
        <v>23.57</v>
      </c>
      <c r="J112" s="96">
        <v>23.83</v>
      </c>
      <c r="K112" s="96">
        <v>0</v>
      </c>
      <c r="L112" s="96">
        <v>23.004000000000001</v>
      </c>
      <c r="M112" s="96">
        <v>0</v>
      </c>
      <c r="N112" s="96">
        <v>0</v>
      </c>
      <c r="O112" s="96">
        <v>0</v>
      </c>
      <c r="P112" s="96">
        <v>0</v>
      </c>
      <c r="Q112" s="96">
        <v>0</v>
      </c>
      <c r="R112" s="96">
        <v>0.23100000000000001</v>
      </c>
      <c r="S112" s="96">
        <v>0</v>
      </c>
      <c r="T112" s="96">
        <v>0</v>
      </c>
      <c r="U112" s="96">
        <v>0</v>
      </c>
      <c r="V112" s="96">
        <v>0</v>
      </c>
      <c r="W112" s="96">
        <v>0</v>
      </c>
      <c r="X112" s="96">
        <v>0</v>
      </c>
      <c r="Y112" s="96">
        <v>0</v>
      </c>
      <c r="Z112" s="96"/>
      <c r="AA112" s="19"/>
      <c r="AB112" s="19"/>
      <c r="AC112" s="19"/>
      <c r="AD112" s="19"/>
      <c r="AE112" s="13"/>
      <c r="AF112" s="41" t="s">
        <v>284</v>
      </c>
      <c r="AG112" t="str">
        <f>VLOOKUP(OfficeForms.Table[[#This Row],[Nama Proyek]],'Nama Proyek'!$D$2:$G$29,4,0)</f>
        <v>-2.95293103,104.75455094</v>
      </c>
      <c r="AH112" s="5"/>
      <c r="AI112" s="5"/>
      <c r="AJ112" s="5"/>
      <c r="AK112" s="5" t="s">
        <v>285</v>
      </c>
    </row>
    <row r="113" spans="1:37" ht="15" hidden="1" customHeight="1">
      <c r="A113" s="31">
        <v>144</v>
      </c>
      <c r="B113" s="111">
        <v>44704</v>
      </c>
      <c r="C113" s="29">
        <f>B113</f>
        <v>44704</v>
      </c>
      <c r="D113" s="8" t="s">
        <v>37</v>
      </c>
      <c r="E113" s="8" t="s">
        <v>214</v>
      </c>
      <c r="F113" s="5" t="str">
        <f>E113</f>
        <v>BASUKI RAHMAT HAKIM</v>
      </c>
      <c r="G113" s="59" t="s">
        <v>48</v>
      </c>
      <c r="H113" s="105"/>
      <c r="I113" s="95">
        <v>0</v>
      </c>
      <c r="J113" s="95">
        <v>0</v>
      </c>
      <c r="K113" s="95">
        <v>0</v>
      </c>
      <c r="L113" s="95">
        <v>0</v>
      </c>
      <c r="M113" s="95">
        <v>0</v>
      </c>
      <c r="N113" s="95">
        <v>0</v>
      </c>
      <c r="O113" s="95">
        <v>0</v>
      </c>
      <c r="P113" s="95">
        <v>0</v>
      </c>
      <c r="Q113" s="95">
        <v>0</v>
      </c>
      <c r="R113" s="95">
        <v>0</v>
      </c>
      <c r="S113" s="95">
        <v>0</v>
      </c>
      <c r="T113" s="95">
        <v>0</v>
      </c>
      <c r="U113" s="95">
        <v>0</v>
      </c>
      <c r="V113" s="95">
        <v>0</v>
      </c>
      <c r="W113" s="95">
        <v>0</v>
      </c>
      <c r="X113" s="95">
        <v>0</v>
      </c>
      <c r="Y113" s="95">
        <v>0</v>
      </c>
      <c r="Z113" s="95"/>
      <c r="AA113" s="8" t="s">
        <v>286</v>
      </c>
      <c r="AB113" s="8" t="s">
        <v>287</v>
      </c>
      <c r="AC113" s="8" t="s">
        <v>288</v>
      </c>
      <c r="AD113" s="8"/>
      <c r="AE113" s="11"/>
      <c r="AF113" s="19"/>
      <c r="AG113" t="str">
        <f>VLOOKUP(OfficeForms.Table[[#This Row],[Nama Proyek]],'Nama Proyek'!$D$2:$G$29,4,0)</f>
        <v>3.76047575,115.89977678</v>
      </c>
      <c r="AH113" s="5"/>
      <c r="AI113" s="5"/>
      <c r="AJ113" s="5"/>
      <c r="AK113" s="5" t="s">
        <v>289</v>
      </c>
    </row>
    <row r="114" spans="1:37" ht="15" hidden="1" customHeight="1">
      <c r="A114" s="30">
        <v>146</v>
      </c>
      <c r="B114" s="111">
        <v>44704</v>
      </c>
      <c r="C114" s="29">
        <f>B114</f>
        <v>44704</v>
      </c>
      <c r="D114" s="8" t="s">
        <v>37</v>
      </c>
      <c r="E114" s="8" t="s">
        <v>218</v>
      </c>
      <c r="F114" s="5" t="s">
        <v>218</v>
      </c>
      <c r="G114" s="37" t="s">
        <v>76</v>
      </c>
      <c r="H114" s="105"/>
      <c r="I114" s="95">
        <v>0</v>
      </c>
      <c r="J114" s="95">
        <v>0</v>
      </c>
      <c r="K114" s="95">
        <v>0</v>
      </c>
      <c r="L114" s="95">
        <v>0</v>
      </c>
      <c r="M114" s="95">
        <v>0</v>
      </c>
      <c r="N114" s="95">
        <v>0</v>
      </c>
      <c r="O114" s="95">
        <v>0</v>
      </c>
      <c r="P114" s="95">
        <v>0</v>
      </c>
      <c r="Q114" s="95">
        <v>0</v>
      </c>
      <c r="R114" s="95">
        <v>0</v>
      </c>
      <c r="S114" s="95">
        <v>0</v>
      </c>
      <c r="T114" s="95">
        <v>0</v>
      </c>
      <c r="U114" s="95">
        <v>0</v>
      </c>
      <c r="V114" s="95">
        <v>0</v>
      </c>
      <c r="W114" s="95">
        <v>0</v>
      </c>
      <c r="X114" s="95">
        <v>0</v>
      </c>
      <c r="Y114" s="95">
        <v>0</v>
      </c>
      <c r="Z114" s="95"/>
      <c r="AA114" s="8"/>
      <c r="AB114" s="8"/>
      <c r="AC114" s="8"/>
      <c r="AD114" s="8"/>
      <c r="AE114" s="11" t="s">
        <v>290</v>
      </c>
      <c r="AF114" s="43" t="s">
        <v>291</v>
      </c>
      <c r="AG114" t="str">
        <f>VLOOKUP(OfficeForms.Table[[#This Row],[Nama Proyek]],'Nama Proyek'!$D$2:$G$29,4,0)</f>
        <v>-2.95293103,104.75455094</v>
      </c>
      <c r="AH114" s="5"/>
      <c r="AI114" s="5"/>
      <c r="AJ114" s="5"/>
      <c r="AK114" s="5" t="s">
        <v>292</v>
      </c>
    </row>
    <row r="115" spans="1:37" ht="15" hidden="1" customHeight="1">
      <c r="A115">
        <v>147</v>
      </c>
      <c r="B115" s="110">
        <v>44704</v>
      </c>
      <c r="C115" s="28">
        <f>B115</f>
        <v>44704</v>
      </c>
      <c r="D115" s="19" t="s">
        <v>37</v>
      </c>
      <c r="E115" s="19" t="s">
        <v>218</v>
      </c>
      <c r="F115" s="5" t="s">
        <v>218</v>
      </c>
      <c r="G115" s="37" t="s">
        <v>76</v>
      </c>
      <c r="H115" s="105"/>
      <c r="I115" s="96">
        <v>0</v>
      </c>
      <c r="J115" s="96">
        <v>0</v>
      </c>
      <c r="K115" s="96">
        <v>0</v>
      </c>
      <c r="L115" s="96">
        <v>0</v>
      </c>
      <c r="M115" s="96">
        <v>0</v>
      </c>
      <c r="N115" s="96">
        <v>0</v>
      </c>
      <c r="O115" s="96">
        <v>0</v>
      </c>
      <c r="P115" s="96">
        <v>0</v>
      </c>
      <c r="Q115" s="96">
        <v>0</v>
      </c>
      <c r="R115" s="96">
        <v>0</v>
      </c>
      <c r="S115" s="96">
        <v>0</v>
      </c>
      <c r="T115" s="96">
        <v>0</v>
      </c>
      <c r="U115" s="96">
        <v>0</v>
      </c>
      <c r="V115" s="96">
        <v>0</v>
      </c>
      <c r="W115" s="96">
        <v>0</v>
      </c>
      <c r="X115" s="96">
        <v>0</v>
      </c>
      <c r="Y115" s="96">
        <v>0</v>
      </c>
      <c r="Z115" s="96"/>
      <c r="AA115" s="19"/>
      <c r="AB115" s="19"/>
      <c r="AC115" s="19"/>
      <c r="AD115" s="19"/>
      <c r="AE115" s="13" t="s">
        <v>290</v>
      </c>
      <c r="AF115" s="8" t="s">
        <v>293</v>
      </c>
      <c r="AG115" t="str">
        <f>VLOOKUP(OfficeForms.Table[[#This Row],[Nama Proyek]],'Nama Proyek'!$D$2:$G$29,4,0)</f>
        <v>-2.95293103,104.75455094</v>
      </c>
      <c r="AH115" s="5"/>
      <c r="AI115" s="5"/>
      <c r="AJ115" s="5"/>
      <c r="AK115" s="5" t="s">
        <v>294</v>
      </c>
    </row>
    <row r="116" spans="1:37" ht="15" hidden="1" customHeight="1">
      <c r="A116" s="50">
        <v>148</v>
      </c>
      <c r="B116" s="111">
        <v>44704</v>
      </c>
      <c r="C116" s="29">
        <f>B116</f>
        <v>44704</v>
      </c>
      <c r="D116" s="8" t="s">
        <v>37</v>
      </c>
      <c r="E116" s="8" t="s">
        <v>295</v>
      </c>
      <c r="F116" s="5" t="str">
        <f>E116</f>
        <v>Y. BUDI RASCHMAT K</v>
      </c>
      <c r="G116" s="37" t="s">
        <v>76</v>
      </c>
      <c r="H116" s="105"/>
      <c r="I116" s="95">
        <v>0</v>
      </c>
      <c r="J116" s="95">
        <v>0</v>
      </c>
      <c r="K116" s="95">
        <v>0</v>
      </c>
      <c r="L116" s="95">
        <v>0</v>
      </c>
      <c r="M116" s="95">
        <v>0</v>
      </c>
      <c r="N116" s="95">
        <v>0</v>
      </c>
      <c r="O116" s="95">
        <v>0</v>
      </c>
      <c r="P116" s="95">
        <v>0</v>
      </c>
      <c r="Q116" s="95">
        <v>0</v>
      </c>
      <c r="R116" s="95">
        <v>0</v>
      </c>
      <c r="S116" s="95">
        <v>0</v>
      </c>
      <c r="T116" s="95">
        <v>0</v>
      </c>
      <c r="U116" s="95">
        <v>0</v>
      </c>
      <c r="V116" s="95">
        <v>0</v>
      </c>
      <c r="W116" s="95">
        <v>0</v>
      </c>
      <c r="X116" s="95">
        <v>0</v>
      </c>
      <c r="Y116" s="95">
        <v>0</v>
      </c>
      <c r="Z116" s="95"/>
      <c r="AA116" s="8"/>
      <c r="AB116" s="8"/>
      <c r="AC116" s="8"/>
      <c r="AD116" s="8"/>
      <c r="AE116" s="11" t="s">
        <v>296</v>
      </c>
      <c r="AF116" s="19" t="s">
        <v>173</v>
      </c>
      <c r="AG116" t="str">
        <f>VLOOKUP(OfficeForms.Table[[#This Row],[Nama Proyek]],'Nama Proyek'!$D$2:$G$29,4,0)</f>
        <v>-2.95293103,104.75455094</v>
      </c>
      <c r="AH116" s="5"/>
      <c r="AI116" s="5"/>
      <c r="AJ116" s="5"/>
      <c r="AK116" s="5" t="s">
        <v>297</v>
      </c>
    </row>
    <row r="117" spans="1:37" ht="15" hidden="1" customHeight="1">
      <c r="A117" s="31">
        <v>149</v>
      </c>
      <c r="B117" s="110">
        <v>44704</v>
      </c>
      <c r="C117" s="28">
        <f>B117</f>
        <v>44704</v>
      </c>
      <c r="D117" s="19" t="s">
        <v>37</v>
      </c>
      <c r="E117" s="19" t="s">
        <v>211</v>
      </c>
      <c r="F117" s="5" t="str">
        <f>E117</f>
        <v>ADITYA ANGGA</v>
      </c>
      <c r="G117" s="54" t="s">
        <v>76</v>
      </c>
      <c r="H117" s="105"/>
      <c r="I117" s="96">
        <v>0</v>
      </c>
      <c r="J117" s="96">
        <v>0</v>
      </c>
      <c r="K117" s="96">
        <v>0</v>
      </c>
      <c r="L117" s="96">
        <v>0</v>
      </c>
      <c r="M117" s="96">
        <v>0</v>
      </c>
      <c r="N117" s="96">
        <v>0</v>
      </c>
      <c r="O117" s="96">
        <v>0</v>
      </c>
      <c r="P117" s="96">
        <v>0</v>
      </c>
      <c r="Q117" s="96">
        <v>0</v>
      </c>
      <c r="R117" s="96">
        <v>0</v>
      </c>
      <c r="S117" s="96">
        <v>0</v>
      </c>
      <c r="T117" s="96">
        <v>0</v>
      </c>
      <c r="U117" s="96">
        <v>0</v>
      </c>
      <c r="V117" s="96">
        <v>0</v>
      </c>
      <c r="W117" s="96">
        <v>0</v>
      </c>
      <c r="X117" s="96">
        <v>0</v>
      </c>
      <c r="Y117" s="96">
        <v>0</v>
      </c>
      <c r="Z117" s="96"/>
      <c r="AA117" s="19"/>
      <c r="AB117" s="19"/>
      <c r="AC117" s="19"/>
      <c r="AD117" s="19"/>
      <c r="AE117" s="13" t="s">
        <v>298</v>
      </c>
      <c r="AF117" s="9" t="s">
        <v>299</v>
      </c>
      <c r="AG117" t="str">
        <f>VLOOKUP(OfficeForms.Table[[#This Row],[Nama Proyek]],'Nama Proyek'!$D$2:$G$29,4,0)</f>
        <v>-2.95293103,104.75455094</v>
      </c>
      <c r="AH117" s="5"/>
      <c r="AI117" s="5"/>
      <c r="AJ117" s="5"/>
      <c r="AK117" s="5" t="s">
        <v>300</v>
      </c>
    </row>
    <row r="118" spans="1:37" ht="15" hidden="1" customHeight="1">
      <c r="A118" s="50">
        <v>158</v>
      </c>
      <c r="B118" s="111">
        <v>44705</v>
      </c>
      <c r="C118" s="29">
        <f>B118</f>
        <v>44705</v>
      </c>
      <c r="D118" s="9" t="s">
        <v>37</v>
      </c>
      <c r="E118" s="9" t="s">
        <v>82</v>
      </c>
      <c r="F118" s="5" t="str">
        <f>E118</f>
        <v>Ajik Prastiyo</v>
      </c>
      <c r="G118" s="22" t="s">
        <v>80</v>
      </c>
      <c r="H118" s="104">
        <v>44703</v>
      </c>
      <c r="I118" s="94">
        <v>23.459485260000001</v>
      </c>
      <c r="J118" s="94">
        <v>48.928851989999998</v>
      </c>
      <c r="K118" s="94">
        <v>0.13563331000000001</v>
      </c>
      <c r="L118" s="94">
        <v>7.6368039999999998E-2</v>
      </c>
      <c r="M118" s="94">
        <v>10.44114426</v>
      </c>
      <c r="N118" s="94">
        <v>0.24848097999999999</v>
      </c>
      <c r="O118" s="94">
        <v>4.0019069999999997E-2</v>
      </c>
      <c r="P118" s="94">
        <v>3.11027E-3</v>
      </c>
      <c r="Q118" s="94">
        <v>6.1819000000000002E-4</v>
      </c>
      <c r="R118" s="94">
        <v>0.20550979999999999</v>
      </c>
      <c r="S118" s="94">
        <v>11.90951841</v>
      </c>
      <c r="T118" s="94">
        <v>0</v>
      </c>
      <c r="U118" s="94">
        <v>8.1858559999999997E-2</v>
      </c>
      <c r="V118" s="94">
        <v>0</v>
      </c>
      <c r="W118" s="94">
        <v>0</v>
      </c>
      <c r="X118" s="94">
        <v>8.7124370000000007E-2</v>
      </c>
      <c r="Y118" s="94">
        <v>0</v>
      </c>
      <c r="Z118" s="94"/>
      <c r="AA118" s="9"/>
      <c r="AB118" s="9"/>
      <c r="AC118" s="9"/>
      <c r="AD118" s="9"/>
      <c r="AE118" s="12"/>
      <c r="AF118" s="8"/>
      <c r="AG118" t="str">
        <f>VLOOKUP(OfficeForms.Table[[#This Row],[Nama Proyek]],'Nama Proyek'!$D$2:$G$29,4,0)</f>
        <v>-7.82225167,113.29968319</v>
      </c>
      <c r="AH118" s="5"/>
      <c r="AI118" s="5"/>
      <c r="AJ118" s="5"/>
      <c r="AK118" s="5" t="s">
        <v>301</v>
      </c>
    </row>
    <row r="119" spans="1:37" ht="15" hidden="1" customHeight="1">
      <c r="A119" s="50">
        <v>151</v>
      </c>
      <c r="B119" s="110">
        <v>44705</v>
      </c>
      <c r="C119" s="28">
        <f>B119</f>
        <v>44705</v>
      </c>
      <c r="D119" s="8" t="s">
        <v>37</v>
      </c>
      <c r="E119" s="8" t="s">
        <v>82</v>
      </c>
      <c r="F119" s="5" t="str">
        <f>E119</f>
        <v>Ajik Prastiyo</v>
      </c>
      <c r="G119" s="39" t="s">
        <v>80</v>
      </c>
      <c r="H119" s="105"/>
      <c r="I119" s="95">
        <v>0</v>
      </c>
      <c r="J119" s="95">
        <v>0</v>
      </c>
      <c r="K119" s="95">
        <v>0</v>
      </c>
      <c r="L119" s="95">
        <v>0</v>
      </c>
      <c r="M119" s="95">
        <v>0</v>
      </c>
      <c r="N119" s="95">
        <v>0</v>
      </c>
      <c r="O119" s="95">
        <v>0</v>
      </c>
      <c r="P119" s="95">
        <v>0</v>
      </c>
      <c r="Q119" s="95">
        <v>0</v>
      </c>
      <c r="R119" s="95">
        <v>0</v>
      </c>
      <c r="S119" s="95">
        <v>0</v>
      </c>
      <c r="T119" s="95">
        <v>0</v>
      </c>
      <c r="U119" s="95">
        <v>0</v>
      </c>
      <c r="V119" s="95">
        <v>0</v>
      </c>
      <c r="W119" s="95">
        <v>0</v>
      </c>
      <c r="X119" s="95">
        <v>0</v>
      </c>
      <c r="Y119" s="95">
        <v>0</v>
      </c>
      <c r="Z119" s="95"/>
      <c r="AA119" s="8"/>
      <c r="AB119" s="8"/>
      <c r="AC119" s="8"/>
      <c r="AD119" s="8"/>
      <c r="AE119" s="11" t="s">
        <v>302</v>
      </c>
      <c r="AF119" s="44" t="s">
        <v>303</v>
      </c>
      <c r="AG119" t="str">
        <f>VLOOKUP(OfficeForms.Table[[#This Row],[Nama Proyek]],'Nama Proyek'!$D$2:$G$29,4,0)</f>
        <v>-7.82225167,113.29968319</v>
      </c>
      <c r="AH119" s="5"/>
      <c r="AI119" s="5"/>
      <c r="AJ119" s="5"/>
      <c r="AK119" s="5" t="s">
        <v>304</v>
      </c>
    </row>
    <row r="120" spans="1:37" ht="15" hidden="1" customHeight="1">
      <c r="A120" s="31">
        <v>152</v>
      </c>
      <c r="B120" s="111">
        <v>44705</v>
      </c>
      <c r="C120" s="29">
        <f>B120</f>
        <v>44705</v>
      </c>
      <c r="D120" s="9" t="s">
        <v>37</v>
      </c>
      <c r="E120" s="9" t="s">
        <v>82</v>
      </c>
      <c r="F120" s="5" t="str">
        <f>E120</f>
        <v>Ajik Prastiyo</v>
      </c>
      <c r="G120" s="22" t="s">
        <v>80</v>
      </c>
      <c r="H120" s="105"/>
      <c r="I120" s="94">
        <v>0</v>
      </c>
      <c r="J120" s="94">
        <v>0</v>
      </c>
      <c r="K120" s="94">
        <v>0</v>
      </c>
      <c r="L120" s="94">
        <v>0</v>
      </c>
      <c r="M120" s="94">
        <v>0</v>
      </c>
      <c r="N120" s="94">
        <v>0</v>
      </c>
      <c r="O120" s="94">
        <v>0</v>
      </c>
      <c r="P120" s="94">
        <v>0</v>
      </c>
      <c r="Q120" s="94">
        <v>0</v>
      </c>
      <c r="R120" s="94">
        <v>0</v>
      </c>
      <c r="S120" s="94">
        <v>0</v>
      </c>
      <c r="T120" s="94">
        <v>0</v>
      </c>
      <c r="U120" s="94">
        <v>0</v>
      </c>
      <c r="V120" s="94">
        <v>0</v>
      </c>
      <c r="W120" s="94">
        <v>0</v>
      </c>
      <c r="X120" s="94">
        <v>0</v>
      </c>
      <c r="Y120" s="94">
        <v>0</v>
      </c>
      <c r="Z120" s="94"/>
      <c r="AA120" s="9"/>
      <c r="AB120" s="9"/>
      <c r="AC120" s="9"/>
      <c r="AD120" s="9"/>
      <c r="AE120" s="12" t="s">
        <v>302</v>
      </c>
      <c r="AF120" s="8" t="s">
        <v>305</v>
      </c>
      <c r="AG120" t="str">
        <f>VLOOKUP(OfficeForms.Table[[#This Row],[Nama Proyek]],'Nama Proyek'!$D$2:$G$29,4,0)</f>
        <v>-7.82225167,113.29968319</v>
      </c>
      <c r="AH120" s="5"/>
      <c r="AI120" s="5"/>
      <c r="AJ120" s="5"/>
      <c r="AK120" s="5" t="s">
        <v>306</v>
      </c>
    </row>
    <row r="121" spans="1:37" ht="15" hidden="1" customHeight="1">
      <c r="A121" s="30">
        <v>153</v>
      </c>
      <c r="B121" s="110">
        <v>44705</v>
      </c>
      <c r="C121" s="28">
        <f>B121</f>
        <v>44705</v>
      </c>
      <c r="D121" s="8" t="s">
        <v>37</v>
      </c>
      <c r="E121" s="8" t="s">
        <v>82</v>
      </c>
      <c r="F121" s="5" t="str">
        <f>E121</f>
        <v>Ajik Prastiyo</v>
      </c>
      <c r="G121" s="39" t="s">
        <v>80</v>
      </c>
      <c r="H121" s="105"/>
      <c r="I121" s="95">
        <v>0</v>
      </c>
      <c r="J121" s="95">
        <v>0</v>
      </c>
      <c r="K121" s="95">
        <v>0</v>
      </c>
      <c r="L121" s="95">
        <v>0</v>
      </c>
      <c r="M121" s="95">
        <v>0</v>
      </c>
      <c r="N121" s="95">
        <v>0</v>
      </c>
      <c r="O121" s="95">
        <v>0</v>
      </c>
      <c r="P121" s="95">
        <v>0</v>
      </c>
      <c r="Q121" s="95">
        <v>0</v>
      </c>
      <c r="R121" s="95">
        <v>0</v>
      </c>
      <c r="S121" s="95">
        <v>0</v>
      </c>
      <c r="T121" s="95">
        <v>0</v>
      </c>
      <c r="U121" s="95">
        <v>0</v>
      </c>
      <c r="V121" s="95">
        <v>0</v>
      </c>
      <c r="W121" s="95">
        <v>0</v>
      </c>
      <c r="X121" s="95">
        <v>0</v>
      </c>
      <c r="Y121" s="95">
        <v>0</v>
      </c>
      <c r="Z121" s="95"/>
      <c r="AA121" s="8"/>
      <c r="AB121" s="8"/>
      <c r="AC121" s="8"/>
      <c r="AD121" s="8"/>
      <c r="AE121" s="11" t="s">
        <v>302</v>
      </c>
      <c r="AF121" s="9" t="s">
        <v>307</v>
      </c>
      <c r="AG121" t="str">
        <f>VLOOKUP(OfficeForms.Table[[#This Row],[Nama Proyek]],'Nama Proyek'!$D$2:$G$29,4,0)</f>
        <v>-7.82225167,113.29968319</v>
      </c>
      <c r="AH121" s="5"/>
      <c r="AI121" s="5"/>
      <c r="AJ121" s="5"/>
      <c r="AK121" s="5" t="s">
        <v>308</v>
      </c>
    </row>
    <row r="122" spans="1:37" ht="15" hidden="1" customHeight="1">
      <c r="A122" s="31">
        <v>154</v>
      </c>
      <c r="B122" s="111">
        <v>44705</v>
      </c>
      <c r="C122" s="29">
        <f>B122</f>
        <v>44705</v>
      </c>
      <c r="D122" s="9" t="s">
        <v>37</v>
      </c>
      <c r="E122" s="9" t="s">
        <v>82</v>
      </c>
      <c r="F122" s="5" t="str">
        <f>E122</f>
        <v>Ajik Prastiyo</v>
      </c>
      <c r="G122" s="22" t="s">
        <v>80</v>
      </c>
      <c r="H122" s="105"/>
      <c r="I122" s="94">
        <v>0</v>
      </c>
      <c r="J122" s="94">
        <v>0</v>
      </c>
      <c r="K122" s="94">
        <v>0</v>
      </c>
      <c r="L122" s="94">
        <v>0</v>
      </c>
      <c r="M122" s="94">
        <v>0</v>
      </c>
      <c r="N122" s="94">
        <v>0</v>
      </c>
      <c r="O122" s="94">
        <v>0</v>
      </c>
      <c r="P122" s="94">
        <v>0</v>
      </c>
      <c r="Q122" s="94">
        <v>0</v>
      </c>
      <c r="R122" s="94">
        <v>0</v>
      </c>
      <c r="S122" s="94">
        <v>0</v>
      </c>
      <c r="T122" s="94">
        <v>0</v>
      </c>
      <c r="U122" s="94">
        <v>0</v>
      </c>
      <c r="V122" s="94">
        <v>0</v>
      </c>
      <c r="W122" s="94">
        <v>0</v>
      </c>
      <c r="X122" s="94">
        <v>0</v>
      </c>
      <c r="Y122" s="94">
        <v>0</v>
      </c>
      <c r="Z122" s="94"/>
      <c r="AA122" s="9"/>
      <c r="AB122" s="9"/>
      <c r="AC122" s="9"/>
      <c r="AD122" s="9"/>
      <c r="AE122" s="12" t="s">
        <v>302</v>
      </c>
      <c r="AF122" s="45" t="s">
        <v>309</v>
      </c>
      <c r="AG122" t="str">
        <f>VLOOKUP(OfficeForms.Table[[#This Row],[Nama Proyek]],'Nama Proyek'!$D$2:$G$29,4,0)</f>
        <v>-7.82225167,113.29968319</v>
      </c>
      <c r="AH122" s="5"/>
      <c r="AI122" s="5"/>
      <c r="AJ122" s="5"/>
      <c r="AK122" s="5" t="s">
        <v>310</v>
      </c>
    </row>
    <row r="123" spans="1:37" ht="15" hidden="1" customHeight="1">
      <c r="A123">
        <v>155</v>
      </c>
      <c r="B123" s="110">
        <v>44705</v>
      </c>
      <c r="C123" s="28">
        <f>B123</f>
        <v>44705</v>
      </c>
      <c r="D123" s="8" t="s">
        <v>37</v>
      </c>
      <c r="E123" s="8" t="s">
        <v>82</v>
      </c>
      <c r="F123" s="5" t="str">
        <f>E123</f>
        <v>Ajik Prastiyo</v>
      </c>
      <c r="G123" s="39" t="s">
        <v>80</v>
      </c>
      <c r="H123" s="105"/>
      <c r="I123" s="95">
        <v>0</v>
      </c>
      <c r="J123" s="95">
        <v>0</v>
      </c>
      <c r="K123" s="95">
        <v>0</v>
      </c>
      <c r="L123" s="95">
        <v>0</v>
      </c>
      <c r="M123" s="95">
        <v>0</v>
      </c>
      <c r="N123" s="95">
        <v>0</v>
      </c>
      <c r="O123" s="95">
        <v>0</v>
      </c>
      <c r="P123" s="95">
        <v>0</v>
      </c>
      <c r="Q123" s="95">
        <v>0</v>
      </c>
      <c r="R123" s="95">
        <v>0</v>
      </c>
      <c r="S123" s="95">
        <v>0</v>
      </c>
      <c r="T123" s="95">
        <v>0</v>
      </c>
      <c r="U123" s="95">
        <v>0</v>
      </c>
      <c r="V123" s="95">
        <v>0</v>
      </c>
      <c r="W123" s="95">
        <v>0</v>
      </c>
      <c r="X123" s="95">
        <v>0</v>
      </c>
      <c r="Y123" s="95">
        <v>0</v>
      </c>
      <c r="Z123" s="95"/>
      <c r="AA123" s="8"/>
      <c r="AB123" s="8"/>
      <c r="AC123" s="8"/>
      <c r="AD123" s="8"/>
      <c r="AE123" s="11" t="s">
        <v>302</v>
      </c>
      <c r="AF123" s="9"/>
      <c r="AG123" t="str">
        <f>VLOOKUP(OfficeForms.Table[[#This Row],[Nama Proyek]],'Nama Proyek'!$D$2:$G$29,4,0)</f>
        <v>-7.82225167,113.29968319</v>
      </c>
      <c r="AH123" s="5"/>
      <c r="AI123" s="5"/>
      <c r="AJ123" s="5"/>
      <c r="AK123" s="5" t="s">
        <v>311</v>
      </c>
    </row>
    <row r="124" spans="1:37" ht="15" hidden="1" customHeight="1">
      <c r="A124">
        <v>157</v>
      </c>
      <c r="B124" s="110">
        <v>44705</v>
      </c>
      <c r="C124" s="28">
        <f>B124</f>
        <v>44705</v>
      </c>
      <c r="D124" s="8" t="s">
        <v>37</v>
      </c>
      <c r="E124" s="8" t="s">
        <v>82</v>
      </c>
      <c r="F124" s="5" t="str">
        <f>E124</f>
        <v>Ajik Prastiyo</v>
      </c>
      <c r="G124" s="39" t="s">
        <v>80</v>
      </c>
      <c r="H124" s="105"/>
      <c r="I124" s="95">
        <v>0</v>
      </c>
      <c r="J124" s="95">
        <v>0</v>
      </c>
      <c r="K124" s="95">
        <v>0</v>
      </c>
      <c r="L124" s="95">
        <v>0</v>
      </c>
      <c r="M124" s="95">
        <v>0</v>
      </c>
      <c r="N124" s="95">
        <v>0</v>
      </c>
      <c r="O124" s="95">
        <v>0</v>
      </c>
      <c r="P124" s="95">
        <v>0</v>
      </c>
      <c r="Q124" s="95">
        <v>0</v>
      </c>
      <c r="R124" s="95">
        <v>0</v>
      </c>
      <c r="S124" s="95">
        <v>0</v>
      </c>
      <c r="T124" s="95">
        <v>0</v>
      </c>
      <c r="U124" s="95">
        <v>0</v>
      </c>
      <c r="V124" s="95">
        <v>0</v>
      </c>
      <c r="W124" s="95">
        <v>0</v>
      </c>
      <c r="X124" s="95">
        <v>0</v>
      </c>
      <c r="Y124" s="95">
        <v>0</v>
      </c>
      <c r="Z124" s="95"/>
      <c r="AA124" s="8"/>
      <c r="AB124" s="8"/>
      <c r="AC124" s="8"/>
      <c r="AD124" s="8"/>
      <c r="AE124" s="11" t="s">
        <v>302</v>
      </c>
      <c r="AF124" s="9"/>
      <c r="AG124" t="str">
        <f>VLOOKUP(OfficeForms.Table[[#This Row],[Nama Proyek]],'Nama Proyek'!$D$2:$G$29,4,0)</f>
        <v>-7.82225167,113.29968319</v>
      </c>
      <c r="AH124" s="5"/>
      <c r="AI124" s="5"/>
      <c r="AJ124" s="5"/>
      <c r="AK124" s="5" t="s">
        <v>312</v>
      </c>
    </row>
    <row r="125" spans="1:37" ht="15" hidden="1" customHeight="1">
      <c r="A125" s="31">
        <v>159</v>
      </c>
      <c r="B125" s="110">
        <v>44705</v>
      </c>
      <c r="C125" s="28">
        <f>B125</f>
        <v>44705</v>
      </c>
      <c r="D125" s="8" t="s">
        <v>37</v>
      </c>
      <c r="E125" s="8" t="s">
        <v>79</v>
      </c>
      <c r="F125" s="5" t="str">
        <f>E125</f>
        <v>Fajar Sodiq Febriansyah</v>
      </c>
      <c r="G125" s="23" t="s">
        <v>80</v>
      </c>
      <c r="H125" s="105"/>
      <c r="I125" s="95">
        <v>0</v>
      </c>
      <c r="J125" s="95">
        <v>0</v>
      </c>
      <c r="K125" s="95">
        <v>0</v>
      </c>
      <c r="L125" s="95">
        <v>0</v>
      </c>
      <c r="M125" s="95">
        <v>0</v>
      </c>
      <c r="N125" s="95">
        <v>0</v>
      </c>
      <c r="O125" s="95">
        <v>0</v>
      </c>
      <c r="P125" s="95">
        <v>0</v>
      </c>
      <c r="Q125" s="95">
        <v>0</v>
      </c>
      <c r="R125" s="95">
        <v>0</v>
      </c>
      <c r="S125" s="95">
        <v>0</v>
      </c>
      <c r="T125" s="95">
        <v>0</v>
      </c>
      <c r="U125" s="95">
        <v>0</v>
      </c>
      <c r="V125" s="95">
        <v>0</v>
      </c>
      <c r="W125" s="95">
        <v>0</v>
      </c>
      <c r="X125" s="95">
        <v>0</v>
      </c>
      <c r="Y125" s="95">
        <v>0</v>
      </c>
      <c r="Z125" s="95"/>
      <c r="AA125" s="8" t="s">
        <v>313</v>
      </c>
      <c r="AB125" s="8" t="s">
        <v>314</v>
      </c>
      <c r="AC125" s="8" t="s">
        <v>315</v>
      </c>
      <c r="AD125" s="8" t="s">
        <v>316</v>
      </c>
      <c r="AE125" s="11"/>
      <c r="AF125" s="8" t="s">
        <v>317</v>
      </c>
      <c r="AG125" t="str">
        <f>VLOOKUP(OfficeForms.Table[[#This Row],[Nama Proyek]],'Nama Proyek'!$D$2:$G$29,4,0)</f>
        <v>-7.82225167,113.29968319</v>
      </c>
      <c r="AH125" s="5"/>
      <c r="AI125" s="5"/>
      <c r="AJ125" s="5"/>
      <c r="AK125" s="5" t="s">
        <v>318</v>
      </c>
    </row>
    <row r="126" spans="1:37" ht="15" hidden="1" customHeight="1">
      <c r="A126" s="31">
        <v>27</v>
      </c>
      <c r="B126" s="110">
        <v>44706</v>
      </c>
      <c r="C126" s="28">
        <f>B126</f>
        <v>44706</v>
      </c>
      <c r="D126" s="19" t="s">
        <v>37</v>
      </c>
      <c r="E126" s="19" t="s">
        <v>64</v>
      </c>
      <c r="F126" s="5" t="str">
        <f>E126</f>
        <v>Nizar Zulkarnain</v>
      </c>
      <c r="G126" s="42" t="s">
        <v>65</v>
      </c>
      <c r="H126" s="106"/>
      <c r="I126" s="96">
        <v>0</v>
      </c>
      <c r="J126" s="96">
        <v>0</v>
      </c>
      <c r="K126" s="96">
        <v>0</v>
      </c>
      <c r="L126" s="96">
        <v>0</v>
      </c>
      <c r="M126" s="96">
        <v>0</v>
      </c>
      <c r="N126" s="96">
        <v>0</v>
      </c>
      <c r="O126" s="96">
        <v>0</v>
      </c>
      <c r="P126" s="96">
        <v>0</v>
      </c>
      <c r="Q126" s="96">
        <v>0</v>
      </c>
      <c r="R126" s="96">
        <v>0</v>
      </c>
      <c r="S126" s="96">
        <v>0</v>
      </c>
      <c r="T126" s="96">
        <v>0</v>
      </c>
      <c r="U126" s="96">
        <v>0</v>
      </c>
      <c r="V126" s="96">
        <v>0</v>
      </c>
      <c r="W126" s="96">
        <v>0</v>
      </c>
      <c r="X126" s="96">
        <v>0</v>
      </c>
      <c r="Y126" s="96">
        <v>0</v>
      </c>
      <c r="Z126" s="96"/>
      <c r="AA126" s="75" t="s">
        <v>319</v>
      </c>
      <c r="AB126" s="19"/>
      <c r="AC126" s="19"/>
      <c r="AD126" s="19"/>
      <c r="AE126" s="13"/>
      <c r="AF126" s="40" t="s">
        <v>320</v>
      </c>
      <c r="AG126" t="str">
        <f>VLOOKUP(OfficeForms.Table[[#This Row],[Nama Proyek]],'Nama Proyek'!$D$2:$G$29,4,0)</f>
        <v>-6.35008011,107.02324233</v>
      </c>
      <c r="AH126" s="5"/>
      <c r="AI126" s="5"/>
      <c r="AJ126" s="5"/>
      <c r="AK126" s="5" t="s">
        <v>321</v>
      </c>
    </row>
    <row r="127" spans="1:37" ht="15" hidden="1" customHeight="1">
      <c r="A127" s="30">
        <v>69</v>
      </c>
      <c r="B127" s="110">
        <v>44706</v>
      </c>
      <c r="C127" s="28">
        <f>B127</f>
        <v>44706</v>
      </c>
      <c r="D127" s="19" t="s">
        <v>37</v>
      </c>
      <c r="E127" s="19" t="s">
        <v>64</v>
      </c>
      <c r="F127" s="5" t="str">
        <f>E127</f>
        <v>Nizar Zulkarnain</v>
      </c>
      <c r="G127" s="42" t="s">
        <v>65</v>
      </c>
      <c r="H127" s="106"/>
      <c r="I127" s="96">
        <v>0</v>
      </c>
      <c r="J127" s="96">
        <v>0</v>
      </c>
      <c r="K127" s="96">
        <v>0</v>
      </c>
      <c r="L127" s="96">
        <v>0</v>
      </c>
      <c r="M127" s="96">
        <v>0</v>
      </c>
      <c r="N127" s="96">
        <v>0</v>
      </c>
      <c r="O127" s="96">
        <v>0</v>
      </c>
      <c r="P127" s="96">
        <v>0</v>
      </c>
      <c r="Q127" s="96">
        <v>0</v>
      </c>
      <c r="R127" s="96">
        <v>0</v>
      </c>
      <c r="S127" s="96">
        <v>0</v>
      </c>
      <c r="T127" s="96">
        <v>0</v>
      </c>
      <c r="U127" s="96">
        <v>0</v>
      </c>
      <c r="V127" s="96">
        <v>0</v>
      </c>
      <c r="W127" s="96">
        <v>0</v>
      </c>
      <c r="X127" s="96">
        <v>0</v>
      </c>
      <c r="Y127" s="96">
        <v>0</v>
      </c>
      <c r="Z127" s="96"/>
      <c r="AA127" s="19"/>
      <c r="AB127" s="19"/>
      <c r="AC127" s="19" t="s">
        <v>322</v>
      </c>
      <c r="AD127" s="19"/>
      <c r="AE127" s="13"/>
      <c r="AF127" s="40" t="s">
        <v>323</v>
      </c>
      <c r="AG127" t="str">
        <f>VLOOKUP(OfficeForms.Table[[#This Row],[Nama Proyek]],'Nama Proyek'!$D$2:$G$29,4,0)</f>
        <v>-6.35008011,107.02324233</v>
      </c>
      <c r="AH127" s="5"/>
      <c r="AI127" s="5"/>
      <c r="AJ127" s="5"/>
      <c r="AK127" s="5" t="s">
        <v>324</v>
      </c>
    </row>
    <row r="128" spans="1:37" ht="15" hidden="1" customHeight="1">
      <c r="A128">
        <v>88</v>
      </c>
      <c r="B128" s="111">
        <v>44706</v>
      </c>
      <c r="C128" s="29">
        <f>B128</f>
        <v>44706</v>
      </c>
      <c r="D128" s="8" t="s">
        <v>37</v>
      </c>
      <c r="E128" s="8" t="s">
        <v>64</v>
      </c>
      <c r="F128" s="5" t="str">
        <f>E128</f>
        <v>Nizar Zulkarnain</v>
      </c>
      <c r="G128" s="17" t="s">
        <v>65</v>
      </c>
      <c r="H128" s="104"/>
      <c r="I128" s="95">
        <v>0</v>
      </c>
      <c r="J128" s="95">
        <v>0</v>
      </c>
      <c r="K128" s="95">
        <v>0</v>
      </c>
      <c r="L128" s="95">
        <v>0</v>
      </c>
      <c r="M128" s="95">
        <v>0</v>
      </c>
      <c r="N128" s="95">
        <v>0</v>
      </c>
      <c r="O128" s="95">
        <v>0</v>
      </c>
      <c r="P128" s="95">
        <v>0</v>
      </c>
      <c r="Q128" s="95">
        <v>0</v>
      </c>
      <c r="R128" s="95">
        <v>0</v>
      </c>
      <c r="S128" s="95">
        <v>0</v>
      </c>
      <c r="T128" s="95">
        <v>0</v>
      </c>
      <c r="U128" s="95">
        <v>0</v>
      </c>
      <c r="V128" s="95">
        <v>0</v>
      </c>
      <c r="W128" s="95">
        <v>0</v>
      </c>
      <c r="X128" s="95">
        <v>0</v>
      </c>
      <c r="Y128" s="95">
        <v>0</v>
      </c>
      <c r="Z128" s="95"/>
      <c r="AA128" s="8" t="s">
        <v>325</v>
      </c>
      <c r="AB128" s="8"/>
      <c r="AC128" s="8" t="s">
        <v>326</v>
      </c>
      <c r="AD128" s="8"/>
      <c r="AE128" s="11"/>
      <c r="AF128" s="8"/>
      <c r="AG128" t="str">
        <f>VLOOKUP(OfficeForms.Table[[#This Row],[Nama Proyek]],'Nama Proyek'!$D$2:$G$29,4,0)</f>
        <v>-6.35008011,107.02324233</v>
      </c>
      <c r="AH128" s="5"/>
      <c r="AI128" s="5"/>
      <c r="AJ128" s="5"/>
      <c r="AK128" s="5" t="s">
        <v>327</v>
      </c>
    </row>
    <row r="129" spans="1:37" ht="15" hidden="1" customHeight="1">
      <c r="A129">
        <v>663</v>
      </c>
      <c r="B129" s="110">
        <v>44707</v>
      </c>
      <c r="C129" s="28">
        <f>B129</f>
        <v>44707</v>
      </c>
      <c r="D129" s="8" t="s">
        <v>37</v>
      </c>
      <c r="E129" s="8" t="s">
        <v>64</v>
      </c>
      <c r="F129" s="5" t="str">
        <f>E129</f>
        <v>Nizar Zulkarnain</v>
      </c>
      <c r="G129" s="42" t="s">
        <v>65</v>
      </c>
      <c r="H129" s="105">
        <v>44703</v>
      </c>
      <c r="I129" s="95">
        <v>69.677000000000007</v>
      </c>
      <c r="J129" s="95">
        <v>73.412999999999997</v>
      </c>
      <c r="K129" s="95">
        <v>51.35</v>
      </c>
      <c r="L129" s="95">
        <v>73.319999999999993</v>
      </c>
      <c r="M129" s="95">
        <v>76.95</v>
      </c>
      <c r="N129" s="95">
        <v>90.55</v>
      </c>
      <c r="O129" s="95">
        <v>43.05</v>
      </c>
      <c r="P129" s="95">
        <v>54.56</v>
      </c>
      <c r="Q129" s="95">
        <v>52.71</v>
      </c>
      <c r="R129" s="95">
        <v>44.73</v>
      </c>
      <c r="S129" s="95">
        <v>81.59</v>
      </c>
      <c r="T129" s="95">
        <v>79.88</v>
      </c>
      <c r="U129" s="95">
        <v>25.52</v>
      </c>
      <c r="V129" s="95">
        <v>9.56</v>
      </c>
      <c r="W129" s="95">
        <v>0</v>
      </c>
      <c r="X129" s="95">
        <v>98.36</v>
      </c>
      <c r="Y129" s="95">
        <v>4.0999999999999996</v>
      </c>
      <c r="Z129" s="95"/>
      <c r="AA129" s="8"/>
      <c r="AB129" s="8"/>
      <c r="AC129" s="8"/>
      <c r="AD129" s="8"/>
      <c r="AE129" s="11"/>
      <c r="AF129" s="8" t="s">
        <v>328</v>
      </c>
      <c r="AG129" t="str">
        <f>VLOOKUP(OfficeForms.Table[[#This Row],[Nama Proyek]],'Nama Proyek'!$D$2:$G$29,4,0)</f>
        <v>-6.35008011,107.02324233</v>
      </c>
      <c r="AH129" s="5"/>
      <c r="AI129" s="5"/>
      <c r="AJ129" s="5"/>
      <c r="AK129" s="5" t="s">
        <v>329</v>
      </c>
    </row>
    <row r="130" spans="1:37" ht="15" hidden="1" customHeight="1">
      <c r="A130" s="30">
        <v>102</v>
      </c>
      <c r="B130" s="111">
        <v>44707</v>
      </c>
      <c r="C130" s="29">
        <f>B130</f>
        <v>44707</v>
      </c>
      <c r="D130" s="9" t="s">
        <v>37</v>
      </c>
      <c r="E130" s="9" t="s">
        <v>64</v>
      </c>
      <c r="F130" s="5" t="str">
        <f>E130</f>
        <v>Nizar Zulkarnain</v>
      </c>
      <c r="G130" s="9" t="s">
        <v>65</v>
      </c>
      <c r="H130" s="104"/>
      <c r="I130" s="94">
        <v>0</v>
      </c>
      <c r="J130" s="94">
        <v>0</v>
      </c>
      <c r="K130" s="94">
        <v>0</v>
      </c>
      <c r="L130" s="94">
        <v>0</v>
      </c>
      <c r="M130" s="94">
        <v>0</v>
      </c>
      <c r="N130" s="94">
        <v>0</v>
      </c>
      <c r="O130" s="94">
        <v>0</v>
      </c>
      <c r="P130" s="94">
        <v>0</v>
      </c>
      <c r="Q130" s="94">
        <v>0</v>
      </c>
      <c r="R130" s="94">
        <v>0</v>
      </c>
      <c r="S130" s="94">
        <v>0</v>
      </c>
      <c r="T130" s="94">
        <v>0</v>
      </c>
      <c r="U130" s="94">
        <v>0</v>
      </c>
      <c r="V130" s="94">
        <v>0</v>
      </c>
      <c r="W130" s="94">
        <v>0</v>
      </c>
      <c r="X130" s="94">
        <v>0</v>
      </c>
      <c r="Y130" s="94">
        <v>0</v>
      </c>
      <c r="Z130" s="94"/>
      <c r="AA130" s="9"/>
      <c r="AB130" s="9"/>
      <c r="AC130" s="9"/>
      <c r="AD130" s="9"/>
      <c r="AE130" s="12" t="s">
        <v>330</v>
      </c>
      <c r="AF130" s="19"/>
      <c r="AG130" t="str">
        <f>VLOOKUP(OfficeForms.Table[[#This Row],[Nama Proyek]],'Nama Proyek'!$D$2:$G$29,4,0)</f>
        <v>-6.35008011,107.02324233</v>
      </c>
      <c r="AH130" s="5"/>
      <c r="AI130" s="5"/>
      <c r="AJ130" s="5"/>
      <c r="AK130" s="5" t="s">
        <v>331</v>
      </c>
    </row>
    <row r="131" spans="1:37" ht="15" hidden="1" customHeight="1">
      <c r="A131" s="31">
        <v>499</v>
      </c>
      <c r="B131" s="110">
        <v>44708</v>
      </c>
      <c r="C131" s="28">
        <f>B131</f>
        <v>44708</v>
      </c>
      <c r="D131" s="8" t="s">
        <v>37</v>
      </c>
      <c r="E131" s="8" t="s">
        <v>136</v>
      </c>
      <c r="F131" s="5" t="str">
        <f>E131</f>
        <v>Utomo Aryowibowo</v>
      </c>
      <c r="G131" s="8" t="s">
        <v>52</v>
      </c>
      <c r="H131" s="105"/>
      <c r="I131" s="95">
        <v>0</v>
      </c>
      <c r="J131" s="95">
        <v>0</v>
      </c>
      <c r="K131" s="95">
        <v>0</v>
      </c>
      <c r="L131" s="95">
        <v>0</v>
      </c>
      <c r="M131" s="95">
        <v>0</v>
      </c>
      <c r="N131" s="95">
        <v>0</v>
      </c>
      <c r="O131" s="95">
        <v>0</v>
      </c>
      <c r="P131" s="95">
        <v>0</v>
      </c>
      <c r="Q131" s="95">
        <v>0</v>
      </c>
      <c r="R131" s="95">
        <v>0</v>
      </c>
      <c r="S131" s="95">
        <v>0</v>
      </c>
      <c r="T131" s="95">
        <v>0</v>
      </c>
      <c r="U131" s="95">
        <v>0</v>
      </c>
      <c r="V131" s="95">
        <v>0</v>
      </c>
      <c r="W131" s="95">
        <v>0</v>
      </c>
      <c r="X131" s="95">
        <v>0</v>
      </c>
      <c r="Y131" s="95">
        <v>0</v>
      </c>
      <c r="Z131" s="95"/>
      <c r="AA131" s="8" t="s">
        <v>332</v>
      </c>
      <c r="AB131" s="63" t="s">
        <v>332</v>
      </c>
      <c r="AC131" s="8" t="s">
        <v>333</v>
      </c>
      <c r="AD131" s="8" t="s">
        <v>333</v>
      </c>
      <c r="AE131" s="11"/>
      <c r="AF131" s="9" t="s">
        <v>334</v>
      </c>
      <c r="AG131" t="str">
        <f>VLOOKUP(OfficeForms.Table[[#This Row],[Nama Proyek]],'Nama Proyek'!$D$2:$G$29,4,0)</f>
        <v>-6.13491053,106.93675986</v>
      </c>
      <c r="AH131" s="5"/>
      <c r="AI131" s="5"/>
      <c r="AJ131" s="5"/>
      <c r="AK131" s="5" t="s">
        <v>335</v>
      </c>
    </row>
    <row r="132" spans="1:37" ht="15" hidden="1" customHeight="1">
      <c r="A132" s="30">
        <v>854</v>
      </c>
      <c r="B132" s="111">
        <v>44708</v>
      </c>
      <c r="C132" s="29">
        <f>B132</f>
        <v>44708</v>
      </c>
      <c r="D132" s="9" t="s">
        <v>37</v>
      </c>
      <c r="E132" s="9" t="s">
        <v>54</v>
      </c>
      <c r="F132" s="5" t="str">
        <f>E132</f>
        <v>Haryo Widiandoko</v>
      </c>
      <c r="G132" s="9" t="s">
        <v>55</v>
      </c>
      <c r="H132" s="105"/>
      <c r="I132" s="94">
        <v>0</v>
      </c>
      <c r="J132" s="94">
        <v>0</v>
      </c>
      <c r="K132" s="94">
        <v>0</v>
      </c>
      <c r="L132" s="94">
        <v>0</v>
      </c>
      <c r="M132" s="94">
        <v>0</v>
      </c>
      <c r="N132" s="94">
        <v>0</v>
      </c>
      <c r="O132" s="94">
        <v>0</v>
      </c>
      <c r="P132" s="94">
        <v>0</v>
      </c>
      <c r="Q132" s="94">
        <v>0</v>
      </c>
      <c r="R132" s="94">
        <v>0</v>
      </c>
      <c r="S132" s="94">
        <v>0</v>
      </c>
      <c r="T132" s="94">
        <v>0</v>
      </c>
      <c r="U132" s="94">
        <v>0</v>
      </c>
      <c r="V132" s="94">
        <v>0</v>
      </c>
      <c r="W132" s="94">
        <v>0</v>
      </c>
      <c r="X132" s="94">
        <v>0</v>
      </c>
      <c r="Y132" s="94">
        <v>0</v>
      </c>
      <c r="Z132" s="94"/>
      <c r="AA132" s="9" t="s">
        <v>336</v>
      </c>
      <c r="AB132" s="9" t="s">
        <v>337</v>
      </c>
      <c r="AC132" s="9" t="s">
        <v>338</v>
      </c>
      <c r="AD132" s="9" t="s">
        <v>339</v>
      </c>
      <c r="AE132" s="12"/>
      <c r="AF132" s="43" t="s">
        <v>340</v>
      </c>
      <c r="AG132" t="str">
        <f>VLOOKUP(OfficeForms.Table[[#This Row],[Nama Proyek]],'Nama Proyek'!$D$2:$G$29,4,0)</f>
        <v>-6.42873464,107.19897003</v>
      </c>
      <c r="AH132" s="5"/>
      <c r="AI132" s="5"/>
      <c r="AJ132" s="5"/>
      <c r="AK132" s="5" t="s">
        <v>341</v>
      </c>
    </row>
    <row r="133" spans="1:37" ht="15" hidden="1" customHeight="1">
      <c r="A133" s="50">
        <v>133</v>
      </c>
      <c r="B133" s="110">
        <v>44709</v>
      </c>
      <c r="C133" s="28">
        <f>B133</f>
        <v>44709</v>
      </c>
      <c r="D133" s="19" t="s">
        <v>37</v>
      </c>
      <c r="E133" s="19" t="s">
        <v>54</v>
      </c>
      <c r="F133" s="5" t="str">
        <f>E133</f>
        <v>Haryo Widiandoko</v>
      </c>
      <c r="G133" s="19" t="s">
        <v>55</v>
      </c>
      <c r="H133" s="106">
        <v>44709</v>
      </c>
      <c r="I133" s="96">
        <v>70.899000000000001</v>
      </c>
      <c r="J133" s="96">
        <v>72.582999999999998</v>
      </c>
      <c r="K133" s="96">
        <v>0.14099999999999999</v>
      </c>
      <c r="L133" s="96">
        <v>0.161</v>
      </c>
      <c r="M133" s="96">
        <v>19.759</v>
      </c>
      <c r="N133" s="96">
        <v>2.1789999999999998</v>
      </c>
      <c r="O133" s="96">
        <v>2.2829999999999999</v>
      </c>
      <c r="P133" s="96">
        <v>6.6000000000000003E-2</v>
      </c>
      <c r="Q133" s="96">
        <v>0.58499999999999996</v>
      </c>
      <c r="R133" s="96">
        <v>8.6780000000000008</v>
      </c>
      <c r="S133" s="96">
        <v>34.857999999999997</v>
      </c>
      <c r="T133" s="96">
        <v>0</v>
      </c>
      <c r="U133" s="96">
        <v>0.96399999999999997</v>
      </c>
      <c r="V133" s="96">
        <v>3.9E-2</v>
      </c>
      <c r="W133" s="96">
        <v>0</v>
      </c>
      <c r="X133" s="96">
        <v>0.92800000000000005</v>
      </c>
      <c r="Y133" s="96">
        <v>0</v>
      </c>
      <c r="Z133" s="96"/>
      <c r="AA133" s="19"/>
      <c r="AB133" s="19"/>
      <c r="AC133" s="19"/>
      <c r="AD133" s="19"/>
      <c r="AE133" s="13"/>
      <c r="AF133" s="9" t="s">
        <v>293</v>
      </c>
      <c r="AG133" t="str">
        <f>VLOOKUP(OfficeForms.Table[[#This Row],[Nama Proyek]],'Nama Proyek'!$D$2:$G$29,4,0)</f>
        <v>-6.42873464,107.19897003</v>
      </c>
      <c r="AH133" s="5"/>
      <c r="AI133" s="5"/>
      <c r="AJ133" s="5"/>
      <c r="AK133" s="5" t="s">
        <v>342</v>
      </c>
    </row>
    <row r="134" spans="1:37" ht="15" hidden="1" customHeight="1">
      <c r="A134" s="50">
        <v>411</v>
      </c>
      <c r="B134" s="110">
        <v>44709</v>
      </c>
      <c r="C134" s="28">
        <f>B134</f>
        <v>44709</v>
      </c>
      <c r="D134" s="8" t="s">
        <v>37</v>
      </c>
      <c r="E134" s="8" t="s">
        <v>54</v>
      </c>
      <c r="F134" s="5" t="str">
        <f>E134</f>
        <v>Haryo Widiandoko</v>
      </c>
      <c r="G134" s="19" t="s">
        <v>55</v>
      </c>
      <c r="H134" s="105"/>
      <c r="I134" s="95">
        <v>0</v>
      </c>
      <c r="J134" s="95">
        <v>0</v>
      </c>
      <c r="K134" s="95">
        <v>0</v>
      </c>
      <c r="L134" s="95">
        <v>0</v>
      </c>
      <c r="M134" s="95">
        <v>0</v>
      </c>
      <c r="N134" s="95">
        <v>0</v>
      </c>
      <c r="O134" s="95">
        <v>0</v>
      </c>
      <c r="P134" s="95">
        <v>0</v>
      </c>
      <c r="Q134" s="95">
        <v>0</v>
      </c>
      <c r="R134" s="95">
        <v>0</v>
      </c>
      <c r="S134" s="95">
        <v>0</v>
      </c>
      <c r="T134" s="95">
        <v>0</v>
      </c>
      <c r="U134" s="95">
        <v>0</v>
      </c>
      <c r="V134" s="95">
        <v>0</v>
      </c>
      <c r="W134" s="95">
        <v>0</v>
      </c>
      <c r="X134" s="95">
        <v>0</v>
      </c>
      <c r="Y134" s="95">
        <v>0</v>
      </c>
      <c r="Z134" s="95"/>
      <c r="AA134" s="8"/>
      <c r="AB134" s="8"/>
      <c r="AC134" s="8"/>
      <c r="AD134" s="8"/>
      <c r="AE134" s="11">
        <v>44597</v>
      </c>
      <c r="AF134" s="8"/>
      <c r="AG134" t="str">
        <f>VLOOKUP(OfficeForms.Table[[#This Row],[Nama Proyek]],'Nama Proyek'!$D$2:$G$29,4,0)</f>
        <v>-6.42873464,107.19897003</v>
      </c>
      <c r="AH134" s="5"/>
      <c r="AI134" s="5"/>
      <c r="AJ134" s="5"/>
      <c r="AK134" s="5" t="s">
        <v>343</v>
      </c>
    </row>
    <row r="135" spans="1:37" ht="15" hidden="1" customHeight="1">
      <c r="A135" s="30">
        <v>414</v>
      </c>
      <c r="B135" s="111">
        <v>44709</v>
      </c>
      <c r="C135" s="29">
        <f>B135</f>
        <v>44709</v>
      </c>
      <c r="D135" s="9" t="s">
        <v>37</v>
      </c>
      <c r="E135" s="9" t="s">
        <v>54</v>
      </c>
      <c r="F135" s="5" t="str">
        <f>E135</f>
        <v>Haryo Widiandoko</v>
      </c>
      <c r="G135" s="9" t="s">
        <v>55</v>
      </c>
      <c r="H135" s="105"/>
      <c r="I135" s="94">
        <v>0</v>
      </c>
      <c r="J135" s="94">
        <v>0</v>
      </c>
      <c r="K135" s="94">
        <v>0</v>
      </c>
      <c r="L135" s="94">
        <v>0</v>
      </c>
      <c r="M135" s="94">
        <v>0</v>
      </c>
      <c r="N135" s="94">
        <v>0</v>
      </c>
      <c r="O135" s="94">
        <v>0</v>
      </c>
      <c r="P135" s="94">
        <v>0</v>
      </c>
      <c r="Q135" s="94">
        <v>0</v>
      </c>
      <c r="R135" s="94">
        <v>0</v>
      </c>
      <c r="S135" s="94">
        <v>0</v>
      </c>
      <c r="T135" s="94">
        <v>0</v>
      </c>
      <c r="U135" s="94">
        <v>0</v>
      </c>
      <c r="V135" s="94">
        <v>0</v>
      </c>
      <c r="W135" s="94">
        <v>0</v>
      </c>
      <c r="X135" s="94">
        <v>0</v>
      </c>
      <c r="Y135" s="94">
        <v>0</v>
      </c>
      <c r="Z135" s="94"/>
      <c r="AA135" s="9"/>
      <c r="AB135" s="9"/>
      <c r="AC135" s="17"/>
      <c r="AD135" s="17"/>
      <c r="AE135" s="12">
        <v>44597</v>
      </c>
      <c r="AF135" s="43" t="s">
        <v>246</v>
      </c>
      <c r="AG135" t="str">
        <f>VLOOKUP(OfficeForms.Table[[#This Row],[Nama Proyek]],'Nama Proyek'!$D$2:$G$29,4,0)</f>
        <v>-6.42873464,107.19897003</v>
      </c>
      <c r="AH135" s="5"/>
      <c r="AI135" s="5"/>
      <c r="AJ135" s="5"/>
      <c r="AK135" s="5" t="s">
        <v>344</v>
      </c>
    </row>
    <row r="136" spans="1:37" ht="15" hidden="1" customHeight="1">
      <c r="A136" s="31">
        <v>458</v>
      </c>
      <c r="B136" s="111">
        <v>44709</v>
      </c>
      <c r="C136" s="29">
        <f>B136</f>
        <v>44709</v>
      </c>
      <c r="D136" s="8" t="s">
        <v>37</v>
      </c>
      <c r="E136" s="8" t="s">
        <v>54</v>
      </c>
      <c r="F136" s="5" t="str">
        <f>E136</f>
        <v>Haryo Widiandoko</v>
      </c>
      <c r="G136" s="17" t="s">
        <v>55</v>
      </c>
      <c r="H136" s="105"/>
      <c r="I136" s="95">
        <v>0</v>
      </c>
      <c r="J136" s="95">
        <v>0</v>
      </c>
      <c r="K136" s="95">
        <v>0</v>
      </c>
      <c r="L136" s="95">
        <v>0</v>
      </c>
      <c r="M136" s="95">
        <v>0</v>
      </c>
      <c r="N136" s="95">
        <v>0</v>
      </c>
      <c r="O136" s="95">
        <v>0</v>
      </c>
      <c r="P136" s="95">
        <v>0</v>
      </c>
      <c r="Q136" s="95">
        <v>0</v>
      </c>
      <c r="R136" s="95">
        <v>0</v>
      </c>
      <c r="S136" s="95">
        <v>0</v>
      </c>
      <c r="T136" s="95">
        <v>0</v>
      </c>
      <c r="U136" s="95">
        <v>0</v>
      </c>
      <c r="V136" s="95">
        <v>0</v>
      </c>
      <c r="W136" s="95">
        <v>0</v>
      </c>
      <c r="X136" s="95">
        <v>0</v>
      </c>
      <c r="Y136" s="95">
        <v>0</v>
      </c>
      <c r="Z136" s="95"/>
      <c r="AA136" s="8"/>
      <c r="AB136" s="8"/>
      <c r="AC136" s="8"/>
      <c r="AD136" s="8"/>
      <c r="AE136" s="11">
        <v>44597</v>
      </c>
      <c r="AF136" s="19"/>
      <c r="AG136" t="str">
        <f>VLOOKUP(OfficeForms.Table[[#This Row],[Nama Proyek]],'Nama Proyek'!$D$2:$G$29,4,0)</f>
        <v>-6.42873464,107.19897003</v>
      </c>
      <c r="AH136" s="5"/>
      <c r="AI136" s="5"/>
      <c r="AJ136" s="5"/>
      <c r="AK136" s="5" t="s">
        <v>345</v>
      </c>
    </row>
    <row r="137" spans="1:37" ht="15" hidden="1" customHeight="1">
      <c r="A137" s="31">
        <v>81</v>
      </c>
      <c r="B137" s="110">
        <v>44712</v>
      </c>
      <c r="C137" s="28">
        <f>B137</f>
        <v>44712</v>
      </c>
      <c r="D137" s="19" t="s">
        <v>37</v>
      </c>
      <c r="E137" s="19" t="s">
        <v>346</v>
      </c>
      <c r="F137" s="5" t="str">
        <f>E137</f>
        <v>Arif Ridho</v>
      </c>
      <c r="G137" s="23" t="s">
        <v>159</v>
      </c>
      <c r="H137" s="106"/>
      <c r="I137" s="96">
        <v>0</v>
      </c>
      <c r="J137" s="96">
        <v>0</v>
      </c>
      <c r="K137" s="96">
        <v>0</v>
      </c>
      <c r="L137" s="96">
        <v>0</v>
      </c>
      <c r="M137" s="96">
        <v>0</v>
      </c>
      <c r="N137" s="96">
        <v>0</v>
      </c>
      <c r="O137" s="96">
        <v>0</v>
      </c>
      <c r="P137" s="96">
        <v>0</v>
      </c>
      <c r="Q137" s="96">
        <v>0</v>
      </c>
      <c r="R137" s="96">
        <v>0</v>
      </c>
      <c r="S137" s="96">
        <v>0</v>
      </c>
      <c r="T137" s="96">
        <v>0</v>
      </c>
      <c r="U137" s="96">
        <v>0</v>
      </c>
      <c r="V137" s="96">
        <v>0</v>
      </c>
      <c r="W137" s="96">
        <v>0</v>
      </c>
      <c r="X137" s="96">
        <v>0</v>
      </c>
      <c r="Y137" s="96">
        <v>0</v>
      </c>
      <c r="Z137" s="96"/>
      <c r="AA137" s="19"/>
      <c r="AB137" s="19"/>
      <c r="AC137" s="19"/>
      <c r="AD137" s="19"/>
      <c r="AE137" s="13" t="s">
        <v>347</v>
      </c>
      <c r="AF137" s="8"/>
      <c r="AG137" t="str">
        <f>VLOOKUP(OfficeForms.Table[[#This Row],[Nama Proyek]],'Nama Proyek'!$D$2:$G$29,4,0)</f>
        <v>-6.4209386,107.1876008</v>
      </c>
      <c r="AH137" s="5"/>
      <c r="AI137" s="5"/>
      <c r="AJ137" s="5"/>
      <c r="AK137" s="5" t="s">
        <v>348</v>
      </c>
    </row>
    <row r="138" spans="1:37" ht="15" hidden="1" customHeight="1">
      <c r="A138" s="50">
        <v>169</v>
      </c>
      <c r="B138" s="110">
        <v>44712</v>
      </c>
      <c r="C138" s="28">
        <f>B138</f>
        <v>44712</v>
      </c>
      <c r="D138" s="19" t="s">
        <v>37</v>
      </c>
      <c r="E138" s="19" t="s">
        <v>346</v>
      </c>
      <c r="F138" s="5" t="str">
        <f>E138</f>
        <v>Arif Ridho</v>
      </c>
      <c r="G138" s="23" t="s">
        <v>159</v>
      </c>
      <c r="H138" s="106"/>
      <c r="I138" s="96">
        <v>0</v>
      </c>
      <c r="J138" s="96">
        <v>0</v>
      </c>
      <c r="K138" s="96">
        <v>6.0000000000000001E-3</v>
      </c>
      <c r="L138" s="96">
        <v>4.6699999999999998E-2</v>
      </c>
      <c r="M138" s="96">
        <v>0.44679999999999997</v>
      </c>
      <c r="N138" s="96">
        <v>4.8079000000000001</v>
      </c>
      <c r="O138" s="96">
        <v>0.13139999999999999</v>
      </c>
      <c r="P138" s="96">
        <v>3.8E-3</v>
      </c>
      <c r="Q138" s="96">
        <v>2.6800000000000001E-2</v>
      </c>
      <c r="R138" s="96">
        <v>0.63</v>
      </c>
      <c r="S138" s="96">
        <v>52.874200000000002</v>
      </c>
      <c r="T138" s="96">
        <v>24.931000000000001</v>
      </c>
      <c r="U138" s="96">
        <v>1.24E-2</v>
      </c>
      <c r="V138" s="96">
        <v>0.1171</v>
      </c>
      <c r="W138" s="96">
        <v>0.153</v>
      </c>
      <c r="X138" s="96">
        <v>0.66210000000000002</v>
      </c>
      <c r="Y138" s="96">
        <v>0</v>
      </c>
      <c r="Z138" s="96"/>
      <c r="AA138" s="19"/>
      <c r="AB138" s="19"/>
      <c r="AC138" s="19"/>
      <c r="AD138" s="19"/>
      <c r="AE138" s="13"/>
      <c r="AF138" s="15"/>
      <c r="AG138" t="str">
        <f>VLOOKUP(OfficeForms.Table[[#This Row],[Nama Proyek]],'Nama Proyek'!$D$2:$G$29,4,0)</f>
        <v>-6.4209386,107.1876008</v>
      </c>
      <c r="AH138" s="5"/>
      <c r="AI138" s="5"/>
      <c r="AJ138" s="5"/>
      <c r="AK138" s="5" t="s">
        <v>349</v>
      </c>
    </row>
    <row r="139" spans="1:37" ht="15" hidden="1" customHeight="1">
      <c r="A139">
        <v>170</v>
      </c>
      <c r="B139" s="111">
        <v>44712</v>
      </c>
      <c r="C139" s="29">
        <f>B139</f>
        <v>44712</v>
      </c>
      <c r="D139" s="8" t="s">
        <v>37</v>
      </c>
      <c r="E139" s="8" t="s">
        <v>346</v>
      </c>
      <c r="F139" s="5" t="str">
        <f>E139</f>
        <v>Arif Ridho</v>
      </c>
      <c r="G139" s="32" t="s">
        <v>159</v>
      </c>
      <c r="H139" s="105"/>
      <c r="I139" s="95">
        <v>0</v>
      </c>
      <c r="J139" s="95">
        <v>0</v>
      </c>
      <c r="K139" s="95">
        <v>0</v>
      </c>
      <c r="L139" s="95">
        <v>0</v>
      </c>
      <c r="M139" s="95">
        <v>0</v>
      </c>
      <c r="N139" s="95">
        <v>0</v>
      </c>
      <c r="O139" s="95">
        <v>0</v>
      </c>
      <c r="P139" s="95">
        <v>0</v>
      </c>
      <c r="Q139" s="95">
        <v>0</v>
      </c>
      <c r="R139" s="95">
        <v>0</v>
      </c>
      <c r="S139" s="95">
        <v>0</v>
      </c>
      <c r="T139" s="95">
        <v>0</v>
      </c>
      <c r="U139" s="95">
        <v>0</v>
      </c>
      <c r="V139" s="95">
        <v>0</v>
      </c>
      <c r="W139" s="95">
        <v>0</v>
      </c>
      <c r="X139" s="95">
        <v>0</v>
      </c>
      <c r="Y139" s="95">
        <v>0</v>
      </c>
      <c r="Z139" s="95"/>
      <c r="AA139" s="8" t="s">
        <v>350</v>
      </c>
      <c r="AB139" s="8" t="s">
        <v>350</v>
      </c>
      <c r="AC139" s="8" t="s">
        <v>350</v>
      </c>
      <c r="AD139" s="8" t="s">
        <v>350</v>
      </c>
      <c r="AE139" s="16"/>
      <c r="AF139" s="19"/>
      <c r="AG139" t="str">
        <f>VLOOKUP(OfficeForms.Table[[#This Row],[Nama Proyek]],'Nama Proyek'!$D$2:$G$29,4,0)</f>
        <v>-6.4209386,107.1876008</v>
      </c>
      <c r="AH139" s="5"/>
      <c r="AI139" s="5"/>
      <c r="AJ139" s="5"/>
      <c r="AK139" s="5" t="s">
        <v>351</v>
      </c>
    </row>
    <row r="140" spans="1:37" ht="15" hidden="1" customHeight="1">
      <c r="A140" s="30">
        <v>171</v>
      </c>
      <c r="B140" s="110">
        <v>44712</v>
      </c>
      <c r="C140" s="28">
        <f>B140</f>
        <v>44712</v>
      </c>
      <c r="D140" s="19" t="s">
        <v>37</v>
      </c>
      <c r="E140" s="19" t="s">
        <v>346</v>
      </c>
      <c r="F140" s="5" t="str">
        <f>E140</f>
        <v>Arif Ridho</v>
      </c>
      <c r="G140" s="23" t="s">
        <v>159</v>
      </c>
      <c r="H140" s="105"/>
      <c r="I140" s="96">
        <v>0</v>
      </c>
      <c r="J140" s="96">
        <v>0</v>
      </c>
      <c r="K140" s="96">
        <v>0</v>
      </c>
      <c r="L140" s="96">
        <v>0</v>
      </c>
      <c r="M140" s="96">
        <v>0</v>
      </c>
      <c r="N140" s="96">
        <v>0</v>
      </c>
      <c r="O140" s="96">
        <v>0</v>
      </c>
      <c r="P140" s="96">
        <v>0</v>
      </c>
      <c r="Q140" s="96">
        <v>0</v>
      </c>
      <c r="R140" s="96">
        <v>0</v>
      </c>
      <c r="S140" s="96">
        <v>0</v>
      </c>
      <c r="T140" s="96">
        <v>0</v>
      </c>
      <c r="U140" s="96">
        <v>0</v>
      </c>
      <c r="V140" s="96">
        <v>0</v>
      </c>
      <c r="W140" s="96">
        <v>0</v>
      </c>
      <c r="X140" s="96">
        <v>0</v>
      </c>
      <c r="Y140" s="96">
        <v>0</v>
      </c>
      <c r="Z140" s="96"/>
      <c r="AA140" s="19" t="s">
        <v>352</v>
      </c>
      <c r="AB140" s="19" t="s">
        <v>352</v>
      </c>
      <c r="AC140" s="19"/>
      <c r="AD140" s="19"/>
      <c r="AE140" s="13"/>
      <c r="AF140" s="9" t="s">
        <v>353</v>
      </c>
      <c r="AG140" t="str">
        <f>VLOOKUP(OfficeForms.Table[[#This Row],[Nama Proyek]],'Nama Proyek'!$D$2:$G$29,4,0)</f>
        <v>-6.4209386,107.1876008</v>
      </c>
      <c r="AH140" s="5"/>
      <c r="AI140" s="5"/>
      <c r="AJ140" s="5"/>
      <c r="AK140" s="5" t="s">
        <v>354</v>
      </c>
    </row>
    <row r="141" spans="1:37" ht="15" customHeight="1">
      <c r="A141">
        <v>219</v>
      </c>
      <c r="B141" s="110">
        <v>44719</v>
      </c>
      <c r="C141" s="28">
        <f>B141</f>
        <v>44719</v>
      </c>
      <c r="D141" s="19" t="s">
        <v>46</v>
      </c>
      <c r="E141" s="19" t="s">
        <v>355</v>
      </c>
      <c r="F141" s="5" t="str">
        <f>E141</f>
        <v>Andi Firdaus</v>
      </c>
      <c r="G141" s="19" t="s">
        <v>86</v>
      </c>
      <c r="H141" s="106"/>
      <c r="I141" s="96">
        <v>0</v>
      </c>
      <c r="J141" s="96">
        <v>0</v>
      </c>
      <c r="K141" s="96">
        <v>0</v>
      </c>
      <c r="L141" s="96">
        <v>0</v>
      </c>
      <c r="M141" s="96">
        <v>0</v>
      </c>
      <c r="N141" s="96">
        <v>0</v>
      </c>
      <c r="O141" s="96">
        <v>0</v>
      </c>
      <c r="P141" s="96">
        <v>0</v>
      </c>
      <c r="Q141" s="96">
        <v>0</v>
      </c>
      <c r="R141" s="96">
        <v>0</v>
      </c>
      <c r="S141" s="96">
        <v>0</v>
      </c>
      <c r="T141" s="96">
        <v>0</v>
      </c>
      <c r="U141" s="96">
        <v>0</v>
      </c>
      <c r="V141" s="96">
        <v>0</v>
      </c>
      <c r="W141" s="96">
        <v>0</v>
      </c>
      <c r="X141" s="96">
        <v>0</v>
      </c>
      <c r="Y141" s="96">
        <v>0</v>
      </c>
      <c r="Z141" s="96"/>
      <c r="AA141" s="19"/>
      <c r="AB141" s="19"/>
      <c r="AC141" s="19"/>
      <c r="AD141" s="19"/>
      <c r="AE141" s="13" t="s">
        <v>356</v>
      </c>
      <c r="AF141" s="41" t="s">
        <v>357</v>
      </c>
      <c r="AG141" t="e">
        <f>VLOOKUP(OfficeForms.Table[[#This Row],[Nama Proyek]],'Nama Proyek'!$D$2:$G$29,4,0)</f>
        <v>#N/A</v>
      </c>
      <c r="AH141" s="5"/>
      <c r="AI141" s="5"/>
      <c r="AJ141" s="5"/>
      <c r="AK141" s="5" t="s">
        <v>358</v>
      </c>
    </row>
    <row r="142" spans="1:37" ht="15" customHeight="1">
      <c r="A142" s="50">
        <v>220</v>
      </c>
      <c r="B142" s="111">
        <v>44719</v>
      </c>
      <c r="C142" s="29">
        <f>B142</f>
        <v>44719</v>
      </c>
      <c r="D142" s="8" t="s">
        <v>46</v>
      </c>
      <c r="E142" s="8" t="s">
        <v>355</v>
      </c>
      <c r="F142" s="5" t="str">
        <f>E142</f>
        <v>Andi Firdaus</v>
      </c>
      <c r="G142" s="9" t="s">
        <v>86</v>
      </c>
      <c r="H142" s="104"/>
      <c r="I142" s="95">
        <v>0</v>
      </c>
      <c r="J142" s="95">
        <v>0</v>
      </c>
      <c r="K142" s="95">
        <v>0</v>
      </c>
      <c r="L142" s="95">
        <v>0</v>
      </c>
      <c r="M142" s="95">
        <v>0</v>
      </c>
      <c r="N142" s="95">
        <v>0</v>
      </c>
      <c r="O142" s="95">
        <v>0</v>
      </c>
      <c r="P142" s="95">
        <v>0</v>
      </c>
      <c r="Q142" s="95">
        <v>0</v>
      </c>
      <c r="R142" s="95">
        <v>0</v>
      </c>
      <c r="S142" s="95">
        <v>0</v>
      </c>
      <c r="T142" s="95">
        <v>0</v>
      </c>
      <c r="U142" s="95">
        <v>0</v>
      </c>
      <c r="V142" s="95">
        <v>0</v>
      </c>
      <c r="W142" s="95">
        <v>0</v>
      </c>
      <c r="X142" s="95">
        <v>0</v>
      </c>
      <c r="Y142" s="95">
        <v>0</v>
      </c>
      <c r="Z142" s="95"/>
      <c r="AA142" s="8"/>
      <c r="AB142" s="8"/>
      <c r="AC142" s="8"/>
      <c r="AD142" s="8"/>
      <c r="AE142" s="11" t="s">
        <v>356</v>
      </c>
      <c r="AF142" s="43" t="s">
        <v>359</v>
      </c>
      <c r="AG142" t="e">
        <f>VLOOKUP(OfficeForms.Table[[#This Row],[Nama Proyek]],'Nama Proyek'!$D$2:$G$29,4,0)</f>
        <v>#N/A</v>
      </c>
      <c r="AH142" s="5"/>
      <c r="AI142" s="5"/>
      <c r="AJ142" s="5"/>
      <c r="AK142" s="5" t="s">
        <v>360</v>
      </c>
    </row>
    <row r="143" spans="1:37" ht="15" customHeight="1">
      <c r="A143" s="31">
        <v>221</v>
      </c>
      <c r="B143" s="110">
        <v>44719</v>
      </c>
      <c r="C143" s="28">
        <f>B143</f>
        <v>44719</v>
      </c>
      <c r="D143" s="19" t="s">
        <v>46</v>
      </c>
      <c r="E143" s="19" t="s">
        <v>355</v>
      </c>
      <c r="F143" s="5" t="str">
        <f>E143</f>
        <v>Andi Firdaus</v>
      </c>
      <c r="G143" s="19" t="s">
        <v>86</v>
      </c>
      <c r="H143" s="106"/>
      <c r="I143" s="96">
        <v>0</v>
      </c>
      <c r="J143" s="96">
        <v>0</v>
      </c>
      <c r="K143" s="96">
        <v>0</v>
      </c>
      <c r="L143" s="96">
        <v>0</v>
      </c>
      <c r="M143" s="96">
        <v>0</v>
      </c>
      <c r="N143" s="96">
        <v>0</v>
      </c>
      <c r="O143" s="96">
        <v>0</v>
      </c>
      <c r="P143" s="96">
        <v>0</v>
      </c>
      <c r="Q143" s="96">
        <v>0</v>
      </c>
      <c r="R143" s="96">
        <v>0</v>
      </c>
      <c r="S143" s="96">
        <v>0</v>
      </c>
      <c r="T143" s="96">
        <v>0</v>
      </c>
      <c r="U143" s="96">
        <v>0</v>
      </c>
      <c r="V143" s="96">
        <v>0</v>
      </c>
      <c r="W143" s="96">
        <v>0</v>
      </c>
      <c r="X143" s="96">
        <v>0</v>
      </c>
      <c r="Y143" s="96">
        <v>0</v>
      </c>
      <c r="Z143" s="96"/>
      <c r="AA143" s="19"/>
      <c r="AB143" s="19"/>
      <c r="AC143" s="19"/>
      <c r="AD143" s="19"/>
      <c r="AE143" s="13" t="s">
        <v>356</v>
      </c>
      <c r="AF143" s="8" t="s">
        <v>361</v>
      </c>
      <c r="AG143" t="e">
        <f>VLOOKUP(OfficeForms.Table[[#This Row],[Nama Proyek]],'Nama Proyek'!$D$2:$G$29,4,0)</f>
        <v>#N/A</v>
      </c>
      <c r="AH143" s="5"/>
      <c r="AI143" s="5"/>
      <c r="AJ143" s="5"/>
      <c r="AK143" s="5" t="s">
        <v>362</v>
      </c>
    </row>
    <row r="144" spans="1:37" ht="15" hidden="1" customHeight="1">
      <c r="A144" s="31">
        <v>173</v>
      </c>
      <c r="B144" s="110">
        <v>44734</v>
      </c>
      <c r="C144" s="28">
        <f>B144</f>
        <v>44734</v>
      </c>
      <c r="D144" s="8" t="s">
        <v>37</v>
      </c>
      <c r="E144" s="8" t="s">
        <v>278</v>
      </c>
      <c r="F144" s="5" t="str">
        <f>E144</f>
        <v>Teddy Pradana</v>
      </c>
      <c r="G144" s="9" t="s">
        <v>167</v>
      </c>
      <c r="H144" s="105"/>
      <c r="I144" s="95">
        <v>0</v>
      </c>
      <c r="J144" s="95">
        <v>0</v>
      </c>
      <c r="K144" s="95">
        <v>0</v>
      </c>
      <c r="L144" s="95">
        <v>0</v>
      </c>
      <c r="M144" s="95">
        <v>0</v>
      </c>
      <c r="N144" s="95">
        <v>0</v>
      </c>
      <c r="O144" s="95">
        <v>0</v>
      </c>
      <c r="P144" s="95">
        <v>0</v>
      </c>
      <c r="Q144" s="95">
        <v>0</v>
      </c>
      <c r="R144" s="95">
        <v>0</v>
      </c>
      <c r="S144" s="95">
        <v>0</v>
      </c>
      <c r="T144" s="95">
        <v>0</v>
      </c>
      <c r="U144" s="95">
        <v>0</v>
      </c>
      <c r="V144" s="95">
        <v>0</v>
      </c>
      <c r="W144" s="95">
        <v>0</v>
      </c>
      <c r="X144" s="95">
        <v>0</v>
      </c>
      <c r="Y144" s="95">
        <v>0</v>
      </c>
      <c r="Z144" s="95"/>
      <c r="AA144" s="8"/>
      <c r="AB144" s="8"/>
      <c r="AC144" s="8" t="s">
        <v>363</v>
      </c>
      <c r="AD144" s="8" t="s">
        <v>364</v>
      </c>
      <c r="AE144" s="11"/>
      <c r="AF144" s="8"/>
      <c r="AG144" t="str">
        <f>VLOOKUP(OfficeForms.Table[[#This Row],[Nama Proyek]],'Nama Proyek'!$D$2:$G$29,4,0)</f>
        <v>2.426249030,128.29766314</v>
      </c>
      <c r="AH144" s="5"/>
      <c r="AI144" s="5"/>
      <c r="AJ144" s="5"/>
      <c r="AK144" s="5" t="s">
        <v>365</v>
      </c>
    </row>
    <row r="145" spans="1:37" ht="15" customHeight="1">
      <c r="A145" s="31">
        <v>175</v>
      </c>
      <c r="B145" s="110">
        <v>44735</v>
      </c>
      <c r="C145" s="28">
        <f>B145</f>
        <v>44735</v>
      </c>
      <c r="D145" s="19" t="s">
        <v>46</v>
      </c>
      <c r="E145" s="19" t="s">
        <v>355</v>
      </c>
      <c r="F145" s="5" t="str">
        <f>E145</f>
        <v>Andi Firdaus</v>
      </c>
      <c r="G145" s="19" t="s">
        <v>86</v>
      </c>
      <c r="H145" s="106">
        <v>44735</v>
      </c>
      <c r="I145" s="96">
        <v>14.25</v>
      </c>
      <c r="J145" s="96">
        <v>15.9</v>
      </c>
      <c r="K145" s="96">
        <v>50</v>
      </c>
      <c r="L145" s="96">
        <v>20</v>
      </c>
      <c r="M145" s="96">
        <v>90</v>
      </c>
      <c r="N145" s="96">
        <v>55</v>
      </c>
      <c r="O145" s="96">
        <v>0</v>
      </c>
      <c r="P145" s="96">
        <v>0</v>
      </c>
      <c r="Q145" s="96">
        <v>0</v>
      </c>
      <c r="R145" s="96">
        <v>0</v>
      </c>
      <c r="S145" s="96">
        <v>0</v>
      </c>
      <c r="T145" s="96">
        <v>0</v>
      </c>
      <c r="U145" s="96">
        <v>0</v>
      </c>
      <c r="V145" s="96">
        <v>0</v>
      </c>
      <c r="W145" s="96">
        <v>0</v>
      </c>
      <c r="X145" s="96">
        <v>0</v>
      </c>
      <c r="Y145" s="96">
        <v>0</v>
      </c>
      <c r="Z145" s="96"/>
      <c r="AA145" s="19"/>
      <c r="AB145" s="19"/>
      <c r="AC145" s="19"/>
      <c r="AD145" s="19"/>
      <c r="AE145" s="13"/>
      <c r="AF145" s="15" t="s">
        <v>366</v>
      </c>
      <c r="AG145" t="e">
        <f>VLOOKUP(OfficeForms.Table[[#This Row],[Nama Proyek]],'Nama Proyek'!$D$2:$G$29,4,0)</f>
        <v>#N/A</v>
      </c>
      <c r="AH145" s="5"/>
      <c r="AI145" s="5"/>
      <c r="AJ145" s="5"/>
      <c r="AK145" s="5" t="s">
        <v>367</v>
      </c>
    </row>
    <row r="146" spans="1:37" ht="15" customHeight="1">
      <c r="A146" s="50">
        <v>176</v>
      </c>
      <c r="B146" s="111">
        <v>44735</v>
      </c>
      <c r="C146" s="29">
        <f>B146</f>
        <v>44735</v>
      </c>
      <c r="D146" s="8" t="s">
        <v>46</v>
      </c>
      <c r="E146" s="8" t="s">
        <v>355</v>
      </c>
      <c r="F146" s="5" t="str">
        <f>E146</f>
        <v>Andi Firdaus</v>
      </c>
      <c r="G146" s="17" t="s">
        <v>86</v>
      </c>
      <c r="H146" s="105"/>
      <c r="I146" s="95">
        <v>0</v>
      </c>
      <c r="J146" s="95">
        <v>0</v>
      </c>
      <c r="K146" s="95">
        <v>0</v>
      </c>
      <c r="L146" s="95">
        <v>0</v>
      </c>
      <c r="M146" s="95">
        <v>0</v>
      </c>
      <c r="N146" s="95">
        <v>0</v>
      </c>
      <c r="O146" s="95">
        <v>0</v>
      </c>
      <c r="P146" s="95">
        <v>0</v>
      </c>
      <c r="Q146" s="95">
        <v>0</v>
      </c>
      <c r="R146" s="95">
        <v>0</v>
      </c>
      <c r="S146" s="95">
        <v>0</v>
      </c>
      <c r="T146" s="95">
        <v>0</v>
      </c>
      <c r="U146" s="95">
        <v>0</v>
      </c>
      <c r="V146" s="95">
        <v>0</v>
      </c>
      <c r="W146" s="95">
        <v>0</v>
      </c>
      <c r="X146" s="95">
        <v>0</v>
      </c>
      <c r="Y146" s="95">
        <v>0</v>
      </c>
      <c r="Z146" s="95"/>
      <c r="AA146" s="8"/>
      <c r="AB146" s="8"/>
      <c r="AC146" s="8"/>
      <c r="AD146" s="15"/>
      <c r="AE146" s="16" t="s">
        <v>368</v>
      </c>
      <c r="AF146" s="19" t="s">
        <v>293</v>
      </c>
      <c r="AG146" t="e">
        <f>VLOOKUP(OfficeForms.Table[[#This Row],[Nama Proyek]],'Nama Proyek'!$D$2:$G$29,4,0)</f>
        <v>#N/A</v>
      </c>
      <c r="AH146" s="5"/>
      <c r="AI146" s="5"/>
      <c r="AJ146" s="5"/>
      <c r="AK146" s="5" t="s">
        <v>369</v>
      </c>
    </row>
    <row r="147" spans="1:37" ht="15" hidden="1" customHeight="1">
      <c r="A147" s="50">
        <v>475</v>
      </c>
      <c r="B147" s="110">
        <v>44735</v>
      </c>
      <c r="C147" s="28">
        <f>B147</f>
        <v>44735</v>
      </c>
      <c r="D147" s="8" t="s">
        <v>37</v>
      </c>
      <c r="E147" s="8" t="s">
        <v>54</v>
      </c>
      <c r="F147" s="5" t="str">
        <f>E147</f>
        <v>Haryo Widiandoko</v>
      </c>
      <c r="G147" s="42" t="s">
        <v>55</v>
      </c>
      <c r="H147" s="105"/>
      <c r="I147" s="95">
        <v>0</v>
      </c>
      <c r="J147" s="95">
        <v>0</v>
      </c>
      <c r="K147" s="95">
        <v>0</v>
      </c>
      <c r="L147" s="95">
        <v>0</v>
      </c>
      <c r="M147" s="95">
        <v>0</v>
      </c>
      <c r="N147" s="95">
        <v>0</v>
      </c>
      <c r="O147" s="95">
        <v>0</v>
      </c>
      <c r="P147" s="95">
        <v>0</v>
      </c>
      <c r="Q147" s="95">
        <v>0</v>
      </c>
      <c r="R147" s="95">
        <v>0</v>
      </c>
      <c r="S147" s="95">
        <v>0</v>
      </c>
      <c r="T147" s="95">
        <v>0</v>
      </c>
      <c r="U147" s="95">
        <v>0</v>
      </c>
      <c r="V147" s="95">
        <v>0</v>
      </c>
      <c r="W147" s="95">
        <v>0</v>
      </c>
      <c r="X147" s="95">
        <v>0</v>
      </c>
      <c r="Y147" s="95">
        <v>0</v>
      </c>
      <c r="Z147" s="95"/>
      <c r="AA147" s="8" t="s">
        <v>237</v>
      </c>
      <c r="AB147" s="8" t="s">
        <v>237</v>
      </c>
      <c r="AC147" s="8" t="s">
        <v>370</v>
      </c>
      <c r="AD147" s="8" t="s">
        <v>370</v>
      </c>
      <c r="AE147" s="11"/>
      <c r="AF147" s="8"/>
      <c r="AG147" t="str">
        <f>VLOOKUP(OfficeForms.Table[[#This Row],[Nama Proyek]],'Nama Proyek'!$D$2:$G$29,4,0)</f>
        <v>-6.42873464,107.19897003</v>
      </c>
      <c r="AH147" s="5"/>
      <c r="AI147" s="5"/>
      <c r="AJ147" s="5"/>
      <c r="AK147" s="5" t="s">
        <v>371</v>
      </c>
    </row>
    <row r="148" spans="1:37" ht="15" hidden="1" customHeight="1">
      <c r="A148" s="31">
        <v>193</v>
      </c>
      <c r="B148" s="110">
        <v>44736</v>
      </c>
      <c r="C148" s="28">
        <f>B148</f>
        <v>44736</v>
      </c>
      <c r="D148" s="19" t="s">
        <v>37</v>
      </c>
      <c r="E148" s="19" t="s">
        <v>57</v>
      </c>
      <c r="F148" s="5" t="str">
        <f>E148</f>
        <v>Alfian Budi Prasetya</v>
      </c>
      <c r="G148" s="42" t="s">
        <v>58</v>
      </c>
      <c r="H148" s="106">
        <v>44734</v>
      </c>
      <c r="I148" s="96">
        <v>20.606999999999999</v>
      </c>
      <c r="J148" s="96">
        <v>66.585999999999999</v>
      </c>
      <c r="K148" s="96">
        <v>0</v>
      </c>
      <c r="L148" s="96">
        <v>0.122</v>
      </c>
      <c r="M148" s="96">
        <v>2.8000000000000001E-2</v>
      </c>
      <c r="N148" s="96">
        <v>12.218</v>
      </c>
      <c r="O148" s="96">
        <v>5.2839999999999998</v>
      </c>
      <c r="P148" s="96">
        <v>0</v>
      </c>
      <c r="Q148" s="96">
        <v>0.73599999999999999</v>
      </c>
      <c r="R148" s="96">
        <v>0.34799999999999998</v>
      </c>
      <c r="S148" s="96">
        <v>0</v>
      </c>
      <c r="T148" s="96">
        <v>0</v>
      </c>
      <c r="U148" s="96">
        <v>0</v>
      </c>
      <c r="V148" s="96">
        <v>0</v>
      </c>
      <c r="W148" s="96">
        <v>0</v>
      </c>
      <c r="X148" s="96">
        <v>0</v>
      </c>
      <c r="Y148" s="96">
        <v>0</v>
      </c>
      <c r="Z148" s="96"/>
      <c r="AA148" s="19"/>
      <c r="AB148" s="19"/>
      <c r="AC148" s="19"/>
      <c r="AD148" s="19"/>
      <c r="AE148" s="13"/>
      <c r="AF148" s="8"/>
      <c r="AG148" t="str">
        <f>VLOOKUP(OfficeForms.Table[[#This Row],[Nama Proyek]],'Nama Proyek'!$D$2:$G$29,4,0)</f>
        <v>-6.12967558,107.07321308</v>
      </c>
      <c r="AH148" s="5"/>
      <c r="AI148" s="5"/>
      <c r="AJ148" s="5"/>
      <c r="AK148" s="5" t="s">
        <v>372</v>
      </c>
    </row>
    <row r="149" spans="1:37" ht="15" hidden="1" customHeight="1">
      <c r="A149" s="30">
        <v>105</v>
      </c>
      <c r="B149" s="110">
        <v>44736</v>
      </c>
      <c r="C149" s="28">
        <f>B149</f>
        <v>44736</v>
      </c>
      <c r="D149" s="19" t="s">
        <v>37</v>
      </c>
      <c r="E149" s="19" t="s">
        <v>373</v>
      </c>
      <c r="F149" s="5" t="str">
        <f>E149</f>
        <v>Budi Sugoro</v>
      </c>
      <c r="G149" s="37" t="s">
        <v>76</v>
      </c>
      <c r="H149" s="106">
        <v>44742</v>
      </c>
      <c r="I149" s="96">
        <v>27.54</v>
      </c>
      <c r="J149" s="96">
        <v>30.86</v>
      </c>
      <c r="K149" s="96">
        <v>0</v>
      </c>
      <c r="L149" s="96">
        <v>26.036000000000001</v>
      </c>
      <c r="M149" s="96">
        <v>0</v>
      </c>
      <c r="N149" s="96">
        <v>0</v>
      </c>
      <c r="O149" s="96">
        <v>0</v>
      </c>
      <c r="P149" s="96">
        <v>0</v>
      </c>
      <c r="Q149" s="96">
        <v>0</v>
      </c>
      <c r="R149" s="96">
        <v>0.23100000000000001</v>
      </c>
      <c r="S149" s="96">
        <v>0</v>
      </c>
      <c r="T149" s="96">
        <v>0</v>
      </c>
      <c r="U149" s="96">
        <v>0</v>
      </c>
      <c r="V149" s="96">
        <v>0</v>
      </c>
      <c r="W149" s="96">
        <v>0</v>
      </c>
      <c r="X149" s="96">
        <v>0</v>
      </c>
      <c r="Y149" s="96">
        <v>0</v>
      </c>
      <c r="Z149" s="96"/>
      <c r="AA149" s="19"/>
      <c r="AB149" s="19"/>
      <c r="AC149" s="19"/>
      <c r="AD149" s="19"/>
      <c r="AE149" s="13"/>
      <c r="AF149" s="9"/>
      <c r="AG149" t="str">
        <f>VLOOKUP(OfficeForms.Table[[#This Row],[Nama Proyek]],'Nama Proyek'!$D$2:$G$29,4,0)</f>
        <v>-2.95293103,104.75455094</v>
      </c>
      <c r="AH149" s="5"/>
      <c r="AI149" s="5"/>
      <c r="AJ149" s="5"/>
      <c r="AK149" s="5" t="s">
        <v>374</v>
      </c>
    </row>
    <row r="150" spans="1:37" ht="15" hidden="1" customHeight="1">
      <c r="A150" s="31">
        <v>99</v>
      </c>
      <c r="B150" s="110">
        <v>44736</v>
      </c>
      <c r="C150" s="28">
        <f>B150</f>
        <v>44736</v>
      </c>
      <c r="D150" s="8" t="s">
        <v>37</v>
      </c>
      <c r="E150" s="8" t="s">
        <v>214</v>
      </c>
      <c r="F150" s="5" t="str">
        <f>E150</f>
        <v>BASUKI RAHMAT HAKIM</v>
      </c>
      <c r="G150" s="59" t="s">
        <v>48</v>
      </c>
      <c r="H150" s="105"/>
      <c r="I150" s="95">
        <v>0</v>
      </c>
      <c r="J150" s="95">
        <v>0</v>
      </c>
      <c r="K150" s="95">
        <v>0</v>
      </c>
      <c r="L150" s="95">
        <v>0</v>
      </c>
      <c r="M150" s="95">
        <v>0</v>
      </c>
      <c r="N150" s="95">
        <v>0</v>
      </c>
      <c r="O150" s="95">
        <v>0</v>
      </c>
      <c r="P150" s="95">
        <v>0</v>
      </c>
      <c r="Q150" s="95">
        <v>0</v>
      </c>
      <c r="R150" s="95">
        <v>0</v>
      </c>
      <c r="S150" s="95">
        <v>0</v>
      </c>
      <c r="T150" s="95">
        <v>0</v>
      </c>
      <c r="U150" s="95">
        <v>0</v>
      </c>
      <c r="V150" s="95">
        <v>0</v>
      </c>
      <c r="W150" s="95">
        <v>0</v>
      </c>
      <c r="X150" s="95">
        <v>0</v>
      </c>
      <c r="Y150" s="95">
        <v>0</v>
      </c>
      <c r="Z150" s="95"/>
      <c r="AA150" s="8" t="s">
        <v>375</v>
      </c>
      <c r="AB150" s="8" t="s">
        <v>376</v>
      </c>
      <c r="AC150" s="8" t="s">
        <v>377</v>
      </c>
      <c r="AD150" s="8"/>
      <c r="AE150" s="11"/>
      <c r="AF150" s="9"/>
      <c r="AG150" t="str">
        <f>VLOOKUP(OfficeForms.Table[[#This Row],[Nama Proyek]],'Nama Proyek'!$D$2:$G$29,4,0)</f>
        <v>3.76047575,115.89977678</v>
      </c>
      <c r="AH150" s="5"/>
      <c r="AI150" s="5"/>
      <c r="AJ150" s="5"/>
      <c r="AK150" s="5" t="s">
        <v>378</v>
      </c>
    </row>
    <row r="151" spans="1:37" ht="15" hidden="1" customHeight="1">
      <c r="A151">
        <v>177</v>
      </c>
      <c r="B151" s="110">
        <v>44736</v>
      </c>
      <c r="C151" s="28">
        <f>B151</f>
        <v>44736</v>
      </c>
      <c r="D151" s="19" t="s">
        <v>37</v>
      </c>
      <c r="E151" s="19" t="s">
        <v>379</v>
      </c>
      <c r="F151" s="5" t="str">
        <f>E151</f>
        <v>Aditya Angga</v>
      </c>
      <c r="G151" s="37" t="s">
        <v>76</v>
      </c>
      <c r="H151" s="105"/>
      <c r="I151" s="96">
        <v>0</v>
      </c>
      <c r="J151" s="96">
        <v>0</v>
      </c>
      <c r="K151" s="96">
        <v>0</v>
      </c>
      <c r="L151" s="96">
        <v>0</v>
      </c>
      <c r="M151" s="96">
        <v>0</v>
      </c>
      <c r="N151" s="96">
        <v>0</v>
      </c>
      <c r="O151" s="96">
        <v>0</v>
      </c>
      <c r="P151" s="96">
        <v>0</v>
      </c>
      <c r="Q151" s="96">
        <v>0</v>
      </c>
      <c r="R151" s="96">
        <v>0</v>
      </c>
      <c r="S151" s="96">
        <v>0</v>
      </c>
      <c r="T151" s="96">
        <v>0</v>
      </c>
      <c r="U151" s="96">
        <v>0</v>
      </c>
      <c r="V151" s="96">
        <v>0</v>
      </c>
      <c r="W151" s="96">
        <v>0</v>
      </c>
      <c r="X151" s="96">
        <v>0</v>
      </c>
      <c r="Y151" s="96">
        <v>0</v>
      </c>
      <c r="Z151" s="96"/>
      <c r="AA151" s="19"/>
      <c r="AB151" s="19"/>
      <c r="AC151" s="19"/>
      <c r="AD151" s="19"/>
      <c r="AE151" s="13">
        <v>44567</v>
      </c>
      <c r="AF151" s="41" t="s">
        <v>284</v>
      </c>
      <c r="AG151" t="str">
        <f>VLOOKUP(OfficeForms.Table[[#This Row],[Nama Proyek]],'Nama Proyek'!$D$2:$G$29,4,0)</f>
        <v>-2.95293103,104.75455094</v>
      </c>
      <c r="AH151" s="5"/>
      <c r="AI151" s="5"/>
      <c r="AJ151" s="5"/>
      <c r="AK151" s="5" t="s">
        <v>380</v>
      </c>
    </row>
    <row r="152" spans="1:37" ht="15" hidden="1" customHeight="1">
      <c r="A152">
        <v>178</v>
      </c>
      <c r="B152" s="111">
        <v>44736</v>
      </c>
      <c r="C152" s="29">
        <f>B152</f>
        <v>44736</v>
      </c>
      <c r="D152" s="8" t="s">
        <v>37</v>
      </c>
      <c r="E152" s="8" t="s">
        <v>218</v>
      </c>
      <c r="F152" s="5" t="str">
        <f>E152</f>
        <v>Aji Kukuh Pambudi</v>
      </c>
      <c r="G152" s="54" t="s">
        <v>76</v>
      </c>
      <c r="H152" s="105"/>
      <c r="I152" s="95">
        <v>0</v>
      </c>
      <c r="J152" s="95">
        <v>0</v>
      </c>
      <c r="K152" s="95">
        <v>0</v>
      </c>
      <c r="L152" s="95">
        <v>0</v>
      </c>
      <c r="M152" s="95">
        <v>0</v>
      </c>
      <c r="N152" s="95">
        <v>0</v>
      </c>
      <c r="O152" s="95">
        <v>0</v>
      </c>
      <c r="P152" s="95">
        <v>0</v>
      </c>
      <c r="Q152" s="95">
        <v>0</v>
      </c>
      <c r="R152" s="95">
        <v>0</v>
      </c>
      <c r="S152" s="95">
        <v>0</v>
      </c>
      <c r="T152" s="95">
        <v>0</v>
      </c>
      <c r="U152" s="95">
        <v>0</v>
      </c>
      <c r="V152" s="95">
        <v>0</v>
      </c>
      <c r="W152" s="95">
        <v>0</v>
      </c>
      <c r="X152" s="95">
        <v>0</v>
      </c>
      <c r="Y152" s="95">
        <v>0</v>
      </c>
      <c r="Z152" s="95"/>
      <c r="AA152" s="8"/>
      <c r="AB152" s="8"/>
      <c r="AC152" s="8"/>
      <c r="AD152" s="8"/>
      <c r="AE152" s="11">
        <v>44566</v>
      </c>
      <c r="AF152" s="43" t="s">
        <v>291</v>
      </c>
      <c r="AG152" t="str">
        <f>VLOOKUP(OfficeForms.Table[[#This Row],[Nama Proyek]],'Nama Proyek'!$D$2:$G$29,4,0)</f>
        <v>-2.95293103,104.75455094</v>
      </c>
      <c r="AH152" s="5"/>
      <c r="AI152" s="5"/>
      <c r="AJ152" s="5"/>
      <c r="AK152" s="5" t="s">
        <v>381</v>
      </c>
    </row>
    <row r="153" spans="1:37" ht="15" hidden="1" customHeight="1">
      <c r="A153" s="30">
        <v>179</v>
      </c>
      <c r="B153" s="110">
        <v>44736</v>
      </c>
      <c r="C153" s="28">
        <f>B153</f>
        <v>44736</v>
      </c>
      <c r="D153" s="19" t="s">
        <v>37</v>
      </c>
      <c r="E153" s="19" t="s">
        <v>218</v>
      </c>
      <c r="F153" s="5" t="str">
        <f>E153</f>
        <v>Aji Kukuh Pambudi</v>
      </c>
      <c r="G153" s="37" t="s">
        <v>76</v>
      </c>
      <c r="H153" s="105"/>
      <c r="I153" s="96">
        <v>0</v>
      </c>
      <c r="J153" s="96">
        <v>0</v>
      </c>
      <c r="K153" s="96">
        <v>0</v>
      </c>
      <c r="L153" s="96">
        <v>0</v>
      </c>
      <c r="M153" s="96">
        <v>0</v>
      </c>
      <c r="N153" s="96">
        <v>0</v>
      </c>
      <c r="O153" s="96">
        <v>0</v>
      </c>
      <c r="P153" s="96">
        <v>0</v>
      </c>
      <c r="Q153" s="96">
        <v>0</v>
      </c>
      <c r="R153" s="96">
        <v>0</v>
      </c>
      <c r="S153" s="96">
        <v>0</v>
      </c>
      <c r="T153" s="96">
        <v>0</v>
      </c>
      <c r="U153" s="96">
        <v>0</v>
      </c>
      <c r="V153" s="96">
        <v>0</v>
      </c>
      <c r="W153" s="96">
        <v>0</v>
      </c>
      <c r="X153" s="96">
        <v>0</v>
      </c>
      <c r="Y153" s="96">
        <v>0</v>
      </c>
      <c r="Z153" s="96"/>
      <c r="AA153" s="19"/>
      <c r="AB153" s="19"/>
      <c r="AC153" s="19"/>
      <c r="AD153" s="19"/>
      <c r="AE153" s="13">
        <v>44566</v>
      </c>
      <c r="AF153" s="9"/>
      <c r="AG153" t="str">
        <f>VLOOKUP(OfficeForms.Table[[#This Row],[Nama Proyek]],'Nama Proyek'!$D$2:$G$29,4,0)</f>
        <v>-2.95293103,104.75455094</v>
      </c>
      <c r="AH153" s="5"/>
      <c r="AI153" s="5"/>
      <c r="AJ153" s="5"/>
      <c r="AK153" s="5" t="s">
        <v>382</v>
      </c>
    </row>
    <row r="154" spans="1:37" ht="15" hidden="1" customHeight="1">
      <c r="A154" s="31">
        <v>191</v>
      </c>
      <c r="B154" s="110">
        <v>44736</v>
      </c>
      <c r="C154" s="28">
        <f>B154</f>
        <v>44736</v>
      </c>
      <c r="D154" s="19" t="s">
        <v>37</v>
      </c>
      <c r="E154" s="19" t="s">
        <v>57</v>
      </c>
      <c r="F154" s="5" t="str">
        <f>E154</f>
        <v>Alfian Budi Prasetya</v>
      </c>
      <c r="G154" s="42" t="s">
        <v>58</v>
      </c>
      <c r="H154" s="105"/>
      <c r="I154" s="96">
        <v>0</v>
      </c>
      <c r="J154" s="96">
        <v>0</v>
      </c>
      <c r="K154" s="96">
        <v>0</v>
      </c>
      <c r="L154" s="96">
        <v>0</v>
      </c>
      <c r="M154" s="96">
        <v>0</v>
      </c>
      <c r="N154" s="96">
        <v>0</v>
      </c>
      <c r="O154" s="96">
        <v>0</v>
      </c>
      <c r="P154" s="96">
        <v>0</v>
      </c>
      <c r="Q154" s="96">
        <v>0</v>
      </c>
      <c r="R154" s="96">
        <v>0</v>
      </c>
      <c r="S154" s="96">
        <v>0</v>
      </c>
      <c r="T154" s="96">
        <v>0</v>
      </c>
      <c r="U154" s="96">
        <v>0</v>
      </c>
      <c r="V154" s="96">
        <v>0</v>
      </c>
      <c r="W154" s="96">
        <v>0</v>
      </c>
      <c r="X154" s="96">
        <v>0</v>
      </c>
      <c r="Y154" s="96">
        <v>0</v>
      </c>
      <c r="Z154" s="96"/>
      <c r="AA154" s="19" t="s">
        <v>383</v>
      </c>
      <c r="AB154" s="19" t="s">
        <v>384</v>
      </c>
      <c r="AC154" s="19" t="s">
        <v>385</v>
      </c>
      <c r="AD154" s="19" t="s">
        <v>385</v>
      </c>
      <c r="AE154" s="13"/>
      <c r="AF154" s="8" t="s">
        <v>386</v>
      </c>
      <c r="AG154" t="str">
        <f>VLOOKUP(OfficeForms.Table[[#This Row],[Nama Proyek]],'Nama Proyek'!$D$2:$G$29,4,0)</f>
        <v>-6.12967558,107.07321308</v>
      </c>
      <c r="AH154" s="5"/>
      <c r="AI154" s="5"/>
      <c r="AJ154" s="5"/>
      <c r="AK154" s="5" t="s">
        <v>387</v>
      </c>
    </row>
    <row r="155" spans="1:37" ht="15" hidden="1" customHeight="1">
      <c r="A155" s="30">
        <v>192</v>
      </c>
      <c r="B155" s="111">
        <v>44736</v>
      </c>
      <c r="C155" s="29">
        <f>B155</f>
        <v>44736</v>
      </c>
      <c r="D155" s="8" t="s">
        <v>37</v>
      </c>
      <c r="E155" s="8" t="s">
        <v>57</v>
      </c>
      <c r="F155" s="5" t="str">
        <f>E155</f>
        <v>Alfian Budi Prasetya</v>
      </c>
      <c r="G155" s="15" t="s">
        <v>58</v>
      </c>
      <c r="H155" s="105"/>
      <c r="I155" s="95">
        <v>0</v>
      </c>
      <c r="J155" s="95">
        <v>0</v>
      </c>
      <c r="K155" s="95">
        <v>0</v>
      </c>
      <c r="L155" s="95">
        <v>0</v>
      </c>
      <c r="M155" s="95">
        <v>0</v>
      </c>
      <c r="N155" s="95">
        <v>0</v>
      </c>
      <c r="O155" s="95">
        <v>0</v>
      </c>
      <c r="P155" s="95">
        <v>0</v>
      </c>
      <c r="Q155" s="95">
        <v>0</v>
      </c>
      <c r="R155" s="95">
        <v>0</v>
      </c>
      <c r="S155" s="95">
        <v>0</v>
      </c>
      <c r="T155" s="95">
        <v>0</v>
      </c>
      <c r="U155" s="95">
        <v>0</v>
      </c>
      <c r="V155" s="95">
        <v>0</v>
      </c>
      <c r="W155" s="95">
        <v>0</v>
      </c>
      <c r="X155" s="95">
        <v>0</v>
      </c>
      <c r="Y155" s="95">
        <v>0</v>
      </c>
      <c r="Z155" s="95"/>
      <c r="AA155" s="8"/>
      <c r="AB155" s="8"/>
      <c r="AC155" s="8"/>
      <c r="AD155" s="8"/>
      <c r="AE155" s="11" t="s">
        <v>388</v>
      </c>
      <c r="AF155" s="19"/>
      <c r="AG155" t="str">
        <f>VLOOKUP(OfficeForms.Table[[#This Row],[Nama Proyek]],'Nama Proyek'!$D$2:$G$29,4,0)</f>
        <v>-6.12967558,107.07321308</v>
      </c>
      <c r="AH155" s="5"/>
      <c r="AI155" s="5"/>
      <c r="AJ155" s="5"/>
      <c r="AK155" s="5" t="s">
        <v>389</v>
      </c>
    </row>
    <row r="156" spans="1:37" ht="15" hidden="1" customHeight="1">
      <c r="A156" s="50">
        <v>194</v>
      </c>
      <c r="B156" s="111">
        <v>44736</v>
      </c>
      <c r="C156" s="29">
        <f>B156</f>
        <v>44736</v>
      </c>
      <c r="D156" s="8" t="s">
        <v>37</v>
      </c>
      <c r="E156" s="8" t="s">
        <v>278</v>
      </c>
      <c r="F156" s="5" t="str">
        <f>E156</f>
        <v>Teddy Pradana</v>
      </c>
      <c r="G156" s="17" t="s">
        <v>167</v>
      </c>
      <c r="H156" s="105"/>
      <c r="I156" s="95">
        <v>0</v>
      </c>
      <c r="J156" s="95">
        <v>0</v>
      </c>
      <c r="K156" s="95">
        <v>0</v>
      </c>
      <c r="L156" s="95">
        <v>0</v>
      </c>
      <c r="M156" s="95">
        <v>0</v>
      </c>
      <c r="N156" s="95">
        <v>0</v>
      </c>
      <c r="O156" s="95">
        <v>0</v>
      </c>
      <c r="P156" s="95">
        <v>0</v>
      </c>
      <c r="Q156" s="95">
        <v>0</v>
      </c>
      <c r="R156" s="95">
        <v>0</v>
      </c>
      <c r="S156" s="95">
        <v>0</v>
      </c>
      <c r="T156" s="95">
        <v>0</v>
      </c>
      <c r="U156" s="95">
        <v>0</v>
      </c>
      <c r="V156" s="95">
        <v>0</v>
      </c>
      <c r="W156" s="95">
        <v>0</v>
      </c>
      <c r="X156" s="95">
        <v>0</v>
      </c>
      <c r="Y156" s="95">
        <v>0</v>
      </c>
      <c r="Z156" s="95"/>
      <c r="AA156" s="8" t="s">
        <v>390</v>
      </c>
      <c r="AB156" s="8"/>
      <c r="AC156" s="8"/>
      <c r="AD156" s="8"/>
      <c r="AE156" s="11"/>
      <c r="AF156" s="19" t="s">
        <v>391</v>
      </c>
      <c r="AG156" t="str">
        <f>VLOOKUP(OfficeForms.Table[[#This Row],[Nama Proyek]],'Nama Proyek'!$D$2:$G$29,4,0)</f>
        <v>2.426249030,128.29766314</v>
      </c>
      <c r="AH156" s="5"/>
      <c r="AI156" s="5"/>
      <c r="AJ156" s="5"/>
      <c r="AK156" s="5" t="s">
        <v>392</v>
      </c>
    </row>
    <row r="157" spans="1:37" ht="15" hidden="1" customHeight="1">
      <c r="A157" s="50">
        <v>386</v>
      </c>
      <c r="B157" s="111">
        <v>44736</v>
      </c>
      <c r="C157" s="29">
        <f>B157</f>
        <v>44736</v>
      </c>
      <c r="D157" s="9" t="s">
        <v>37</v>
      </c>
      <c r="E157" s="9" t="s">
        <v>51</v>
      </c>
      <c r="F157" s="5" t="str">
        <f>E157</f>
        <v>Riezky Ibnu Prasetyo</v>
      </c>
      <c r="G157" s="15" t="s">
        <v>52</v>
      </c>
      <c r="H157" s="105"/>
      <c r="I157" s="94">
        <v>0</v>
      </c>
      <c r="J157" s="94">
        <v>0</v>
      </c>
      <c r="K157" s="94">
        <v>0</v>
      </c>
      <c r="L157" s="94">
        <v>0</v>
      </c>
      <c r="M157" s="94">
        <v>0</v>
      </c>
      <c r="N157" s="94">
        <v>0</v>
      </c>
      <c r="O157" s="94">
        <v>0</v>
      </c>
      <c r="P157" s="94">
        <v>0</v>
      </c>
      <c r="Q157" s="94">
        <v>0</v>
      </c>
      <c r="R157" s="94">
        <v>0</v>
      </c>
      <c r="S157" s="94">
        <v>0</v>
      </c>
      <c r="T157" s="94">
        <v>0</v>
      </c>
      <c r="U157" s="94">
        <v>0</v>
      </c>
      <c r="V157" s="94">
        <v>0</v>
      </c>
      <c r="W157" s="94">
        <v>0</v>
      </c>
      <c r="X157" s="94">
        <v>0</v>
      </c>
      <c r="Y157" s="94">
        <v>0</v>
      </c>
      <c r="Z157" s="94"/>
      <c r="AA157" s="9" t="s">
        <v>393</v>
      </c>
      <c r="AB157" s="9" t="s">
        <v>394</v>
      </c>
      <c r="AC157" s="9" t="s">
        <v>395</v>
      </c>
      <c r="AD157" s="9"/>
      <c r="AE157" s="12"/>
      <c r="AF157" s="8"/>
      <c r="AG157" t="str">
        <f>VLOOKUP(OfficeForms.Table[[#This Row],[Nama Proyek]],'Nama Proyek'!$D$2:$G$29,4,0)</f>
        <v>-6.13491053,106.93675986</v>
      </c>
      <c r="AH157" s="5"/>
      <c r="AI157" s="5"/>
      <c r="AJ157" s="5"/>
      <c r="AK157" s="5" t="s">
        <v>396</v>
      </c>
    </row>
    <row r="158" spans="1:37" ht="15" hidden="1" customHeight="1">
      <c r="A158" s="31">
        <v>387</v>
      </c>
      <c r="B158" s="110">
        <v>44736</v>
      </c>
      <c r="C158" s="28">
        <f>B158</f>
        <v>44736</v>
      </c>
      <c r="D158" s="8" t="s">
        <v>37</v>
      </c>
      <c r="E158" s="8" t="s">
        <v>51</v>
      </c>
      <c r="F158" s="5" t="str">
        <f>E158</f>
        <v>Riezky Ibnu Prasetyo</v>
      </c>
      <c r="G158" s="8" t="s">
        <v>52</v>
      </c>
      <c r="H158" s="105"/>
      <c r="I158" s="95">
        <v>0</v>
      </c>
      <c r="J158" s="95">
        <v>0</v>
      </c>
      <c r="K158" s="95">
        <v>0</v>
      </c>
      <c r="L158" s="95">
        <v>0</v>
      </c>
      <c r="M158" s="95">
        <v>0</v>
      </c>
      <c r="N158" s="95">
        <v>0</v>
      </c>
      <c r="O158" s="95">
        <v>0</v>
      </c>
      <c r="P158" s="95">
        <v>0</v>
      </c>
      <c r="Q158" s="95">
        <v>0</v>
      </c>
      <c r="R158" s="95">
        <v>0</v>
      </c>
      <c r="S158" s="95">
        <v>0</v>
      </c>
      <c r="T158" s="95">
        <v>0</v>
      </c>
      <c r="U158" s="95">
        <v>0</v>
      </c>
      <c r="V158" s="95">
        <v>0</v>
      </c>
      <c r="W158" s="95">
        <v>0</v>
      </c>
      <c r="X158" s="95">
        <v>0</v>
      </c>
      <c r="Y158" s="95">
        <v>0</v>
      </c>
      <c r="Z158" s="95"/>
      <c r="AA158" s="8"/>
      <c r="AB158" s="8"/>
      <c r="AC158" s="8"/>
      <c r="AD158" s="8" t="s">
        <v>397</v>
      </c>
      <c r="AE158" s="11"/>
      <c r="AF158" s="40" t="s">
        <v>398</v>
      </c>
      <c r="AG158" t="str">
        <f>VLOOKUP(OfficeForms.Table[[#This Row],[Nama Proyek]],'Nama Proyek'!$D$2:$G$29,4,0)</f>
        <v>-6.13491053,106.93675986</v>
      </c>
      <c r="AH158" s="5"/>
      <c r="AI158" s="5"/>
      <c r="AJ158" s="5"/>
      <c r="AK158" s="5" t="s">
        <v>399</v>
      </c>
    </row>
    <row r="159" spans="1:37" ht="15" hidden="1" customHeight="1">
      <c r="A159" s="31">
        <v>623</v>
      </c>
      <c r="B159" s="110">
        <v>44737</v>
      </c>
      <c r="C159" s="28">
        <f>B159</f>
        <v>44737</v>
      </c>
      <c r="D159" s="19" t="s">
        <v>37</v>
      </c>
      <c r="E159" s="19" t="s">
        <v>64</v>
      </c>
      <c r="F159" s="5" t="str">
        <f>E159</f>
        <v>Nizar Zulkarnain</v>
      </c>
      <c r="G159" s="42" t="s">
        <v>65</v>
      </c>
      <c r="H159" s="106">
        <v>44619</v>
      </c>
      <c r="I159" s="96">
        <v>68.695999999999998</v>
      </c>
      <c r="J159" s="96">
        <v>68.119</v>
      </c>
      <c r="K159" s="96">
        <v>51.08</v>
      </c>
      <c r="L159" s="96">
        <v>73.209999999999994</v>
      </c>
      <c r="M159" s="96">
        <v>76.66</v>
      </c>
      <c r="N159" s="96">
        <v>90.79</v>
      </c>
      <c r="O159" s="96">
        <v>42.96</v>
      </c>
      <c r="P159" s="96">
        <v>53.08</v>
      </c>
      <c r="Q159" s="96">
        <v>52.15</v>
      </c>
      <c r="R159" s="96">
        <v>43.02</v>
      </c>
      <c r="S159" s="96">
        <v>80.45</v>
      </c>
      <c r="T159" s="96">
        <v>79.88</v>
      </c>
      <c r="U159" s="96">
        <v>22.5</v>
      </c>
      <c r="V159" s="96">
        <v>9.56</v>
      </c>
      <c r="W159" s="96">
        <v>0</v>
      </c>
      <c r="X159" s="96">
        <v>98.36</v>
      </c>
      <c r="Y159" s="96">
        <v>4.0999999999999996</v>
      </c>
      <c r="Z159" s="96"/>
      <c r="AA159" s="19"/>
      <c r="AB159" s="19"/>
      <c r="AC159" s="19"/>
      <c r="AD159" s="19"/>
      <c r="AE159" s="13"/>
      <c r="AF159" s="9"/>
      <c r="AG159" t="str">
        <f>VLOOKUP(OfficeForms.Table[[#This Row],[Nama Proyek]],'Nama Proyek'!$D$2:$G$29,4,0)</f>
        <v>-6.35008011,107.02324233</v>
      </c>
      <c r="AH159" s="5"/>
      <c r="AI159" s="5"/>
      <c r="AJ159" s="5"/>
      <c r="AK159" s="5" t="s">
        <v>400</v>
      </c>
    </row>
    <row r="160" spans="1:37" ht="15" hidden="1" customHeight="1">
      <c r="A160" s="30">
        <v>629</v>
      </c>
      <c r="B160" s="110">
        <v>44737</v>
      </c>
      <c r="C160" s="28">
        <f>B160</f>
        <v>44737</v>
      </c>
      <c r="D160" s="19" t="s">
        <v>37</v>
      </c>
      <c r="E160" s="19" t="s">
        <v>64</v>
      </c>
      <c r="F160" s="5" t="str">
        <f>E160</f>
        <v>Nizar Zulkarnain</v>
      </c>
      <c r="G160" s="42" t="s">
        <v>65</v>
      </c>
      <c r="H160" s="106">
        <v>44647</v>
      </c>
      <c r="I160" s="96">
        <v>69.072000000000003</v>
      </c>
      <c r="J160" s="96">
        <v>69.691999999999993</v>
      </c>
      <c r="K160" s="96">
        <v>51.31</v>
      </c>
      <c r="L160" s="96">
        <v>73.209999999999994</v>
      </c>
      <c r="M160" s="96">
        <v>76.66</v>
      </c>
      <c r="N160" s="96">
        <v>90.55</v>
      </c>
      <c r="O160" s="96">
        <v>42.47</v>
      </c>
      <c r="P160" s="96">
        <v>54.18</v>
      </c>
      <c r="Q160" s="96">
        <v>52.18</v>
      </c>
      <c r="R160" s="96">
        <v>43.85</v>
      </c>
      <c r="S160" s="96">
        <v>80.75</v>
      </c>
      <c r="T160" s="96">
        <v>79.88</v>
      </c>
      <c r="U160" s="96">
        <v>23.39</v>
      </c>
      <c r="V160" s="96">
        <v>9.56</v>
      </c>
      <c r="W160" s="96">
        <v>0</v>
      </c>
      <c r="X160" s="96">
        <v>98.36</v>
      </c>
      <c r="Y160" s="96">
        <v>4.0999999999999996</v>
      </c>
      <c r="Z160" s="96"/>
      <c r="AA160" s="19"/>
      <c r="AB160" s="19"/>
      <c r="AC160" s="19"/>
      <c r="AD160" s="19"/>
      <c r="AE160" s="13"/>
      <c r="AF160" s="17"/>
      <c r="AG160" t="str">
        <f>VLOOKUP(OfficeForms.Table[[#This Row],[Nama Proyek]],'Nama Proyek'!$D$2:$G$29,4,0)</f>
        <v>-6.35008011,107.02324233</v>
      </c>
      <c r="AH160" s="5"/>
      <c r="AI160" s="5"/>
      <c r="AJ160" s="5"/>
      <c r="AK160" s="5" t="s">
        <v>401</v>
      </c>
    </row>
    <row r="161" spans="1:37" ht="15" hidden="1" customHeight="1">
      <c r="A161">
        <v>645</v>
      </c>
      <c r="B161" s="110">
        <v>44737</v>
      </c>
      <c r="C161" s="28">
        <f>B161</f>
        <v>44737</v>
      </c>
      <c r="D161" s="8" t="s">
        <v>37</v>
      </c>
      <c r="E161" s="8" t="s">
        <v>64</v>
      </c>
      <c r="F161" s="5" t="str">
        <f>E161</f>
        <v>Nizar Zulkarnain</v>
      </c>
      <c r="G161" s="42" t="s">
        <v>65</v>
      </c>
      <c r="H161" s="105">
        <v>44675</v>
      </c>
      <c r="I161" s="95">
        <v>69.590999999999994</v>
      </c>
      <c r="J161" s="95">
        <v>71.796000000000006</v>
      </c>
      <c r="K161" s="95">
        <v>51.33</v>
      </c>
      <c r="L161" s="95">
        <v>73.209999999999994</v>
      </c>
      <c r="M161" s="95">
        <v>76.849999999999994</v>
      </c>
      <c r="N161" s="95">
        <v>90.55</v>
      </c>
      <c r="O161" s="95">
        <v>43.05</v>
      </c>
      <c r="P161" s="95">
        <v>54.47</v>
      </c>
      <c r="Q161" s="95">
        <v>52.49</v>
      </c>
      <c r="R161" s="95">
        <v>44.69</v>
      </c>
      <c r="S161" s="95">
        <v>81.5</v>
      </c>
      <c r="T161" s="95">
        <v>79.88</v>
      </c>
      <c r="U161" s="95">
        <v>25.34</v>
      </c>
      <c r="V161" s="95">
        <v>9.56</v>
      </c>
      <c r="W161" s="95">
        <v>0</v>
      </c>
      <c r="X161" s="95">
        <v>98.36</v>
      </c>
      <c r="Y161" s="95">
        <v>4.0999999999999996</v>
      </c>
      <c r="Z161" s="95"/>
      <c r="AA161" s="8"/>
      <c r="AB161" s="8"/>
      <c r="AC161" s="8"/>
      <c r="AD161" s="8"/>
      <c r="AE161" s="16"/>
      <c r="AF161" s="9"/>
      <c r="AG161" t="str">
        <f>VLOOKUP(OfficeForms.Table[[#This Row],[Nama Proyek]],'Nama Proyek'!$D$2:$G$29,4,0)</f>
        <v>-6.35008011,107.02324233</v>
      </c>
      <c r="AH161" s="5"/>
      <c r="AI161" s="5"/>
      <c r="AJ161" s="5"/>
      <c r="AK161" s="5" t="s">
        <v>402</v>
      </c>
    </row>
    <row r="162" spans="1:37" ht="15" hidden="1" customHeight="1">
      <c r="A162">
        <v>93</v>
      </c>
      <c r="B162" s="110">
        <v>44737</v>
      </c>
      <c r="C162" s="28">
        <f>B162</f>
        <v>44737</v>
      </c>
      <c r="D162" s="19" t="s">
        <v>37</v>
      </c>
      <c r="E162" s="19" t="s">
        <v>166</v>
      </c>
      <c r="F162" s="5" t="str">
        <f>E162</f>
        <v>Ganis Satria Pratama</v>
      </c>
      <c r="G162" s="9" t="s">
        <v>167</v>
      </c>
      <c r="H162" s="106">
        <v>44737</v>
      </c>
      <c r="I162" s="96">
        <v>53.8</v>
      </c>
      <c r="J162" s="96">
        <v>57.72</v>
      </c>
      <c r="K162" s="96">
        <v>100</v>
      </c>
      <c r="L162" s="96">
        <v>52.11</v>
      </c>
      <c r="M162" s="96">
        <v>0</v>
      </c>
      <c r="N162" s="96">
        <v>100</v>
      </c>
      <c r="O162" s="96">
        <v>0</v>
      </c>
      <c r="P162" s="96">
        <v>63.26</v>
      </c>
      <c r="Q162" s="96">
        <v>0</v>
      </c>
      <c r="R162" s="96">
        <v>0</v>
      </c>
      <c r="S162" s="96">
        <v>0</v>
      </c>
      <c r="T162" s="96">
        <v>0</v>
      </c>
      <c r="U162" s="96">
        <v>0</v>
      </c>
      <c r="V162" s="96">
        <v>0</v>
      </c>
      <c r="W162" s="96">
        <v>0</v>
      </c>
      <c r="X162" s="96">
        <v>0</v>
      </c>
      <c r="Y162" s="96">
        <v>0</v>
      </c>
      <c r="Z162" s="96"/>
      <c r="AA162" s="19"/>
      <c r="AB162" s="19"/>
      <c r="AC162" s="19"/>
      <c r="AD162" s="19"/>
      <c r="AE162" s="13"/>
      <c r="AF162" s="8" t="s">
        <v>403</v>
      </c>
      <c r="AG162" t="str">
        <f>VLOOKUP(OfficeForms.Table[[#This Row],[Nama Proyek]],'Nama Proyek'!$D$2:$G$29,4,0)</f>
        <v>2.426249030,128.29766314</v>
      </c>
      <c r="AH162" s="5"/>
      <c r="AI162" s="5"/>
      <c r="AJ162" s="5"/>
      <c r="AK162" s="5" t="s">
        <v>404</v>
      </c>
    </row>
    <row r="163" spans="1:37" ht="15" hidden="1" customHeight="1">
      <c r="A163" s="31">
        <v>101</v>
      </c>
      <c r="B163" s="110">
        <v>44737</v>
      </c>
      <c r="C163" s="28">
        <f>B163</f>
        <v>44737</v>
      </c>
      <c r="D163" s="19" t="s">
        <v>37</v>
      </c>
      <c r="E163" s="19" t="s">
        <v>166</v>
      </c>
      <c r="F163" s="5" t="str">
        <f>E163</f>
        <v>Ganis Satria Pratama</v>
      </c>
      <c r="G163" s="9" t="s">
        <v>167</v>
      </c>
      <c r="H163" s="105"/>
      <c r="I163" s="96">
        <v>0</v>
      </c>
      <c r="J163" s="96">
        <v>0</v>
      </c>
      <c r="K163" s="96">
        <v>0</v>
      </c>
      <c r="L163" s="96">
        <v>0</v>
      </c>
      <c r="M163" s="96">
        <v>0</v>
      </c>
      <c r="N163" s="96">
        <v>0</v>
      </c>
      <c r="O163" s="96">
        <v>0</v>
      </c>
      <c r="P163" s="96">
        <v>0</v>
      </c>
      <c r="Q163" s="96">
        <v>0</v>
      </c>
      <c r="R163" s="96">
        <v>0</v>
      </c>
      <c r="S163" s="96">
        <v>0</v>
      </c>
      <c r="T163" s="96">
        <v>0</v>
      </c>
      <c r="U163" s="96">
        <v>0</v>
      </c>
      <c r="V163" s="96">
        <v>0</v>
      </c>
      <c r="W163" s="96">
        <v>0</v>
      </c>
      <c r="X163" s="96">
        <v>0</v>
      </c>
      <c r="Y163" s="96">
        <v>0</v>
      </c>
      <c r="Z163" s="96"/>
      <c r="AA163" s="19"/>
      <c r="AB163" s="19"/>
      <c r="AC163" s="19"/>
      <c r="AD163" s="19"/>
      <c r="AE163" s="13">
        <v>44567</v>
      </c>
      <c r="AF163" s="9" t="s">
        <v>405</v>
      </c>
      <c r="AG163" t="str">
        <f>VLOOKUP(OfficeForms.Table[[#This Row],[Nama Proyek]],'Nama Proyek'!$D$2:$G$29,4,0)</f>
        <v>2.426249030,128.29766314</v>
      </c>
      <c r="AH163" s="5"/>
      <c r="AI163" s="5"/>
      <c r="AJ163" s="5"/>
      <c r="AK163" s="5" t="s">
        <v>406</v>
      </c>
    </row>
    <row r="164" spans="1:37" ht="15" hidden="1" customHeight="1">
      <c r="A164" s="50">
        <v>128</v>
      </c>
      <c r="B164" s="111">
        <v>44737</v>
      </c>
      <c r="C164" s="29">
        <f>B164</f>
        <v>44737</v>
      </c>
      <c r="D164" s="9" t="s">
        <v>37</v>
      </c>
      <c r="E164" s="9" t="s">
        <v>64</v>
      </c>
      <c r="F164" s="5" t="str">
        <f>E164</f>
        <v>Nizar Zulkarnain</v>
      </c>
      <c r="G164" s="9" t="s">
        <v>65</v>
      </c>
      <c r="H164" s="104"/>
      <c r="I164" s="94">
        <v>0</v>
      </c>
      <c r="J164" s="94">
        <v>0</v>
      </c>
      <c r="K164" s="94">
        <v>0</v>
      </c>
      <c r="L164" s="94">
        <v>0</v>
      </c>
      <c r="M164" s="94">
        <v>0</v>
      </c>
      <c r="N164" s="94">
        <v>0</v>
      </c>
      <c r="O164" s="94">
        <v>0</v>
      </c>
      <c r="P164" s="94">
        <v>0</v>
      </c>
      <c r="Q164" s="94">
        <v>0</v>
      </c>
      <c r="R164" s="94">
        <v>0</v>
      </c>
      <c r="S164" s="94">
        <v>0</v>
      </c>
      <c r="T164" s="94">
        <v>0</v>
      </c>
      <c r="U164" s="94">
        <v>0</v>
      </c>
      <c r="V164" s="94">
        <v>0</v>
      </c>
      <c r="W164" s="94">
        <v>0</v>
      </c>
      <c r="X164" s="94">
        <v>0</v>
      </c>
      <c r="Y164" s="94">
        <v>0</v>
      </c>
      <c r="Z164" s="94"/>
      <c r="AA164" s="9"/>
      <c r="AB164" s="9"/>
      <c r="AC164" s="9"/>
      <c r="AD164" s="9"/>
      <c r="AE164" s="12" t="s">
        <v>407</v>
      </c>
      <c r="AF164" s="42"/>
      <c r="AG164" t="str">
        <f>VLOOKUP(OfficeForms.Table[[#This Row],[Nama Proyek]],'Nama Proyek'!$D$2:$G$29,4,0)</f>
        <v>-6.35008011,107.02324233</v>
      </c>
      <c r="AH164" s="5"/>
      <c r="AI164" s="5"/>
      <c r="AJ164" s="5"/>
      <c r="AK164" s="5" t="s">
        <v>408</v>
      </c>
    </row>
    <row r="165" spans="1:37" ht="15" hidden="1" customHeight="1">
      <c r="A165" s="50">
        <v>143</v>
      </c>
      <c r="B165" s="110">
        <v>44737</v>
      </c>
      <c r="C165" s="28">
        <f>B165</f>
        <v>44737</v>
      </c>
      <c r="D165" s="8" t="s">
        <v>37</v>
      </c>
      <c r="E165" s="8" t="s">
        <v>64</v>
      </c>
      <c r="F165" s="5" t="str">
        <f>E165</f>
        <v>Nizar Zulkarnain</v>
      </c>
      <c r="G165" s="19" t="s">
        <v>65</v>
      </c>
      <c r="H165" s="106"/>
      <c r="I165" s="95">
        <v>0</v>
      </c>
      <c r="J165" s="95">
        <v>0</v>
      </c>
      <c r="K165" s="95">
        <v>0</v>
      </c>
      <c r="L165" s="95">
        <v>0</v>
      </c>
      <c r="M165" s="95">
        <v>0</v>
      </c>
      <c r="N165" s="95">
        <v>0</v>
      </c>
      <c r="O165" s="95">
        <v>0</v>
      </c>
      <c r="P165" s="95">
        <v>0</v>
      </c>
      <c r="Q165" s="95">
        <v>0</v>
      </c>
      <c r="R165" s="95">
        <v>0</v>
      </c>
      <c r="S165" s="95">
        <v>0</v>
      </c>
      <c r="T165" s="95">
        <v>0</v>
      </c>
      <c r="U165" s="95">
        <v>0</v>
      </c>
      <c r="V165" s="95">
        <v>0</v>
      </c>
      <c r="W165" s="95">
        <v>0</v>
      </c>
      <c r="X165" s="95">
        <v>0</v>
      </c>
      <c r="Y165" s="95">
        <v>0</v>
      </c>
      <c r="Z165" s="95"/>
      <c r="AA165" s="8"/>
      <c r="AB165" s="8"/>
      <c r="AC165" s="8"/>
      <c r="AD165" s="8"/>
      <c r="AE165" s="16" t="s">
        <v>409</v>
      </c>
      <c r="AF165" s="15"/>
      <c r="AG165" t="str">
        <f>VLOOKUP(OfficeForms.Table[[#This Row],[Nama Proyek]],'Nama Proyek'!$D$2:$G$29,4,0)</f>
        <v>-6.35008011,107.02324233</v>
      </c>
      <c r="AH165" s="5"/>
      <c r="AI165" s="5"/>
      <c r="AJ165" s="5"/>
      <c r="AK165" s="5" t="s">
        <v>410</v>
      </c>
    </row>
    <row r="166" spans="1:37" ht="15" hidden="1" customHeight="1">
      <c r="A166" s="31">
        <v>150</v>
      </c>
      <c r="B166" s="111">
        <v>44737</v>
      </c>
      <c r="C166" s="29">
        <f>B166</f>
        <v>44737</v>
      </c>
      <c r="D166" s="9" t="s">
        <v>37</v>
      </c>
      <c r="E166" s="9" t="s">
        <v>64</v>
      </c>
      <c r="F166" s="5" t="str">
        <f>E166</f>
        <v>Nizar Zulkarnain</v>
      </c>
      <c r="G166" s="9" t="s">
        <v>65</v>
      </c>
      <c r="H166" s="104"/>
      <c r="I166" s="94">
        <v>0</v>
      </c>
      <c r="J166" s="94">
        <v>0</v>
      </c>
      <c r="K166" s="94">
        <v>0</v>
      </c>
      <c r="L166" s="94">
        <v>0</v>
      </c>
      <c r="M166" s="94">
        <v>0</v>
      </c>
      <c r="N166" s="94">
        <v>0</v>
      </c>
      <c r="O166" s="94">
        <v>0</v>
      </c>
      <c r="P166" s="94">
        <v>0</v>
      </c>
      <c r="Q166" s="94">
        <v>0</v>
      </c>
      <c r="R166" s="94">
        <v>0</v>
      </c>
      <c r="S166" s="94">
        <v>0</v>
      </c>
      <c r="T166" s="94">
        <v>0</v>
      </c>
      <c r="U166" s="94">
        <v>0</v>
      </c>
      <c r="V166" s="94">
        <v>0</v>
      </c>
      <c r="W166" s="94">
        <v>0</v>
      </c>
      <c r="X166" s="94">
        <v>0</v>
      </c>
      <c r="Y166" s="94">
        <v>0</v>
      </c>
      <c r="Z166" s="94"/>
      <c r="AA166" s="9"/>
      <c r="AB166" s="9"/>
      <c r="AC166" s="9"/>
      <c r="AD166" s="9"/>
      <c r="AE166" s="18" t="s">
        <v>411</v>
      </c>
      <c r="AF166" s="8" t="s">
        <v>91</v>
      </c>
      <c r="AG166" t="str">
        <f>VLOOKUP(OfficeForms.Table[[#This Row],[Nama Proyek]],'Nama Proyek'!$D$2:$G$29,4,0)</f>
        <v>-6.35008011,107.02324233</v>
      </c>
      <c r="AH166" s="5"/>
      <c r="AI166" s="5"/>
      <c r="AJ166" s="5"/>
      <c r="AK166" s="5" t="s">
        <v>412</v>
      </c>
    </row>
    <row r="167" spans="1:37" ht="15" hidden="1" customHeight="1">
      <c r="A167" s="31">
        <v>160</v>
      </c>
      <c r="B167" s="111">
        <v>44737</v>
      </c>
      <c r="C167" s="29">
        <f>B167</f>
        <v>44737</v>
      </c>
      <c r="D167" s="8" t="s">
        <v>37</v>
      </c>
      <c r="E167" s="8" t="s">
        <v>64</v>
      </c>
      <c r="F167" s="5" t="str">
        <f>E167</f>
        <v>Nizar Zulkarnain</v>
      </c>
      <c r="G167" s="9" t="s">
        <v>65</v>
      </c>
      <c r="H167" s="104"/>
      <c r="I167" s="95">
        <v>0</v>
      </c>
      <c r="J167" s="95">
        <v>0</v>
      </c>
      <c r="K167" s="95">
        <v>0</v>
      </c>
      <c r="L167" s="95">
        <v>0</v>
      </c>
      <c r="M167" s="95">
        <v>0</v>
      </c>
      <c r="N167" s="95">
        <v>0</v>
      </c>
      <c r="O167" s="95">
        <v>0</v>
      </c>
      <c r="P167" s="95">
        <v>0</v>
      </c>
      <c r="Q167" s="95">
        <v>0</v>
      </c>
      <c r="R167" s="95">
        <v>0</v>
      </c>
      <c r="S167" s="95">
        <v>0</v>
      </c>
      <c r="T167" s="95">
        <v>0</v>
      </c>
      <c r="U167" s="95">
        <v>0</v>
      </c>
      <c r="V167" s="95">
        <v>0</v>
      </c>
      <c r="W167" s="95">
        <v>0</v>
      </c>
      <c r="X167" s="95">
        <v>0</v>
      </c>
      <c r="Y167" s="95">
        <v>0</v>
      </c>
      <c r="Z167" s="95"/>
      <c r="AA167" s="8"/>
      <c r="AB167" s="8"/>
      <c r="AC167" s="8"/>
      <c r="AD167" s="8"/>
      <c r="AE167" s="11" t="s">
        <v>413</v>
      </c>
      <c r="AF167" s="8"/>
      <c r="AG167" t="str">
        <f>VLOOKUP(OfficeForms.Table[[#This Row],[Nama Proyek]],'Nama Proyek'!$D$2:$G$29,4,0)</f>
        <v>-6.35008011,107.02324233</v>
      </c>
      <c r="AH167" s="5"/>
      <c r="AI167" s="5"/>
      <c r="AJ167" s="5"/>
      <c r="AK167" s="5" t="s">
        <v>414</v>
      </c>
    </row>
    <row r="168" spans="1:37" ht="15" hidden="1" customHeight="1">
      <c r="A168" s="31">
        <v>182</v>
      </c>
      <c r="B168" s="111">
        <v>44737</v>
      </c>
      <c r="C168" s="29">
        <f>B168</f>
        <v>44737</v>
      </c>
      <c r="D168" s="9" t="s">
        <v>37</v>
      </c>
      <c r="E168" s="9" t="s">
        <v>166</v>
      </c>
      <c r="F168" s="5" t="str">
        <f>E168</f>
        <v>Ganis Satria Pratama</v>
      </c>
      <c r="G168" s="9" t="s">
        <v>167</v>
      </c>
      <c r="H168" s="105"/>
      <c r="I168" s="94">
        <v>0</v>
      </c>
      <c r="J168" s="94">
        <v>0</v>
      </c>
      <c r="K168" s="94">
        <v>0</v>
      </c>
      <c r="L168" s="94">
        <v>0</v>
      </c>
      <c r="M168" s="94">
        <v>0</v>
      </c>
      <c r="N168" s="94">
        <v>0</v>
      </c>
      <c r="O168" s="94">
        <v>0</v>
      </c>
      <c r="P168" s="94">
        <v>0</v>
      </c>
      <c r="Q168" s="94">
        <v>0</v>
      </c>
      <c r="R168" s="94">
        <v>0</v>
      </c>
      <c r="S168" s="94">
        <v>0</v>
      </c>
      <c r="T168" s="94">
        <v>0</v>
      </c>
      <c r="U168" s="94">
        <v>0</v>
      </c>
      <c r="V168" s="94">
        <v>0</v>
      </c>
      <c r="W168" s="94">
        <v>0</v>
      </c>
      <c r="X168" s="94">
        <v>0</v>
      </c>
      <c r="Y168" s="94">
        <v>0</v>
      </c>
      <c r="Z168" s="94"/>
      <c r="AA168" s="9"/>
      <c r="AB168" s="9"/>
      <c r="AC168" s="9"/>
      <c r="AD168" s="9"/>
      <c r="AE168" s="12">
        <v>44208</v>
      </c>
      <c r="AF168" s="8" t="s">
        <v>415</v>
      </c>
      <c r="AG168" t="str">
        <f>VLOOKUP(OfficeForms.Table[[#This Row],[Nama Proyek]],'Nama Proyek'!$D$2:$G$29,4,0)</f>
        <v>2.426249030,128.29766314</v>
      </c>
      <c r="AH168" s="5"/>
      <c r="AI168" s="5"/>
      <c r="AJ168" s="5"/>
      <c r="AK168" s="5" t="s">
        <v>416</v>
      </c>
    </row>
    <row r="169" spans="1:37" ht="15" hidden="1" customHeight="1">
      <c r="A169">
        <v>183</v>
      </c>
      <c r="B169" s="110">
        <v>44737</v>
      </c>
      <c r="C169" s="28">
        <f>B169</f>
        <v>44737</v>
      </c>
      <c r="D169" s="8" t="s">
        <v>37</v>
      </c>
      <c r="E169" s="8" t="s">
        <v>166</v>
      </c>
      <c r="F169" s="5" t="str">
        <f>E169</f>
        <v>Ganis Satria Pratama</v>
      </c>
      <c r="G169" s="9" t="s">
        <v>167</v>
      </c>
      <c r="H169" s="105"/>
      <c r="I169" s="95">
        <v>0</v>
      </c>
      <c r="J169" s="95">
        <v>0</v>
      </c>
      <c r="K169" s="95">
        <v>0</v>
      </c>
      <c r="L169" s="95">
        <v>0</v>
      </c>
      <c r="M169" s="95">
        <v>0</v>
      </c>
      <c r="N169" s="95">
        <v>0</v>
      </c>
      <c r="O169" s="95">
        <v>0</v>
      </c>
      <c r="P169" s="95">
        <v>0</v>
      </c>
      <c r="Q169" s="95">
        <v>0</v>
      </c>
      <c r="R169" s="95">
        <v>0</v>
      </c>
      <c r="S169" s="95">
        <v>0</v>
      </c>
      <c r="T169" s="95">
        <v>0</v>
      </c>
      <c r="U169" s="95">
        <v>0</v>
      </c>
      <c r="V169" s="95">
        <v>0</v>
      </c>
      <c r="W169" s="95">
        <v>0</v>
      </c>
      <c r="X169" s="95">
        <v>0</v>
      </c>
      <c r="Y169" s="95">
        <v>0</v>
      </c>
      <c r="Z169" s="95"/>
      <c r="AA169" s="8"/>
      <c r="AB169" s="8"/>
      <c r="AC169" s="8"/>
      <c r="AD169" s="8"/>
      <c r="AE169" s="11">
        <v>44199</v>
      </c>
      <c r="AF169" s="9"/>
      <c r="AG169" t="str">
        <f>VLOOKUP(OfficeForms.Table[[#This Row],[Nama Proyek]],'Nama Proyek'!$D$2:$G$29,4,0)</f>
        <v>2.426249030,128.29766314</v>
      </c>
      <c r="AH169" s="5"/>
      <c r="AI169" s="5"/>
      <c r="AJ169" s="5"/>
      <c r="AK169" s="5" t="s">
        <v>417</v>
      </c>
    </row>
    <row r="170" spans="1:37" ht="15" hidden="1" customHeight="1">
      <c r="A170" s="50">
        <v>184</v>
      </c>
      <c r="B170" s="111">
        <v>44737</v>
      </c>
      <c r="C170" s="29">
        <f>B170</f>
        <v>44737</v>
      </c>
      <c r="D170" s="9" t="s">
        <v>37</v>
      </c>
      <c r="E170" s="9" t="s">
        <v>278</v>
      </c>
      <c r="F170" s="5" t="str">
        <f>E170</f>
        <v>Teddy Pradana</v>
      </c>
      <c r="G170" s="9" t="s">
        <v>167</v>
      </c>
      <c r="H170" s="105"/>
      <c r="I170" s="94">
        <v>0</v>
      </c>
      <c r="J170" s="94">
        <v>0</v>
      </c>
      <c r="K170" s="94">
        <v>0</v>
      </c>
      <c r="L170" s="94">
        <v>0</v>
      </c>
      <c r="M170" s="94">
        <v>0</v>
      </c>
      <c r="N170" s="94">
        <v>0</v>
      </c>
      <c r="O170" s="94">
        <v>0</v>
      </c>
      <c r="P170" s="94">
        <v>0</v>
      </c>
      <c r="Q170" s="94">
        <v>0</v>
      </c>
      <c r="R170" s="94">
        <v>0</v>
      </c>
      <c r="S170" s="94">
        <v>0</v>
      </c>
      <c r="T170" s="94">
        <v>0</v>
      </c>
      <c r="U170" s="94">
        <v>0</v>
      </c>
      <c r="V170" s="94">
        <v>0</v>
      </c>
      <c r="W170" s="94">
        <v>0</v>
      </c>
      <c r="X170" s="94">
        <v>0</v>
      </c>
      <c r="Y170" s="94">
        <v>0</v>
      </c>
      <c r="Z170" s="94"/>
      <c r="AA170" s="9"/>
      <c r="AB170" s="9" t="s">
        <v>418</v>
      </c>
      <c r="AC170" s="9"/>
      <c r="AD170" s="9"/>
      <c r="AE170" s="12"/>
      <c r="AF170" s="8" t="s">
        <v>419</v>
      </c>
      <c r="AG170" t="str">
        <f>VLOOKUP(OfficeForms.Table[[#This Row],[Nama Proyek]],'Nama Proyek'!$D$2:$G$29,4,0)</f>
        <v>2.426249030,128.29766314</v>
      </c>
      <c r="AH170" s="5"/>
      <c r="AI170" s="5"/>
      <c r="AJ170" s="5"/>
      <c r="AK170" s="5" t="s">
        <v>420</v>
      </c>
    </row>
    <row r="171" spans="1:37" ht="15" hidden="1" customHeight="1">
      <c r="A171" s="30">
        <v>189</v>
      </c>
      <c r="B171" s="110">
        <v>44737</v>
      </c>
      <c r="C171" s="28">
        <f>B171</f>
        <v>44737</v>
      </c>
      <c r="D171" s="8" t="s">
        <v>37</v>
      </c>
      <c r="E171" s="8" t="s">
        <v>79</v>
      </c>
      <c r="F171" s="5" t="str">
        <f>E171</f>
        <v>Fajar Sodiq Febriansyah</v>
      </c>
      <c r="G171" s="38" t="s">
        <v>80</v>
      </c>
      <c r="H171" s="105"/>
      <c r="I171" s="95">
        <v>0</v>
      </c>
      <c r="J171" s="95">
        <v>0</v>
      </c>
      <c r="K171" s="95">
        <v>0</v>
      </c>
      <c r="L171" s="95">
        <v>0</v>
      </c>
      <c r="M171" s="95">
        <v>0</v>
      </c>
      <c r="N171" s="95">
        <v>0</v>
      </c>
      <c r="O171" s="95">
        <v>0</v>
      </c>
      <c r="P171" s="95">
        <v>0</v>
      </c>
      <c r="Q171" s="95">
        <v>0</v>
      </c>
      <c r="R171" s="95">
        <v>0</v>
      </c>
      <c r="S171" s="95">
        <v>0</v>
      </c>
      <c r="T171" s="95">
        <v>0</v>
      </c>
      <c r="U171" s="95">
        <v>0</v>
      </c>
      <c r="V171" s="95">
        <v>0</v>
      </c>
      <c r="W171" s="95">
        <v>0</v>
      </c>
      <c r="X171" s="95">
        <v>0</v>
      </c>
      <c r="Y171" s="95">
        <v>0</v>
      </c>
      <c r="Z171" s="95"/>
      <c r="AA171" s="8" t="s">
        <v>421</v>
      </c>
      <c r="AB171" s="8" t="s">
        <v>261</v>
      </c>
      <c r="AC171" s="8" t="s">
        <v>422</v>
      </c>
      <c r="AD171" s="8" t="s">
        <v>423</v>
      </c>
      <c r="AE171" s="11"/>
      <c r="AF171" s="62" t="s">
        <v>424</v>
      </c>
      <c r="AG171" t="str">
        <f>VLOOKUP(OfficeForms.Table[[#This Row],[Nama Proyek]],'Nama Proyek'!$D$2:$G$29,4,0)</f>
        <v>-7.82225167,113.29968319</v>
      </c>
      <c r="AH171" s="5"/>
      <c r="AI171" s="5"/>
      <c r="AJ171" s="5"/>
      <c r="AK171" s="5" t="s">
        <v>425</v>
      </c>
    </row>
    <row r="172" spans="1:37" ht="15" hidden="1" customHeight="1">
      <c r="A172" s="31">
        <v>195</v>
      </c>
      <c r="B172" s="110">
        <v>44737</v>
      </c>
      <c r="C172" s="28">
        <f>B172</f>
        <v>44737</v>
      </c>
      <c r="D172" s="19" t="s">
        <v>37</v>
      </c>
      <c r="E172" s="19" t="s">
        <v>166</v>
      </c>
      <c r="F172" s="5" t="str">
        <f>E172</f>
        <v>Ganis Satria Pratama</v>
      </c>
      <c r="G172" s="9" t="s">
        <v>167</v>
      </c>
      <c r="H172" s="105"/>
      <c r="I172" s="96">
        <v>0</v>
      </c>
      <c r="J172" s="96">
        <v>0</v>
      </c>
      <c r="K172" s="96">
        <v>0</v>
      </c>
      <c r="L172" s="96">
        <v>0</v>
      </c>
      <c r="M172" s="96">
        <v>0</v>
      </c>
      <c r="N172" s="96">
        <v>0</v>
      </c>
      <c r="O172" s="96">
        <v>0</v>
      </c>
      <c r="P172" s="96">
        <v>0</v>
      </c>
      <c r="Q172" s="96">
        <v>0</v>
      </c>
      <c r="R172" s="96">
        <v>0</v>
      </c>
      <c r="S172" s="96">
        <v>0</v>
      </c>
      <c r="T172" s="96">
        <v>0</v>
      </c>
      <c r="U172" s="96">
        <v>0</v>
      </c>
      <c r="V172" s="96">
        <v>0</v>
      </c>
      <c r="W172" s="96">
        <v>0</v>
      </c>
      <c r="X172" s="96">
        <v>0</v>
      </c>
      <c r="Y172" s="96">
        <v>0</v>
      </c>
      <c r="Z172" s="96"/>
      <c r="AA172" s="19"/>
      <c r="AB172" s="19"/>
      <c r="AC172" s="19"/>
      <c r="AD172" s="19"/>
      <c r="AE172" s="24">
        <v>44566</v>
      </c>
      <c r="AF172" s="15" t="s">
        <v>274</v>
      </c>
      <c r="AG172" t="str">
        <f>VLOOKUP(OfficeForms.Table[[#This Row],[Nama Proyek]],'Nama Proyek'!$D$2:$G$29,4,0)</f>
        <v>2.426249030,128.29766314</v>
      </c>
      <c r="AH172" s="5"/>
      <c r="AI172" s="5"/>
      <c r="AJ172" s="5"/>
      <c r="AK172" s="5" t="s">
        <v>426</v>
      </c>
    </row>
    <row r="173" spans="1:37" ht="15" hidden="1" customHeight="1">
      <c r="A173" s="31">
        <v>196</v>
      </c>
      <c r="B173" s="111">
        <v>44737</v>
      </c>
      <c r="C173" s="29">
        <f>B173</f>
        <v>44737</v>
      </c>
      <c r="D173" s="8" t="s">
        <v>37</v>
      </c>
      <c r="E173" s="8" t="s">
        <v>166</v>
      </c>
      <c r="F173" s="5" t="str">
        <f>E173</f>
        <v>Ganis Satria Pratama</v>
      </c>
      <c r="G173" s="9" t="s">
        <v>167</v>
      </c>
      <c r="H173" s="105"/>
      <c r="I173" s="95">
        <v>0</v>
      </c>
      <c r="J173" s="95">
        <v>0</v>
      </c>
      <c r="K173" s="95">
        <v>0</v>
      </c>
      <c r="L173" s="95">
        <v>0</v>
      </c>
      <c r="M173" s="95">
        <v>0</v>
      </c>
      <c r="N173" s="95">
        <v>0</v>
      </c>
      <c r="O173" s="95">
        <v>0</v>
      </c>
      <c r="P173" s="95">
        <v>0</v>
      </c>
      <c r="Q173" s="95">
        <v>0</v>
      </c>
      <c r="R173" s="95">
        <v>0</v>
      </c>
      <c r="S173" s="95">
        <v>0</v>
      </c>
      <c r="T173" s="95">
        <v>0</v>
      </c>
      <c r="U173" s="95">
        <v>0</v>
      </c>
      <c r="V173" s="95">
        <v>0</v>
      </c>
      <c r="W173" s="95">
        <v>0</v>
      </c>
      <c r="X173" s="95">
        <v>0</v>
      </c>
      <c r="Y173" s="95">
        <v>0</v>
      </c>
      <c r="Z173" s="95"/>
      <c r="AA173" s="8"/>
      <c r="AB173" s="8"/>
      <c r="AC173" s="15"/>
      <c r="AD173" s="15"/>
      <c r="AE173" s="16">
        <v>44208</v>
      </c>
      <c r="AF173" s="8"/>
      <c r="AG173" t="str">
        <f>VLOOKUP(OfficeForms.Table[[#This Row],[Nama Proyek]],'Nama Proyek'!$D$2:$G$29,4,0)</f>
        <v>2.426249030,128.29766314</v>
      </c>
      <c r="AH173" s="5"/>
      <c r="AI173" s="5"/>
      <c r="AJ173" s="5"/>
      <c r="AK173" s="5" t="s">
        <v>427</v>
      </c>
    </row>
    <row r="174" spans="1:37" ht="15" hidden="1" customHeight="1">
      <c r="A174">
        <v>200</v>
      </c>
      <c r="B174" s="111">
        <v>44738</v>
      </c>
      <c r="C174" s="29">
        <f>B174</f>
        <v>44738</v>
      </c>
      <c r="D174" s="9" t="s">
        <v>37</v>
      </c>
      <c r="E174" s="9" t="s">
        <v>428</v>
      </c>
      <c r="F174" s="5" t="str">
        <f>E174</f>
        <v>FITRI WAHYUDI</v>
      </c>
      <c r="G174" s="9" t="s">
        <v>86</v>
      </c>
      <c r="H174" s="105"/>
      <c r="I174" s="94">
        <v>0</v>
      </c>
      <c r="J174" s="94">
        <v>0</v>
      </c>
      <c r="K174" s="94">
        <v>0</v>
      </c>
      <c r="L174" s="94">
        <v>0</v>
      </c>
      <c r="M174" s="94">
        <v>0</v>
      </c>
      <c r="N174" s="94">
        <v>0</v>
      </c>
      <c r="O174" s="94">
        <v>0</v>
      </c>
      <c r="P174" s="94">
        <v>0</v>
      </c>
      <c r="Q174" s="94">
        <v>0</v>
      </c>
      <c r="R174" s="94">
        <v>0</v>
      </c>
      <c r="S174" s="94">
        <v>0</v>
      </c>
      <c r="T174" s="94">
        <v>0</v>
      </c>
      <c r="U174" s="94">
        <v>0</v>
      </c>
      <c r="V174" s="94">
        <v>0</v>
      </c>
      <c r="W174" s="94">
        <v>0</v>
      </c>
      <c r="X174" s="94">
        <v>0</v>
      </c>
      <c r="Y174" s="94">
        <v>0</v>
      </c>
      <c r="Z174" s="94"/>
      <c r="AA174" s="40" t="s">
        <v>429</v>
      </c>
      <c r="AB174" s="9" t="s">
        <v>430</v>
      </c>
      <c r="AC174" s="40" t="s">
        <v>431</v>
      </c>
      <c r="AD174" s="40" t="s">
        <v>432</v>
      </c>
      <c r="AE174" s="12" t="e" vm="1">
        <f>[1]!OfficeForms.Table[[#This Row],[Waktu selesai]]</f>
        <v>#REF!</v>
      </c>
      <c r="AF174" s="15"/>
      <c r="AG174" t="e">
        <f>VLOOKUP(OfficeForms.Table[[#This Row],[Nama Proyek]],'Nama Proyek'!$D$2:$G$29,4,0)</f>
        <v>#N/A</v>
      </c>
      <c r="AH174" s="5"/>
      <c r="AI174" s="5"/>
      <c r="AJ174" s="5"/>
      <c r="AK174" s="5" t="s">
        <v>433</v>
      </c>
    </row>
    <row r="175" spans="1:37" ht="15" hidden="1" customHeight="1">
      <c r="A175">
        <v>201</v>
      </c>
      <c r="B175" s="110">
        <v>44739</v>
      </c>
      <c r="C175" s="28">
        <f>B175</f>
        <v>44739</v>
      </c>
      <c r="D175" s="8" t="s">
        <v>37</v>
      </c>
      <c r="E175" s="8" t="s">
        <v>85</v>
      </c>
      <c r="F175" s="5" t="str">
        <f>E175</f>
        <v>Nungki Herdiana</v>
      </c>
      <c r="G175" s="19" t="s">
        <v>86</v>
      </c>
      <c r="H175" s="105">
        <v>44738</v>
      </c>
      <c r="I175" s="95">
        <v>49.12</v>
      </c>
      <c r="J175" s="95">
        <v>54.27</v>
      </c>
      <c r="K175" s="95">
        <v>34.85</v>
      </c>
      <c r="L175" s="95">
        <v>511.59</v>
      </c>
      <c r="M175" s="95">
        <v>0</v>
      </c>
      <c r="N175" s="95">
        <v>133.04</v>
      </c>
      <c r="O175" s="95">
        <v>179.31</v>
      </c>
      <c r="P175" s="95">
        <v>46.01</v>
      </c>
      <c r="Q175" s="95">
        <v>0</v>
      </c>
      <c r="R175" s="95">
        <v>0</v>
      </c>
      <c r="S175" s="95">
        <v>0</v>
      </c>
      <c r="T175" s="95">
        <v>0</v>
      </c>
      <c r="U175" s="95">
        <v>0</v>
      </c>
      <c r="V175" s="95">
        <v>0</v>
      </c>
      <c r="W175" s="95">
        <v>0</v>
      </c>
      <c r="X175" s="95">
        <v>0</v>
      </c>
      <c r="Y175" s="95">
        <v>0</v>
      </c>
      <c r="Z175" s="95"/>
      <c r="AA175" s="8"/>
      <c r="AB175" s="8"/>
      <c r="AC175" s="8"/>
      <c r="AD175" s="8"/>
      <c r="AE175" s="16"/>
      <c r="AF175" s="15" t="s">
        <v>434</v>
      </c>
      <c r="AG175" t="e">
        <f>VLOOKUP(OfficeForms.Table[[#This Row],[Nama Proyek]],'Nama Proyek'!$D$2:$G$29,4,0)</f>
        <v>#N/A</v>
      </c>
      <c r="AH175" s="5"/>
      <c r="AI175" s="5"/>
      <c r="AJ175" s="5"/>
      <c r="AK175" s="5" t="s">
        <v>435</v>
      </c>
    </row>
    <row r="176" spans="1:37" ht="15" customHeight="1">
      <c r="A176" s="31">
        <v>106</v>
      </c>
      <c r="B176" s="111">
        <v>44740</v>
      </c>
      <c r="C176" s="29">
        <f>B176</f>
        <v>44740</v>
      </c>
      <c r="D176" s="9" t="s">
        <v>46</v>
      </c>
      <c r="E176" s="9" t="s">
        <v>252</v>
      </c>
      <c r="F176" s="5" t="str">
        <f>E176</f>
        <v>Ali Amirrudin A</v>
      </c>
      <c r="G176" s="9" t="s">
        <v>55</v>
      </c>
      <c r="H176" s="104">
        <v>44470</v>
      </c>
      <c r="I176" s="94">
        <v>55.69</v>
      </c>
      <c r="J176" s="94">
        <v>58.7</v>
      </c>
      <c r="K176" s="94">
        <v>30.37</v>
      </c>
      <c r="L176" s="94">
        <v>63.46</v>
      </c>
      <c r="M176" s="94">
        <v>56.72</v>
      </c>
      <c r="N176" s="94">
        <v>97.17</v>
      </c>
      <c r="O176" s="94">
        <v>24.73</v>
      </c>
      <c r="P176" s="94">
        <v>50.29</v>
      </c>
      <c r="Q176" s="94">
        <v>23.16</v>
      </c>
      <c r="R176" s="94">
        <v>27.17</v>
      </c>
      <c r="S176" s="94">
        <v>81.13</v>
      </c>
      <c r="T176" s="94">
        <v>0</v>
      </c>
      <c r="U176" s="94">
        <v>8.02</v>
      </c>
      <c r="V176" s="94">
        <v>0</v>
      </c>
      <c r="W176" s="94">
        <v>0</v>
      </c>
      <c r="X176" s="94">
        <v>38.49</v>
      </c>
      <c r="Y176" s="94">
        <v>0</v>
      </c>
      <c r="Z176" s="94"/>
      <c r="AA176" s="9"/>
      <c r="AB176" s="9"/>
      <c r="AC176" s="9"/>
      <c r="AD176" s="9"/>
      <c r="AE176" s="18"/>
      <c r="AF176" s="8"/>
      <c r="AG176" t="str">
        <f>VLOOKUP(OfficeForms.Table[[#This Row],[Nama Proyek]],'Nama Proyek'!$D$2:$G$29,4,0)</f>
        <v>-6.42873464,107.19897003</v>
      </c>
      <c r="AH176" s="5"/>
      <c r="AI176" s="5"/>
      <c r="AJ176" s="5"/>
      <c r="AK176" s="5" t="s">
        <v>436</v>
      </c>
    </row>
    <row r="177" spans="1:37" ht="15" customHeight="1">
      <c r="A177" s="30">
        <v>107</v>
      </c>
      <c r="B177" s="110">
        <v>44740</v>
      </c>
      <c r="C177" s="28">
        <f>B177</f>
        <v>44740</v>
      </c>
      <c r="D177" s="8" t="s">
        <v>46</v>
      </c>
      <c r="E177" s="8" t="s">
        <v>252</v>
      </c>
      <c r="F177" s="5" t="str">
        <f>E177</f>
        <v>Ali Amirrudin A</v>
      </c>
      <c r="G177" s="19" t="s">
        <v>55</v>
      </c>
      <c r="H177" s="105">
        <v>44501</v>
      </c>
      <c r="I177" s="95">
        <v>54.74</v>
      </c>
      <c r="J177" s="95">
        <v>54.63</v>
      </c>
      <c r="K177" s="95">
        <v>26.91</v>
      </c>
      <c r="L177" s="95">
        <v>63.46</v>
      </c>
      <c r="M177" s="95">
        <v>59.64</v>
      </c>
      <c r="N177" s="95">
        <v>65.069999999999993</v>
      </c>
      <c r="O177" s="95">
        <v>22.61</v>
      </c>
      <c r="P177" s="95">
        <v>50.29</v>
      </c>
      <c r="Q177" s="95">
        <v>22.59</v>
      </c>
      <c r="R177" s="95">
        <v>30.38</v>
      </c>
      <c r="S177" s="95">
        <v>73.89</v>
      </c>
      <c r="T177" s="95">
        <v>0</v>
      </c>
      <c r="U177" s="95">
        <v>7.96</v>
      </c>
      <c r="V177" s="95">
        <v>6.3</v>
      </c>
      <c r="W177" s="95">
        <v>0</v>
      </c>
      <c r="X177" s="95">
        <v>50.29</v>
      </c>
      <c r="Y177" s="95">
        <v>0</v>
      </c>
      <c r="Z177" s="95"/>
      <c r="AA177" s="8"/>
      <c r="AB177" s="8"/>
      <c r="AC177" s="8"/>
      <c r="AD177" s="8"/>
      <c r="AE177" s="11"/>
      <c r="AF177" s="8" t="s">
        <v>437</v>
      </c>
      <c r="AG177" t="str">
        <f>VLOOKUP(OfficeForms.Table[[#This Row],[Nama Proyek]],'Nama Proyek'!$D$2:$G$29,4,0)</f>
        <v>-6.42873464,107.19897003</v>
      </c>
      <c r="AH177" s="5"/>
      <c r="AI177" s="5"/>
      <c r="AJ177" s="5"/>
      <c r="AK177" s="5" t="s">
        <v>438</v>
      </c>
    </row>
    <row r="178" spans="1:37" ht="15" customHeight="1">
      <c r="A178" s="30">
        <v>115</v>
      </c>
      <c r="B178" s="110">
        <v>44740</v>
      </c>
      <c r="C178" s="28">
        <f>B178</f>
        <v>44740</v>
      </c>
      <c r="D178" s="8" t="s">
        <v>46</v>
      </c>
      <c r="E178" s="8" t="s">
        <v>252</v>
      </c>
      <c r="F178" s="5" t="str">
        <f>E178</f>
        <v>Ali Amirrudin A</v>
      </c>
      <c r="G178" s="19" t="s">
        <v>55</v>
      </c>
      <c r="H178" s="105">
        <v>44531</v>
      </c>
      <c r="I178" s="95">
        <v>59.77</v>
      </c>
      <c r="J178" s="95">
        <v>59.77</v>
      </c>
      <c r="K178" s="95">
        <v>26.91</v>
      </c>
      <c r="L178" s="95">
        <v>63.46</v>
      </c>
      <c r="M178" s="95">
        <v>64.59</v>
      </c>
      <c r="N178" s="95">
        <v>73.510000000000005</v>
      </c>
      <c r="O178" s="95">
        <v>24.01</v>
      </c>
      <c r="P178" s="95">
        <v>50.29</v>
      </c>
      <c r="Q178" s="95">
        <v>49</v>
      </c>
      <c r="R178" s="95">
        <v>39.67</v>
      </c>
      <c r="S178" s="95">
        <v>78.099999999999994</v>
      </c>
      <c r="T178" s="95">
        <v>0</v>
      </c>
      <c r="U178" s="95">
        <v>9.98</v>
      </c>
      <c r="V178" s="95">
        <v>6.3</v>
      </c>
      <c r="W178" s="95">
        <v>0</v>
      </c>
      <c r="X178" s="95">
        <v>48.49</v>
      </c>
      <c r="Y178" s="95">
        <v>0</v>
      </c>
      <c r="Z178" s="95"/>
      <c r="AA178" s="8"/>
      <c r="AB178" s="8"/>
      <c r="AC178" s="8"/>
      <c r="AD178" s="8"/>
      <c r="AE178" s="11"/>
      <c r="AF178" s="41" t="s">
        <v>439</v>
      </c>
      <c r="AG178" t="str">
        <f>VLOOKUP(OfficeForms.Table[[#This Row],[Nama Proyek]],'Nama Proyek'!$D$2:$G$29,4,0)</f>
        <v>-6.42873464,107.19897003</v>
      </c>
      <c r="AH178" s="5"/>
      <c r="AI178" s="5"/>
      <c r="AJ178" s="5"/>
      <c r="AK178" s="5" t="s">
        <v>440</v>
      </c>
    </row>
    <row r="179" spans="1:37" ht="15" customHeight="1">
      <c r="A179">
        <v>129</v>
      </c>
      <c r="B179" s="110">
        <v>44740</v>
      </c>
      <c r="C179" s="28">
        <f>B179</f>
        <v>44740</v>
      </c>
      <c r="D179" s="19" t="s">
        <v>46</v>
      </c>
      <c r="E179" s="19" t="s">
        <v>252</v>
      </c>
      <c r="F179" s="5" t="str">
        <f>E179</f>
        <v>Ali Amirrudin A</v>
      </c>
      <c r="G179" s="19" t="s">
        <v>55</v>
      </c>
      <c r="H179" s="106">
        <v>44586</v>
      </c>
      <c r="I179" s="96">
        <v>59.99</v>
      </c>
      <c r="J179" s="96">
        <v>60.03</v>
      </c>
      <c r="K179" s="96">
        <v>26.91</v>
      </c>
      <c r="L179" s="96">
        <v>70.569999999999993</v>
      </c>
      <c r="M179" s="96">
        <v>61.8</v>
      </c>
      <c r="N179" s="96">
        <v>74.44</v>
      </c>
      <c r="O179" s="96">
        <v>25.58</v>
      </c>
      <c r="P179" s="96">
        <v>50.29</v>
      </c>
      <c r="Q179" s="96">
        <v>46.45</v>
      </c>
      <c r="R179" s="96">
        <v>37.97</v>
      </c>
      <c r="S179" s="96">
        <v>80.5</v>
      </c>
      <c r="T179" s="96">
        <v>0</v>
      </c>
      <c r="U179" s="96">
        <v>11.86</v>
      </c>
      <c r="V179" s="96">
        <v>6.3</v>
      </c>
      <c r="W179" s="96">
        <v>0</v>
      </c>
      <c r="X179" s="96">
        <v>68.489999999999995</v>
      </c>
      <c r="Y179" s="96">
        <v>0</v>
      </c>
      <c r="Z179" s="96"/>
      <c r="AA179" s="19"/>
      <c r="AB179" s="19"/>
      <c r="AC179" s="19"/>
      <c r="AD179" s="19"/>
      <c r="AE179" s="13"/>
      <c r="AF179" s="8"/>
      <c r="AG179" t="str">
        <f>VLOOKUP(OfficeForms.Table[[#This Row],[Nama Proyek]],'Nama Proyek'!$D$2:$G$29,4,0)</f>
        <v>-6.42873464,107.19897003</v>
      </c>
      <c r="AH179" s="5"/>
      <c r="AI179" s="5"/>
      <c r="AJ179" s="5"/>
      <c r="AK179" s="5" t="s">
        <v>441</v>
      </c>
    </row>
    <row r="180" spans="1:37" ht="15" customHeight="1">
      <c r="A180" s="50">
        <v>130</v>
      </c>
      <c r="B180" s="111">
        <v>44740</v>
      </c>
      <c r="C180" s="29">
        <f>B180</f>
        <v>44740</v>
      </c>
      <c r="D180" s="8" t="s">
        <v>46</v>
      </c>
      <c r="E180" s="8" t="s">
        <v>252</v>
      </c>
      <c r="F180" s="5" t="str">
        <f>E180</f>
        <v>Ali Amirrudin A</v>
      </c>
      <c r="G180" s="9" t="s">
        <v>55</v>
      </c>
      <c r="H180" s="105">
        <v>44593</v>
      </c>
      <c r="I180" s="95">
        <v>63.13</v>
      </c>
      <c r="J180" s="95">
        <v>63.11</v>
      </c>
      <c r="K180" s="95">
        <v>27.49</v>
      </c>
      <c r="L180" s="95">
        <v>76.97</v>
      </c>
      <c r="M180" s="95">
        <v>63.56</v>
      </c>
      <c r="N180" s="95">
        <v>74.790000000000006</v>
      </c>
      <c r="O180" s="95">
        <v>28.11</v>
      </c>
      <c r="P180" s="95">
        <v>68.16</v>
      </c>
      <c r="Q180" s="95">
        <v>55.93</v>
      </c>
      <c r="R180" s="95">
        <v>44.96</v>
      </c>
      <c r="S180" s="95">
        <v>83.63</v>
      </c>
      <c r="T180" s="95">
        <v>0</v>
      </c>
      <c r="U180" s="95">
        <v>12.58</v>
      </c>
      <c r="V180" s="95">
        <v>6.3</v>
      </c>
      <c r="W180" s="95">
        <v>0</v>
      </c>
      <c r="X180" s="95">
        <v>76.489999999999995</v>
      </c>
      <c r="Y180" s="95">
        <v>0</v>
      </c>
      <c r="Z180" s="95"/>
      <c r="AA180" s="8"/>
      <c r="AB180" s="8"/>
      <c r="AC180" s="8"/>
      <c r="AD180" s="8"/>
      <c r="AE180" s="11"/>
      <c r="AF180" s="8"/>
      <c r="AG180" t="str">
        <f>VLOOKUP(OfficeForms.Table[[#This Row],[Nama Proyek]],'Nama Proyek'!$D$2:$G$29,4,0)</f>
        <v>-6.42873464,107.19897003</v>
      </c>
      <c r="AH180" s="5"/>
      <c r="AI180" s="5"/>
      <c r="AJ180" s="5"/>
      <c r="AK180" s="5" t="s">
        <v>442</v>
      </c>
    </row>
    <row r="181" spans="1:37" ht="15" hidden="1" customHeight="1">
      <c r="A181" s="31">
        <v>132</v>
      </c>
      <c r="B181" s="111">
        <v>44740</v>
      </c>
      <c r="C181" s="29">
        <f>B181</f>
        <v>44740</v>
      </c>
      <c r="D181" s="9" t="s">
        <v>37</v>
      </c>
      <c r="E181" s="9" t="s">
        <v>54</v>
      </c>
      <c r="F181" s="5" t="str">
        <f>E181</f>
        <v>Haryo Widiandoko</v>
      </c>
      <c r="G181" s="9" t="s">
        <v>55</v>
      </c>
      <c r="H181" s="104">
        <v>44677</v>
      </c>
      <c r="I181" s="94">
        <v>68.578999999999994</v>
      </c>
      <c r="J181" s="94">
        <v>69.19</v>
      </c>
      <c r="K181" s="94">
        <v>27</v>
      </c>
      <c r="L181" s="94">
        <v>77</v>
      </c>
      <c r="M181" s="94">
        <v>71</v>
      </c>
      <c r="N181" s="94">
        <v>76</v>
      </c>
      <c r="O181" s="94">
        <v>32</v>
      </c>
      <c r="P181" s="94">
        <v>68</v>
      </c>
      <c r="Q181" s="94">
        <v>78</v>
      </c>
      <c r="R181" s="94">
        <v>58</v>
      </c>
      <c r="S181" s="94">
        <v>89</v>
      </c>
      <c r="T181" s="94">
        <v>0</v>
      </c>
      <c r="U181" s="94">
        <v>15</v>
      </c>
      <c r="V181" s="94">
        <v>6</v>
      </c>
      <c r="W181" s="94">
        <v>0</v>
      </c>
      <c r="X181" s="94">
        <v>76</v>
      </c>
      <c r="Y181" s="94">
        <v>0</v>
      </c>
      <c r="Z181" s="94"/>
      <c r="AA181" s="9"/>
      <c r="AB181" s="9"/>
      <c r="AC181" s="9"/>
      <c r="AD181" s="9"/>
      <c r="AE181" s="12"/>
      <c r="AF181" s="42"/>
      <c r="AG181" t="str">
        <f>VLOOKUP(OfficeForms.Table[[#This Row],[Nama Proyek]],'Nama Proyek'!$D$2:$G$29,4,0)</f>
        <v>-6.42873464,107.19897003</v>
      </c>
      <c r="AH181" s="5"/>
      <c r="AI181" s="5"/>
      <c r="AJ181" s="5"/>
      <c r="AK181" s="5" t="s">
        <v>443</v>
      </c>
    </row>
    <row r="182" spans="1:37" ht="15" hidden="1" customHeight="1">
      <c r="A182" s="31">
        <v>165</v>
      </c>
      <c r="B182" s="110">
        <v>44740</v>
      </c>
      <c r="C182" s="28">
        <f>B182</f>
        <v>44740</v>
      </c>
      <c r="D182" s="8" t="s">
        <v>37</v>
      </c>
      <c r="E182" s="8" t="s">
        <v>54</v>
      </c>
      <c r="F182" s="5" t="str">
        <f>E182</f>
        <v>Haryo Widiandoko</v>
      </c>
      <c r="G182" s="19" t="s">
        <v>55</v>
      </c>
      <c r="H182" s="105">
        <v>44737</v>
      </c>
      <c r="I182" s="95">
        <v>73.34</v>
      </c>
      <c r="J182" s="95">
        <v>75.783000000000001</v>
      </c>
      <c r="K182" s="95">
        <v>27.49</v>
      </c>
      <c r="L182" s="95">
        <v>76.97</v>
      </c>
      <c r="M182" s="95">
        <v>70.290000000000006</v>
      </c>
      <c r="N182" s="95">
        <v>77.42</v>
      </c>
      <c r="O182" s="95">
        <v>37.049999999999997</v>
      </c>
      <c r="P182" s="95">
        <v>68.16</v>
      </c>
      <c r="Q182" s="95">
        <v>70.17</v>
      </c>
      <c r="R182" s="95">
        <v>62.65</v>
      </c>
      <c r="S182" s="95">
        <v>95.28</v>
      </c>
      <c r="T182" s="95">
        <v>0</v>
      </c>
      <c r="U182" s="95">
        <v>21.77</v>
      </c>
      <c r="V182" s="95">
        <v>6.3</v>
      </c>
      <c r="W182" s="95">
        <v>0</v>
      </c>
      <c r="X182" s="95">
        <v>78.489999999999995</v>
      </c>
      <c r="Y182" s="95">
        <v>0</v>
      </c>
      <c r="Z182" s="95"/>
      <c r="AA182" s="8"/>
      <c r="AB182" s="8"/>
      <c r="AC182" s="8"/>
      <c r="AD182" s="15"/>
      <c r="AE182" s="16"/>
      <c r="AF182" s="17"/>
      <c r="AG182" t="str">
        <f>VLOOKUP(OfficeForms.Table[[#This Row],[Nama Proyek]],'Nama Proyek'!$D$2:$G$29,4,0)</f>
        <v>-6.42873464,107.19897003</v>
      </c>
      <c r="AH182" s="5"/>
      <c r="AI182" s="5"/>
      <c r="AJ182" s="5"/>
      <c r="AK182" s="5" t="s">
        <v>444</v>
      </c>
    </row>
    <row r="183" spans="1:37" ht="15" hidden="1" customHeight="1">
      <c r="A183" s="30">
        <v>161</v>
      </c>
      <c r="B183" s="110">
        <v>44740</v>
      </c>
      <c r="C183" s="28">
        <f>B183</f>
        <v>44740</v>
      </c>
      <c r="D183" s="8" t="s">
        <v>37</v>
      </c>
      <c r="E183" s="8" t="s">
        <v>64</v>
      </c>
      <c r="F183" s="5" t="str">
        <f>E183</f>
        <v>Nizar Zulkarnain</v>
      </c>
      <c r="G183" s="19" t="s">
        <v>65</v>
      </c>
      <c r="H183" s="106"/>
      <c r="I183" s="95">
        <v>0</v>
      </c>
      <c r="J183" s="95">
        <v>0</v>
      </c>
      <c r="K183" s="95">
        <v>0</v>
      </c>
      <c r="L183" s="95">
        <v>0</v>
      </c>
      <c r="M183" s="95">
        <v>0</v>
      </c>
      <c r="N183" s="95">
        <v>0</v>
      </c>
      <c r="O183" s="95">
        <v>0</v>
      </c>
      <c r="P183" s="95">
        <v>0</v>
      </c>
      <c r="Q183" s="95">
        <v>0</v>
      </c>
      <c r="R183" s="95">
        <v>0</v>
      </c>
      <c r="S183" s="95">
        <v>0</v>
      </c>
      <c r="T183" s="95">
        <v>0</v>
      </c>
      <c r="U183" s="95">
        <v>0</v>
      </c>
      <c r="V183" s="95">
        <v>0</v>
      </c>
      <c r="W183" s="95">
        <v>0</v>
      </c>
      <c r="X183" s="95">
        <v>0</v>
      </c>
      <c r="Y183" s="95">
        <v>0</v>
      </c>
      <c r="Z183" s="95"/>
      <c r="AA183" s="8"/>
      <c r="AB183" s="8"/>
      <c r="AC183" s="8" t="s">
        <v>445</v>
      </c>
      <c r="AD183" s="8"/>
      <c r="AE183" s="16"/>
      <c r="AF183" s="8"/>
      <c r="AG183" t="str">
        <f>VLOOKUP(OfficeForms.Table[[#This Row],[Nama Proyek]],'Nama Proyek'!$D$2:$G$29,4,0)</f>
        <v>-6.35008011,107.02324233</v>
      </c>
      <c r="AH183" s="5"/>
      <c r="AI183" s="5"/>
      <c r="AJ183" s="5"/>
      <c r="AK183" s="5" t="s">
        <v>446</v>
      </c>
    </row>
    <row r="184" spans="1:37" ht="15" hidden="1" customHeight="1">
      <c r="A184">
        <v>162</v>
      </c>
      <c r="B184" s="111">
        <v>44740</v>
      </c>
      <c r="C184" s="29">
        <f>B184</f>
        <v>44740</v>
      </c>
      <c r="D184" s="8" t="s">
        <v>37</v>
      </c>
      <c r="E184" s="8" t="s">
        <v>64</v>
      </c>
      <c r="F184" s="5" t="str">
        <f>E184</f>
        <v>Nizar Zulkarnain</v>
      </c>
      <c r="G184" s="9" t="s">
        <v>65</v>
      </c>
      <c r="H184" s="104"/>
      <c r="I184" s="95">
        <v>0</v>
      </c>
      <c r="J184" s="95">
        <v>0</v>
      </c>
      <c r="K184" s="95">
        <v>0</v>
      </c>
      <c r="L184" s="95">
        <v>0</v>
      </c>
      <c r="M184" s="95">
        <v>0</v>
      </c>
      <c r="N184" s="95">
        <v>0</v>
      </c>
      <c r="O184" s="95">
        <v>0</v>
      </c>
      <c r="P184" s="95">
        <v>0</v>
      </c>
      <c r="Q184" s="95">
        <v>0</v>
      </c>
      <c r="R184" s="95">
        <v>0</v>
      </c>
      <c r="S184" s="95">
        <v>0</v>
      </c>
      <c r="T184" s="95">
        <v>0</v>
      </c>
      <c r="U184" s="95">
        <v>0</v>
      </c>
      <c r="V184" s="95">
        <v>0</v>
      </c>
      <c r="W184" s="95">
        <v>0</v>
      </c>
      <c r="X184" s="95">
        <v>0</v>
      </c>
      <c r="Y184" s="95">
        <v>0</v>
      </c>
      <c r="Z184" s="95"/>
      <c r="AA184" s="8"/>
      <c r="AB184" s="8" t="s">
        <v>447</v>
      </c>
      <c r="AC184" s="8"/>
      <c r="AD184" s="8"/>
      <c r="AE184" s="11"/>
      <c r="AF184" s="8"/>
      <c r="AG184" t="str">
        <f>VLOOKUP(OfficeForms.Table[[#This Row],[Nama Proyek]],'Nama Proyek'!$D$2:$G$29,4,0)</f>
        <v>-6.35008011,107.02324233</v>
      </c>
      <c r="AH184" s="5"/>
      <c r="AI184" s="5"/>
      <c r="AJ184" s="5"/>
      <c r="AK184" s="5" t="s">
        <v>448</v>
      </c>
    </row>
    <row r="185" spans="1:37" ht="15" hidden="1" customHeight="1">
      <c r="A185" s="50">
        <v>61</v>
      </c>
      <c r="B185" s="110">
        <v>44741</v>
      </c>
      <c r="C185" s="28">
        <f>B185</f>
        <v>44741</v>
      </c>
      <c r="D185" s="19" t="s">
        <v>37</v>
      </c>
      <c r="E185" s="19" t="s">
        <v>64</v>
      </c>
      <c r="F185" s="5" t="str">
        <f>E185</f>
        <v>Nizar Zulkarnain</v>
      </c>
      <c r="G185" s="19" t="s">
        <v>65</v>
      </c>
      <c r="H185" s="106"/>
      <c r="I185" s="96">
        <v>0</v>
      </c>
      <c r="J185" s="96">
        <v>0</v>
      </c>
      <c r="K185" s="96">
        <v>0</v>
      </c>
      <c r="L185" s="96">
        <v>0</v>
      </c>
      <c r="M185" s="96">
        <v>0</v>
      </c>
      <c r="N185" s="96">
        <v>0</v>
      </c>
      <c r="O185" s="96">
        <v>0</v>
      </c>
      <c r="P185" s="96">
        <v>0</v>
      </c>
      <c r="Q185" s="96">
        <v>0</v>
      </c>
      <c r="R185" s="96">
        <v>0</v>
      </c>
      <c r="S185" s="96">
        <v>0</v>
      </c>
      <c r="T185" s="96">
        <v>0</v>
      </c>
      <c r="U185" s="96">
        <v>0</v>
      </c>
      <c r="V185" s="96">
        <v>0</v>
      </c>
      <c r="W185" s="96">
        <v>0</v>
      </c>
      <c r="X185" s="96">
        <v>0</v>
      </c>
      <c r="Y185" s="96">
        <v>0</v>
      </c>
      <c r="Z185" s="96"/>
      <c r="AA185" s="19" t="s">
        <v>449</v>
      </c>
      <c r="AB185" s="19"/>
      <c r="AC185" s="19"/>
      <c r="AD185" s="19"/>
      <c r="AE185" s="13"/>
      <c r="AF185" s="46" t="s">
        <v>450</v>
      </c>
      <c r="AG185" t="str">
        <f>VLOOKUP(OfficeForms.Table[[#This Row],[Nama Proyek]],'Nama Proyek'!$D$2:$G$29,4,0)</f>
        <v>-6.35008011,107.02324233</v>
      </c>
      <c r="AH185" s="5"/>
      <c r="AI185" s="5"/>
      <c r="AJ185" s="5"/>
      <c r="AK185" s="5" t="s">
        <v>451</v>
      </c>
    </row>
    <row r="186" spans="1:37" ht="15" hidden="1" customHeight="1">
      <c r="A186" s="31">
        <v>103</v>
      </c>
      <c r="B186" s="110">
        <v>44741</v>
      </c>
      <c r="C186" s="28">
        <f>B186</f>
        <v>44741</v>
      </c>
      <c r="D186" s="19" t="s">
        <v>37</v>
      </c>
      <c r="E186" s="19" t="s">
        <v>64</v>
      </c>
      <c r="F186" s="5" t="str">
        <f>E186</f>
        <v>Nizar Zulkarnain</v>
      </c>
      <c r="G186" s="19" t="s">
        <v>65</v>
      </c>
      <c r="H186" s="106"/>
      <c r="I186" s="96">
        <v>0</v>
      </c>
      <c r="J186" s="96">
        <v>0</v>
      </c>
      <c r="K186" s="96">
        <v>0</v>
      </c>
      <c r="L186" s="96">
        <v>0</v>
      </c>
      <c r="M186" s="96">
        <v>0</v>
      </c>
      <c r="N186" s="96">
        <v>0</v>
      </c>
      <c r="O186" s="96">
        <v>0</v>
      </c>
      <c r="P186" s="96">
        <v>0</v>
      </c>
      <c r="Q186" s="96">
        <v>0</v>
      </c>
      <c r="R186" s="96">
        <v>0</v>
      </c>
      <c r="S186" s="96">
        <v>0</v>
      </c>
      <c r="T186" s="96">
        <v>0</v>
      </c>
      <c r="U186" s="96">
        <v>0</v>
      </c>
      <c r="V186" s="96">
        <v>0</v>
      </c>
      <c r="W186" s="96">
        <v>0</v>
      </c>
      <c r="X186" s="96">
        <v>0</v>
      </c>
      <c r="Y186" s="96">
        <v>0</v>
      </c>
      <c r="Z186" s="96"/>
      <c r="AA186" s="19" t="s">
        <v>449</v>
      </c>
      <c r="AB186" s="19"/>
      <c r="AC186" s="42"/>
      <c r="AD186" s="42"/>
      <c r="AE186" s="24"/>
      <c r="AF186" s="9" t="s">
        <v>452</v>
      </c>
      <c r="AG186" t="str">
        <f>VLOOKUP(OfficeForms.Table[[#This Row],[Nama Proyek]],'Nama Proyek'!$D$2:$G$29,4,0)</f>
        <v>-6.35008011,107.02324233</v>
      </c>
      <c r="AH186" s="5"/>
      <c r="AI186" s="5"/>
      <c r="AJ186" s="5"/>
      <c r="AK186" s="5" t="s">
        <v>453</v>
      </c>
    </row>
    <row r="187" spans="1:37" ht="15" hidden="1" customHeight="1">
      <c r="A187" s="50">
        <v>751</v>
      </c>
      <c r="B187" s="110">
        <v>44741</v>
      </c>
      <c r="C187" s="28">
        <f>B187</f>
        <v>44741</v>
      </c>
      <c r="D187" s="19" t="s">
        <v>37</v>
      </c>
      <c r="E187" s="19" t="s">
        <v>79</v>
      </c>
      <c r="F187" s="5" t="str">
        <f>E187</f>
        <v>Fajar Sodiq Febriansyah</v>
      </c>
      <c r="G187" s="8" t="s">
        <v>80</v>
      </c>
      <c r="H187" s="106"/>
      <c r="I187" s="96">
        <v>0</v>
      </c>
      <c r="J187" s="96">
        <v>0</v>
      </c>
      <c r="K187" s="96">
        <v>0</v>
      </c>
      <c r="L187" s="96">
        <v>0</v>
      </c>
      <c r="M187" s="96">
        <v>0</v>
      </c>
      <c r="N187" s="96">
        <v>0</v>
      </c>
      <c r="O187" s="96">
        <v>0</v>
      </c>
      <c r="P187" s="96">
        <v>0</v>
      </c>
      <c r="Q187" s="96">
        <v>0</v>
      </c>
      <c r="R187" s="96">
        <v>0</v>
      </c>
      <c r="S187" s="96">
        <v>0</v>
      </c>
      <c r="T187" s="96">
        <v>0</v>
      </c>
      <c r="U187" s="96">
        <v>0</v>
      </c>
      <c r="V187" s="96">
        <v>0</v>
      </c>
      <c r="W187" s="96">
        <v>0</v>
      </c>
      <c r="X187" s="96">
        <v>0</v>
      </c>
      <c r="Y187" s="96">
        <v>0</v>
      </c>
      <c r="Z187" s="96"/>
      <c r="AA187" s="19"/>
      <c r="AB187" s="19"/>
      <c r="AC187" s="19"/>
      <c r="AD187" s="19"/>
      <c r="AE187" s="13" t="s">
        <v>454</v>
      </c>
      <c r="AF187" s="44" t="s">
        <v>455</v>
      </c>
      <c r="AG187" t="str">
        <f>VLOOKUP(OfficeForms.Table[[#This Row],[Nama Proyek]],'Nama Proyek'!$D$2:$G$29,4,0)</f>
        <v>-7.82225167,113.29968319</v>
      </c>
      <c r="AH187" s="5"/>
      <c r="AI187" s="5"/>
      <c r="AJ187" s="5"/>
      <c r="AK187" s="5" t="s">
        <v>456</v>
      </c>
    </row>
    <row r="188" spans="1:37" ht="15" hidden="1" customHeight="1">
      <c r="A188" s="50">
        <v>164</v>
      </c>
      <c r="B188" s="111">
        <v>44742</v>
      </c>
      <c r="C188" s="29">
        <f>B188</f>
        <v>44742</v>
      </c>
      <c r="D188" s="8" t="s">
        <v>37</v>
      </c>
      <c r="E188" s="8" t="s">
        <v>51</v>
      </c>
      <c r="F188" s="5" t="str">
        <f>E188</f>
        <v>Riezky Ibnu Prasetyo</v>
      </c>
      <c r="G188" s="8" t="s">
        <v>52</v>
      </c>
      <c r="H188" s="105">
        <v>44742</v>
      </c>
      <c r="I188" s="95">
        <v>89.42</v>
      </c>
      <c r="J188" s="95">
        <v>89.11</v>
      </c>
      <c r="K188" s="95">
        <v>0</v>
      </c>
      <c r="L188" s="95">
        <v>0</v>
      </c>
      <c r="M188" s="95">
        <v>0</v>
      </c>
      <c r="N188" s="95">
        <v>0</v>
      </c>
      <c r="O188" s="95">
        <v>0</v>
      </c>
      <c r="P188" s="95">
        <v>0</v>
      </c>
      <c r="Q188" s="95">
        <v>0</v>
      </c>
      <c r="R188" s="95">
        <v>0</v>
      </c>
      <c r="S188" s="95">
        <v>2.653</v>
      </c>
      <c r="T188" s="95">
        <v>0</v>
      </c>
      <c r="U188" s="95">
        <v>0</v>
      </c>
      <c r="V188" s="95">
        <v>0</v>
      </c>
      <c r="W188" s="95">
        <v>0</v>
      </c>
      <c r="X188" s="95">
        <v>0</v>
      </c>
      <c r="Y188" s="95">
        <v>0</v>
      </c>
      <c r="Z188" s="95"/>
      <c r="AA188" s="8"/>
      <c r="AB188" s="8"/>
      <c r="AC188" s="8"/>
      <c r="AD188" s="8"/>
      <c r="AE188" s="11"/>
      <c r="AF188" s="8"/>
      <c r="AG188" t="str">
        <f>VLOOKUP(OfficeForms.Table[[#This Row],[Nama Proyek]],'Nama Proyek'!$D$2:$G$29,4,0)</f>
        <v>-6.13491053,106.93675986</v>
      </c>
      <c r="AH188" s="5"/>
      <c r="AI188" s="5"/>
      <c r="AJ188" s="5"/>
      <c r="AK188" s="5" t="s">
        <v>457</v>
      </c>
    </row>
    <row r="189" spans="1:37" ht="15" hidden="1" customHeight="1">
      <c r="A189" s="31">
        <v>213</v>
      </c>
      <c r="B189" s="110">
        <v>44742</v>
      </c>
      <c r="C189" s="28">
        <f>B189</f>
        <v>44742</v>
      </c>
      <c r="D189" s="8" t="s">
        <v>37</v>
      </c>
      <c r="E189" s="8" t="s">
        <v>79</v>
      </c>
      <c r="F189" s="5" t="str">
        <f>E189</f>
        <v>Fajar Sodiq Febriansyah</v>
      </c>
      <c r="G189" s="38" t="s">
        <v>80</v>
      </c>
      <c r="H189" s="106"/>
      <c r="I189" s="95">
        <v>0</v>
      </c>
      <c r="J189" s="95">
        <v>0</v>
      </c>
      <c r="K189" s="95">
        <v>0</v>
      </c>
      <c r="L189" s="95">
        <v>0</v>
      </c>
      <c r="M189" s="95">
        <v>0</v>
      </c>
      <c r="N189" s="95">
        <v>0</v>
      </c>
      <c r="O189" s="95">
        <v>0</v>
      </c>
      <c r="P189" s="95">
        <v>0</v>
      </c>
      <c r="Q189" s="95">
        <v>0</v>
      </c>
      <c r="R189" s="95">
        <v>0</v>
      </c>
      <c r="S189" s="95">
        <v>0</v>
      </c>
      <c r="T189" s="95">
        <v>0</v>
      </c>
      <c r="U189" s="95">
        <v>0</v>
      </c>
      <c r="V189" s="95">
        <v>0</v>
      </c>
      <c r="W189" s="95">
        <v>0</v>
      </c>
      <c r="X189" s="95">
        <v>0</v>
      </c>
      <c r="Y189" s="95">
        <v>0</v>
      </c>
      <c r="Z189" s="95"/>
      <c r="AA189" s="8"/>
      <c r="AB189" s="8"/>
      <c r="AC189" s="8"/>
      <c r="AD189" s="8"/>
      <c r="AE189" s="11" t="s">
        <v>368</v>
      </c>
      <c r="AF189" s="40" t="s">
        <v>458</v>
      </c>
      <c r="AG189" t="str">
        <f>VLOOKUP(OfficeForms.Table[[#This Row],[Nama Proyek]],'Nama Proyek'!$D$2:$G$29,4,0)</f>
        <v>-7.82225167,113.29968319</v>
      </c>
      <c r="AH189" s="5"/>
      <c r="AI189" s="5"/>
      <c r="AJ189" s="5"/>
      <c r="AK189" s="5" t="s">
        <v>459</v>
      </c>
    </row>
    <row r="190" spans="1:37" ht="15" hidden="1" customHeight="1">
      <c r="A190" s="31">
        <v>214</v>
      </c>
      <c r="B190" s="111">
        <v>44742</v>
      </c>
      <c r="C190" s="29">
        <f>B190</f>
        <v>44742</v>
      </c>
      <c r="D190" s="9" t="s">
        <v>37</v>
      </c>
      <c r="E190" s="9" t="s">
        <v>79</v>
      </c>
      <c r="F190" s="5" t="str">
        <f>E190</f>
        <v>Fajar Sodiq Febriansyah</v>
      </c>
      <c r="G190" s="33" t="s">
        <v>80</v>
      </c>
      <c r="H190" s="104"/>
      <c r="I190" s="94">
        <v>0</v>
      </c>
      <c r="J190" s="94">
        <v>0</v>
      </c>
      <c r="K190" s="94">
        <v>0</v>
      </c>
      <c r="L190" s="94">
        <v>0</v>
      </c>
      <c r="M190" s="94">
        <v>0</v>
      </c>
      <c r="N190" s="94">
        <v>0</v>
      </c>
      <c r="O190" s="94">
        <v>0</v>
      </c>
      <c r="P190" s="94">
        <v>0</v>
      </c>
      <c r="Q190" s="94">
        <v>0</v>
      </c>
      <c r="R190" s="94">
        <v>0</v>
      </c>
      <c r="S190" s="94">
        <v>0</v>
      </c>
      <c r="T190" s="94">
        <v>0</v>
      </c>
      <c r="U190" s="94">
        <v>0</v>
      </c>
      <c r="V190" s="94">
        <v>0</v>
      </c>
      <c r="W190" s="94">
        <v>0</v>
      </c>
      <c r="X190" s="94">
        <v>0</v>
      </c>
      <c r="Y190" s="94">
        <v>0</v>
      </c>
      <c r="Z190" s="94"/>
      <c r="AA190" s="9"/>
      <c r="AB190" s="9"/>
      <c r="AC190" s="9"/>
      <c r="AD190" s="9"/>
      <c r="AE190" s="12" t="s">
        <v>368</v>
      </c>
      <c r="AF190" s="15" t="s">
        <v>91</v>
      </c>
      <c r="AG190" t="str">
        <f>VLOOKUP(OfficeForms.Table[[#This Row],[Nama Proyek]],'Nama Proyek'!$D$2:$G$29,4,0)</f>
        <v>-7.82225167,113.29968319</v>
      </c>
      <c r="AH190" s="5"/>
      <c r="AI190" s="5"/>
      <c r="AJ190" s="5"/>
      <c r="AK190" s="5" t="s">
        <v>460</v>
      </c>
    </row>
    <row r="191" spans="1:37" ht="15" hidden="1" customHeight="1">
      <c r="A191" s="30">
        <v>215</v>
      </c>
      <c r="B191" s="110">
        <v>44742</v>
      </c>
      <c r="C191" s="28">
        <f>B191</f>
        <v>44742</v>
      </c>
      <c r="D191" s="8" t="s">
        <v>37</v>
      </c>
      <c r="E191" s="8" t="s">
        <v>79</v>
      </c>
      <c r="F191" s="5" t="str">
        <f>E191</f>
        <v>Fajar Sodiq Febriansyah</v>
      </c>
      <c r="G191" s="38" t="s">
        <v>80</v>
      </c>
      <c r="H191" s="106"/>
      <c r="I191" s="95">
        <v>0</v>
      </c>
      <c r="J191" s="95">
        <v>0</v>
      </c>
      <c r="K191" s="95">
        <v>0</v>
      </c>
      <c r="L191" s="95">
        <v>0</v>
      </c>
      <c r="M191" s="95">
        <v>0</v>
      </c>
      <c r="N191" s="95">
        <v>0</v>
      </c>
      <c r="O191" s="95">
        <v>0</v>
      </c>
      <c r="P191" s="95">
        <v>0</v>
      </c>
      <c r="Q191" s="95">
        <v>0</v>
      </c>
      <c r="R191" s="95">
        <v>0</v>
      </c>
      <c r="S191" s="95">
        <v>0</v>
      </c>
      <c r="T191" s="95">
        <v>0</v>
      </c>
      <c r="U191" s="95">
        <v>0</v>
      </c>
      <c r="V191" s="95">
        <v>0</v>
      </c>
      <c r="W191" s="95">
        <v>0</v>
      </c>
      <c r="X191" s="95">
        <v>0</v>
      </c>
      <c r="Y191" s="95">
        <v>0</v>
      </c>
      <c r="Z191" s="95"/>
      <c r="AA191" s="8"/>
      <c r="AB191" s="8"/>
      <c r="AC191" s="8"/>
      <c r="AD191" s="8"/>
      <c r="AE191" s="16" t="s">
        <v>368</v>
      </c>
      <c r="AF191" s="9"/>
      <c r="AG191" t="str">
        <f>VLOOKUP(OfficeForms.Table[[#This Row],[Nama Proyek]],'Nama Proyek'!$D$2:$G$29,4,0)</f>
        <v>-7.82225167,113.29968319</v>
      </c>
      <c r="AH191" s="5"/>
      <c r="AI191" s="5"/>
      <c r="AJ191" s="5"/>
      <c r="AK191" s="5" t="s">
        <v>461</v>
      </c>
    </row>
    <row r="192" spans="1:37" ht="15" hidden="1" customHeight="1">
      <c r="A192" s="50">
        <v>593</v>
      </c>
      <c r="B192" s="110">
        <v>44742</v>
      </c>
      <c r="C192" s="28">
        <f>B192</f>
        <v>44742</v>
      </c>
      <c r="D192" s="19" t="s">
        <v>37</v>
      </c>
      <c r="E192" s="19" t="s">
        <v>51</v>
      </c>
      <c r="F192" s="5" t="str">
        <f>E192</f>
        <v>Riezky Ibnu Prasetyo</v>
      </c>
      <c r="G192" s="8" t="s">
        <v>52</v>
      </c>
      <c r="H192" s="106"/>
      <c r="I192" s="96">
        <v>0</v>
      </c>
      <c r="J192" s="96">
        <v>0</v>
      </c>
      <c r="K192" s="96">
        <v>0</v>
      </c>
      <c r="L192" s="96">
        <v>0</v>
      </c>
      <c r="M192" s="96">
        <v>0</v>
      </c>
      <c r="N192" s="96">
        <v>0</v>
      </c>
      <c r="O192" s="96">
        <v>0</v>
      </c>
      <c r="P192" s="96">
        <v>0</v>
      </c>
      <c r="Q192" s="96">
        <v>0</v>
      </c>
      <c r="R192" s="96">
        <v>0</v>
      </c>
      <c r="S192" s="96">
        <v>0</v>
      </c>
      <c r="T192" s="96">
        <v>0</v>
      </c>
      <c r="U192" s="96">
        <v>0</v>
      </c>
      <c r="V192" s="96">
        <v>0</v>
      </c>
      <c r="W192" s="96">
        <v>0</v>
      </c>
      <c r="X192" s="96">
        <v>0</v>
      </c>
      <c r="Y192" s="96">
        <v>0</v>
      </c>
      <c r="Z192" s="96"/>
      <c r="AA192" s="19"/>
      <c r="AB192" s="19"/>
      <c r="AC192" s="19"/>
      <c r="AD192" s="19"/>
      <c r="AE192" s="13">
        <v>44567</v>
      </c>
      <c r="AF192" s="17"/>
      <c r="AG192" t="str">
        <f>VLOOKUP(OfficeForms.Table[[#This Row],[Nama Proyek]],'Nama Proyek'!$D$2:$G$29,4,0)</f>
        <v>-6.13491053,106.93675986</v>
      </c>
      <c r="AH192" s="5"/>
      <c r="AI192" s="5"/>
      <c r="AJ192" s="5"/>
      <c r="AK192" s="5" t="s">
        <v>462</v>
      </c>
    </row>
    <row r="193" spans="1:37" ht="15" hidden="1" customHeight="1">
      <c r="A193" s="50">
        <v>667</v>
      </c>
      <c r="B193" s="110">
        <v>44742</v>
      </c>
      <c r="C193" s="28">
        <f>B193</f>
        <v>44742</v>
      </c>
      <c r="D193" s="8" t="s">
        <v>37</v>
      </c>
      <c r="E193" s="8" t="s">
        <v>51</v>
      </c>
      <c r="F193" s="5" t="str">
        <f>E193</f>
        <v>Riezky Ibnu Prasetyo</v>
      </c>
      <c r="G193" s="8" t="s">
        <v>52</v>
      </c>
      <c r="H193" s="106"/>
      <c r="I193" s="95">
        <v>0</v>
      </c>
      <c r="J193" s="95">
        <v>0</v>
      </c>
      <c r="K193" s="95">
        <v>0</v>
      </c>
      <c r="L193" s="95">
        <v>0</v>
      </c>
      <c r="M193" s="95">
        <v>0</v>
      </c>
      <c r="N193" s="95">
        <v>0</v>
      </c>
      <c r="O193" s="95">
        <v>0</v>
      </c>
      <c r="P193" s="95">
        <v>0</v>
      </c>
      <c r="Q193" s="95">
        <v>0</v>
      </c>
      <c r="R193" s="95">
        <v>0</v>
      </c>
      <c r="S193" s="95">
        <v>0</v>
      </c>
      <c r="T193" s="95">
        <v>0</v>
      </c>
      <c r="U193" s="95">
        <v>0</v>
      </c>
      <c r="V193" s="95">
        <v>0</v>
      </c>
      <c r="W193" s="95">
        <v>0</v>
      </c>
      <c r="X193" s="95">
        <v>0</v>
      </c>
      <c r="Y193" s="95">
        <v>0</v>
      </c>
      <c r="Z193" s="95"/>
      <c r="AA193" s="8"/>
      <c r="AB193" s="8"/>
      <c r="AC193" s="8"/>
      <c r="AD193" s="8"/>
      <c r="AE193" s="16">
        <v>44567</v>
      </c>
      <c r="AF193" s="40" t="s">
        <v>463</v>
      </c>
      <c r="AG193" t="str">
        <f>VLOOKUP(OfficeForms.Table[[#This Row],[Nama Proyek]],'Nama Proyek'!$D$2:$G$29,4,0)</f>
        <v>-6.13491053,106.93675986</v>
      </c>
      <c r="AH193" s="5"/>
      <c r="AI193" s="5"/>
      <c r="AJ193" s="5"/>
      <c r="AK193" s="5" t="s">
        <v>464</v>
      </c>
    </row>
    <row r="194" spans="1:37" ht="15" hidden="1" customHeight="1">
      <c r="A194" s="31">
        <v>668</v>
      </c>
      <c r="B194" s="111">
        <v>44742</v>
      </c>
      <c r="C194" s="29">
        <f>B194</f>
        <v>44742</v>
      </c>
      <c r="D194" s="9" t="s">
        <v>37</v>
      </c>
      <c r="E194" s="9" t="s">
        <v>51</v>
      </c>
      <c r="F194" s="5" t="str">
        <f>E194</f>
        <v>Riezky Ibnu Prasetyo</v>
      </c>
      <c r="G194" s="8" t="s">
        <v>52</v>
      </c>
      <c r="H194" s="104"/>
      <c r="I194" s="94">
        <v>0</v>
      </c>
      <c r="J194" s="94">
        <v>0</v>
      </c>
      <c r="K194" s="94">
        <v>0</v>
      </c>
      <c r="L194" s="94">
        <v>0</v>
      </c>
      <c r="M194" s="94">
        <v>0</v>
      </c>
      <c r="N194" s="94">
        <v>0</v>
      </c>
      <c r="O194" s="94">
        <v>0</v>
      </c>
      <c r="P194" s="94">
        <v>0</v>
      </c>
      <c r="Q194" s="94">
        <v>0</v>
      </c>
      <c r="R194" s="94">
        <v>0</v>
      </c>
      <c r="S194" s="94">
        <v>0</v>
      </c>
      <c r="T194" s="94">
        <v>0</v>
      </c>
      <c r="U194" s="94">
        <v>0</v>
      </c>
      <c r="V194" s="94">
        <v>0</v>
      </c>
      <c r="W194" s="94">
        <v>0</v>
      </c>
      <c r="X194" s="94">
        <v>0</v>
      </c>
      <c r="Y194" s="94">
        <v>0</v>
      </c>
      <c r="Z194" s="94"/>
      <c r="AA194" s="9"/>
      <c r="AB194" s="9"/>
      <c r="AC194" s="9"/>
      <c r="AD194" s="9"/>
      <c r="AE194" s="12">
        <v>44567</v>
      </c>
      <c r="AF194" s="25" t="s">
        <v>455</v>
      </c>
      <c r="AG194" t="str">
        <f>VLOOKUP(OfficeForms.Table[[#This Row],[Nama Proyek]],'Nama Proyek'!$D$2:$G$29,4,0)</f>
        <v>-6.13491053,106.93675986</v>
      </c>
      <c r="AH194" s="5"/>
      <c r="AI194" s="5"/>
      <c r="AJ194" s="5"/>
      <c r="AK194" s="5" t="s">
        <v>465</v>
      </c>
    </row>
    <row r="195" spans="1:37" ht="15" hidden="1" customHeight="1">
      <c r="A195" s="30">
        <v>687</v>
      </c>
      <c r="B195" s="110">
        <v>44742</v>
      </c>
      <c r="C195" s="28">
        <f>B195</f>
        <v>44742</v>
      </c>
      <c r="D195" s="8" t="s">
        <v>37</v>
      </c>
      <c r="E195" s="8" t="s">
        <v>51</v>
      </c>
      <c r="F195" s="5" t="str">
        <f>E195</f>
        <v>Riezky Ibnu Prasetyo</v>
      </c>
      <c r="G195" s="8" t="s">
        <v>52</v>
      </c>
      <c r="H195" s="106"/>
      <c r="I195" s="95">
        <v>0</v>
      </c>
      <c r="J195" s="95">
        <v>0</v>
      </c>
      <c r="K195" s="95">
        <v>0</v>
      </c>
      <c r="L195" s="95">
        <v>0</v>
      </c>
      <c r="M195" s="95">
        <v>0</v>
      </c>
      <c r="N195" s="95">
        <v>0</v>
      </c>
      <c r="O195" s="95">
        <v>0</v>
      </c>
      <c r="P195" s="95">
        <v>0</v>
      </c>
      <c r="Q195" s="95">
        <v>0</v>
      </c>
      <c r="R195" s="95">
        <v>0</v>
      </c>
      <c r="S195" s="95">
        <v>0</v>
      </c>
      <c r="T195" s="95">
        <v>0</v>
      </c>
      <c r="U195" s="95">
        <v>0</v>
      </c>
      <c r="V195" s="95">
        <v>0</v>
      </c>
      <c r="W195" s="95">
        <v>0</v>
      </c>
      <c r="X195" s="95">
        <v>0</v>
      </c>
      <c r="Y195" s="95">
        <v>0</v>
      </c>
      <c r="Z195" s="95"/>
      <c r="AA195" s="8"/>
      <c r="AB195" s="8"/>
      <c r="AC195" s="8"/>
      <c r="AD195" s="8"/>
      <c r="AE195" s="11">
        <v>44567</v>
      </c>
      <c r="AF195" s="15" t="s">
        <v>466</v>
      </c>
      <c r="AG195" t="str">
        <f>VLOOKUP(OfficeForms.Table[[#This Row],[Nama Proyek]],'Nama Proyek'!$D$2:$G$29,4,0)</f>
        <v>-6.13491053,106.93675986</v>
      </c>
      <c r="AH195" s="5"/>
      <c r="AI195" s="5"/>
      <c r="AJ195" s="5"/>
      <c r="AK195" s="5" t="s">
        <v>467</v>
      </c>
    </row>
    <row r="196" spans="1:37" ht="15" hidden="1" customHeight="1">
      <c r="A196" s="31">
        <v>249</v>
      </c>
      <c r="B196" s="110">
        <v>44753</v>
      </c>
      <c r="C196" s="28">
        <f>B196</f>
        <v>44753</v>
      </c>
      <c r="D196" s="8" t="s">
        <v>37</v>
      </c>
      <c r="E196" s="8" t="s">
        <v>109</v>
      </c>
      <c r="F196" s="5" t="str">
        <f>E196</f>
        <v>Muhamad Saifudin Ashari</v>
      </c>
      <c r="G196" s="19" t="s">
        <v>39</v>
      </c>
      <c r="H196" s="106"/>
      <c r="I196" s="95">
        <v>0</v>
      </c>
      <c r="J196" s="95">
        <v>0</v>
      </c>
      <c r="K196" s="95">
        <v>0</v>
      </c>
      <c r="L196" s="95">
        <v>0</v>
      </c>
      <c r="M196" s="95">
        <v>0</v>
      </c>
      <c r="N196" s="95">
        <v>0</v>
      </c>
      <c r="O196" s="95">
        <v>0</v>
      </c>
      <c r="P196" s="95">
        <v>0</v>
      </c>
      <c r="Q196" s="95">
        <v>0</v>
      </c>
      <c r="R196" s="95">
        <v>0</v>
      </c>
      <c r="S196" s="95">
        <v>0</v>
      </c>
      <c r="T196" s="95">
        <v>0</v>
      </c>
      <c r="U196" s="95">
        <v>0</v>
      </c>
      <c r="V196" s="95">
        <v>0</v>
      </c>
      <c r="W196" s="95">
        <v>0</v>
      </c>
      <c r="X196" s="95">
        <v>0</v>
      </c>
      <c r="Y196" s="95">
        <v>0</v>
      </c>
      <c r="Z196" s="95"/>
      <c r="AA196" s="8"/>
      <c r="AB196" s="15"/>
      <c r="AC196" s="15"/>
      <c r="AD196" s="15"/>
      <c r="AE196" s="16">
        <v>44598</v>
      </c>
      <c r="AF196" s="8"/>
      <c r="AG196" t="str">
        <f>VLOOKUP(OfficeForms.Table[[#This Row],[Nama Proyek]],'Nama Proyek'!$D$2:$G$29,4,0)</f>
        <v>-6.80675464,106.785366</v>
      </c>
      <c r="AH196" s="5"/>
      <c r="AI196" s="5"/>
      <c r="AJ196" s="5"/>
      <c r="AK196" s="5" t="s">
        <v>468</v>
      </c>
    </row>
    <row r="197" spans="1:37" ht="15" hidden="1" customHeight="1">
      <c r="A197" s="50">
        <v>250</v>
      </c>
      <c r="B197" s="111">
        <v>44753</v>
      </c>
      <c r="C197" s="29">
        <f>B197</f>
        <v>44753</v>
      </c>
      <c r="D197" s="8" t="s">
        <v>37</v>
      </c>
      <c r="E197" s="8" t="s">
        <v>109</v>
      </c>
      <c r="F197" s="5" t="str">
        <f>E197</f>
        <v>Muhamad Saifudin Ashari</v>
      </c>
      <c r="G197" s="9" t="s">
        <v>39</v>
      </c>
      <c r="H197" s="104"/>
      <c r="I197" s="95">
        <v>0</v>
      </c>
      <c r="J197" s="95">
        <v>0</v>
      </c>
      <c r="K197" s="95">
        <v>0</v>
      </c>
      <c r="L197" s="95">
        <v>0</v>
      </c>
      <c r="M197" s="95">
        <v>0</v>
      </c>
      <c r="N197" s="95">
        <v>0</v>
      </c>
      <c r="O197" s="95">
        <v>0</v>
      </c>
      <c r="P197" s="95">
        <v>0</v>
      </c>
      <c r="Q197" s="95">
        <v>0</v>
      </c>
      <c r="R197" s="95">
        <v>0</v>
      </c>
      <c r="S197" s="95">
        <v>0</v>
      </c>
      <c r="T197" s="95">
        <v>0</v>
      </c>
      <c r="U197" s="95">
        <v>0</v>
      </c>
      <c r="V197" s="95">
        <v>0</v>
      </c>
      <c r="W197" s="95">
        <v>0</v>
      </c>
      <c r="X197" s="95">
        <v>0</v>
      </c>
      <c r="Y197" s="95">
        <v>0</v>
      </c>
      <c r="Z197" s="95"/>
      <c r="AA197" s="8" t="s">
        <v>469</v>
      </c>
      <c r="AB197" s="8" t="s">
        <v>469</v>
      </c>
      <c r="AC197" s="8" t="s">
        <v>469</v>
      </c>
      <c r="AD197" s="8" t="s">
        <v>469</v>
      </c>
      <c r="AE197" s="11"/>
      <c r="AF197" s="19"/>
      <c r="AG197" t="str">
        <f>VLOOKUP(OfficeForms.Table[[#This Row],[Nama Proyek]],'Nama Proyek'!$D$2:$G$29,4,0)</f>
        <v>-6.80675464,106.785366</v>
      </c>
      <c r="AH197" s="5"/>
      <c r="AI197" s="5"/>
      <c r="AJ197" s="5"/>
      <c r="AK197" s="5" t="s">
        <v>470</v>
      </c>
    </row>
    <row r="198" spans="1:37" ht="15" hidden="1" customHeight="1">
      <c r="A198" s="50">
        <v>222</v>
      </c>
      <c r="B198" s="111">
        <v>44757</v>
      </c>
      <c r="C198" s="29">
        <f>B198</f>
        <v>44757</v>
      </c>
      <c r="D198" s="8" t="s">
        <v>37</v>
      </c>
      <c r="E198" s="8" t="s">
        <v>471</v>
      </c>
      <c r="F198" s="5" t="str">
        <f>E198</f>
        <v>Yusron</v>
      </c>
      <c r="G198" s="9" t="s">
        <v>472</v>
      </c>
      <c r="H198" s="104"/>
      <c r="I198" s="95">
        <v>0</v>
      </c>
      <c r="J198" s="95">
        <v>0</v>
      </c>
      <c r="K198" s="95">
        <v>0</v>
      </c>
      <c r="L198" s="95">
        <v>0</v>
      </c>
      <c r="M198" s="95">
        <v>0</v>
      </c>
      <c r="N198" s="95">
        <v>0</v>
      </c>
      <c r="O198" s="95">
        <v>0</v>
      </c>
      <c r="P198" s="95">
        <v>0</v>
      </c>
      <c r="Q198" s="95">
        <v>0</v>
      </c>
      <c r="R198" s="95">
        <v>0</v>
      </c>
      <c r="S198" s="95">
        <v>0</v>
      </c>
      <c r="T198" s="95">
        <v>0</v>
      </c>
      <c r="U198" s="95">
        <v>0</v>
      </c>
      <c r="V198" s="95">
        <v>0</v>
      </c>
      <c r="W198" s="95">
        <v>0</v>
      </c>
      <c r="X198" s="95">
        <v>0</v>
      </c>
      <c r="Y198" s="95">
        <v>0</v>
      </c>
      <c r="Z198" s="95"/>
      <c r="AA198" s="8"/>
      <c r="AB198" s="8"/>
      <c r="AC198" s="8"/>
      <c r="AD198" s="8"/>
      <c r="AE198" s="11" t="s">
        <v>473</v>
      </c>
      <c r="AF198" s="19" t="s">
        <v>474</v>
      </c>
      <c r="AG198" t="str">
        <f>VLOOKUP(OfficeForms.Table[[#This Row],[Nama Proyek]],'Nama Proyek'!$D$2:$G$29,4,0)</f>
        <v>-8.29394978,112.00545006</v>
      </c>
      <c r="AH198" s="5"/>
      <c r="AI198" s="5"/>
      <c r="AJ198" s="5"/>
      <c r="AK198" s="5" t="s">
        <v>475</v>
      </c>
    </row>
    <row r="199" spans="1:37" ht="15" customHeight="1">
      <c r="A199" s="31">
        <v>172</v>
      </c>
      <c r="B199" s="111">
        <v>44762</v>
      </c>
      <c r="C199" s="29">
        <f>B199</f>
        <v>44762</v>
      </c>
      <c r="D199" s="9" t="s">
        <v>476</v>
      </c>
      <c r="E199" s="9" t="s">
        <v>477</v>
      </c>
      <c r="F199" s="5" t="str">
        <f>E199</f>
        <v>Agus</v>
      </c>
      <c r="G199" s="9" t="s">
        <v>65</v>
      </c>
      <c r="H199" s="104"/>
      <c r="I199" s="94">
        <v>0</v>
      </c>
      <c r="J199" s="94">
        <v>0</v>
      </c>
      <c r="K199" s="94">
        <v>0</v>
      </c>
      <c r="L199" s="94">
        <v>0</v>
      </c>
      <c r="M199" s="94">
        <v>0</v>
      </c>
      <c r="N199" s="94">
        <v>0</v>
      </c>
      <c r="O199" s="94">
        <v>0</v>
      </c>
      <c r="P199" s="94">
        <v>0</v>
      </c>
      <c r="Q199" s="94">
        <v>0</v>
      </c>
      <c r="R199" s="94">
        <v>0</v>
      </c>
      <c r="S199" s="94">
        <v>0</v>
      </c>
      <c r="T199" s="94">
        <v>0</v>
      </c>
      <c r="U199" s="94">
        <v>0</v>
      </c>
      <c r="V199" s="94">
        <v>0</v>
      </c>
      <c r="W199" s="94">
        <v>0</v>
      </c>
      <c r="X199" s="94">
        <v>0</v>
      </c>
      <c r="Y199" s="94">
        <v>0</v>
      </c>
      <c r="Z199" s="94"/>
      <c r="AA199" s="9"/>
      <c r="AB199" s="9"/>
      <c r="AC199" s="9"/>
      <c r="AD199" s="9"/>
      <c r="AE199" s="12" t="s">
        <v>478</v>
      </c>
      <c r="AF199" s="8"/>
      <c r="AG199" t="str">
        <f>VLOOKUP(OfficeForms.Table[[#This Row],[Nama Proyek]],'Nama Proyek'!$D$2:$G$29,4,0)</f>
        <v>-6.35008011,107.02324233</v>
      </c>
      <c r="AH199" s="5"/>
      <c r="AI199" s="5"/>
      <c r="AJ199" s="5"/>
      <c r="AK199" s="5" t="s">
        <v>479</v>
      </c>
    </row>
    <row r="200" spans="1:37" ht="15" hidden="1" customHeight="1">
      <c r="A200" s="30">
        <v>225</v>
      </c>
      <c r="B200" s="110">
        <v>44763</v>
      </c>
      <c r="C200" s="28">
        <f>B200</f>
        <v>44763</v>
      </c>
      <c r="D200" s="19" t="s">
        <v>37</v>
      </c>
      <c r="E200" s="19" t="s">
        <v>47</v>
      </c>
      <c r="F200" s="5" t="str">
        <f>E200</f>
        <v>Basuki Rahmat Hakim</v>
      </c>
      <c r="G200" s="60" t="s">
        <v>48</v>
      </c>
      <c r="H200" s="106"/>
      <c r="I200" s="96">
        <v>0</v>
      </c>
      <c r="J200" s="96">
        <v>0</v>
      </c>
      <c r="K200" s="96">
        <v>0</v>
      </c>
      <c r="L200" s="96">
        <v>0</v>
      </c>
      <c r="M200" s="96">
        <v>0</v>
      </c>
      <c r="N200" s="96">
        <v>0</v>
      </c>
      <c r="O200" s="96">
        <v>0</v>
      </c>
      <c r="P200" s="96">
        <v>0</v>
      </c>
      <c r="Q200" s="96">
        <v>0</v>
      </c>
      <c r="R200" s="96">
        <v>0</v>
      </c>
      <c r="S200" s="96">
        <v>0</v>
      </c>
      <c r="T200" s="96">
        <v>0</v>
      </c>
      <c r="U200" s="96">
        <v>0</v>
      </c>
      <c r="V200" s="96">
        <v>0</v>
      </c>
      <c r="W200" s="96">
        <v>0</v>
      </c>
      <c r="X200" s="96">
        <v>0</v>
      </c>
      <c r="Y200" s="96">
        <v>0</v>
      </c>
      <c r="Z200" s="96"/>
      <c r="AA200" s="19"/>
      <c r="AB200" s="19"/>
      <c r="AC200" s="19"/>
      <c r="AD200" s="19"/>
      <c r="AE200" s="13" t="s">
        <v>478</v>
      </c>
      <c r="AF200" s="8"/>
      <c r="AG200" t="str">
        <f>VLOOKUP(OfficeForms.Table[[#This Row],[Nama Proyek]],'Nama Proyek'!$D$2:$G$29,4,0)</f>
        <v>3.76047575,115.89977678</v>
      </c>
      <c r="AH200" s="5"/>
      <c r="AI200" s="5"/>
      <c r="AJ200" s="5"/>
      <c r="AK200" s="5" t="s">
        <v>480</v>
      </c>
    </row>
    <row r="201" spans="1:37" ht="15" hidden="1" customHeight="1">
      <c r="A201" s="31">
        <v>226</v>
      </c>
      <c r="B201" s="111">
        <v>44763</v>
      </c>
      <c r="C201" s="29">
        <f>B201</f>
        <v>44763</v>
      </c>
      <c r="D201" s="8" t="s">
        <v>37</v>
      </c>
      <c r="E201" s="8" t="s">
        <v>47</v>
      </c>
      <c r="F201" s="5" t="str">
        <f>E201</f>
        <v>Basuki Rahmat Hakim</v>
      </c>
      <c r="G201" s="60" t="s">
        <v>48</v>
      </c>
      <c r="H201" s="104"/>
      <c r="I201" s="95">
        <v>0</v>
      </c>
      <c r="J201" s="95">
        <v>0</v>
      </c>
      <c r="K201" s="95">
        <v>0</v>
      </c>
      <c r="L201" s="95">
        <v>0</v>
      </c>
      <c r="M201" s="95">
        <v>0</v>
      </c>
      <c r="N201" s="95">
        <v>0</v>
      </c>
      <c r="O201" s="95">
        <v>0</v>
      </c>
      <c r="P201" s="95">
        <v>0</v>
      </c>
      <c r="Q201" s="95">
        <v>0</v>
      </c>
      <c r="R201" s="95">
        <v>0</v>
      </c>
      <c r="S201" s="95">
        <v>0</v>
      </c>
      <c r="T201" s="95">
        <v>0</v>
      </c>
      <c r="U201" s="95">
        <v>0</v>
      </c>
      <c r="V201" s="95">
        <v>0</v>
      </c>
      <c r="W201" s="95">
        <v>0</v>
      </c>
      <c r="X201" s="95">
        <v>0</v>
      </c>
      <c r="Y201" s="95">
        <v>0</v>
      </c>
      <c r="Z201" s="95"/>
      <c r="AA201" s="8" t="s">
        <v>481</v>
      </c>
      <c r="AB201" s="8" t="s">
        <v>482</v>
      </c>
      <c r="AC201" s="8" t="s">
        <v>483</v>
      </c>
      <c r="AD201" s="8"/>
      <c r="AE201" s="11"/>
      <c r="AF201" s="42"/>
      <c r="AG201" t="str">
        <f>VLOOKUP(OfficeForms.Table[[#This Row],[Nama Proyek]],'Nama Proyek'!$D$2:$G$29,4,0)</f>
        <v>3.76047575,115.89977678</v>
      </c>
      <c r="AH201" s="5"/>
      <c r="AI201" s="5"/>
      <c r="AJ201" s="5"/>
      <c r="AK201" s="5" t="s">
        <v>484</v>
      </c>
    </row>
    <row r="202" spans="1:37" ht="15" hidden="1" customHeight="1">
      <c r="A202">
        <v>625</v>
      </c>
      <c r="B202" s="110">
        <v>44764</v>
      </c>
      <c r="C202" s="28">
        <f>B202</f>
        <v>44764</v>
      </c>
      <c r="D202" s="19" t="s">
        <v>37</v>
      </c>
      <c r="E202" s="19" t="s">
        <v>64</v>
      </c>
      <c r="F202" s="5" t="str">
        <f>E202</f>
        <v>Nizar Zulkarnain</v>
      </c>
      <c r="G202" s="19" t="s">
        <v>65</v>
      </c>
      <c r="H202" s="106">
        <v>44735</v>
      </c>
      <c r="I202" s="96">
        <v>68.981999999999999</v>
      </c>
      <c r="J202" s="96">
        <v>77.790000000000006</v>
      </c>
      <c r="K202" s="96">
        <v>58.12</v>
      </c>
      <c r="L202" s="96">
        <v>44.08</v>
      </c>
      <c r="M202" s="96">
        <v>80.55</v>
      </c>
      <c r="N202" s="96">
        <v>77.599999999999994</v>
      </c>
      <c r="O202" s="96">
        <v>42.69</v>
      </c>
      <c r="P202" s="96">
        <v>56.92</v>
      </c>
      <c r="Q202" s="96">
        <v>53.22</v>
      </c>
      <c r="R202" s="96">
        <v>44.2</v>
      </c>
      <c r="S202" s="96">
        <v>81.77</v>
      </c>
      <c r="T202" s="96">
        <v>79.88</v>
      </c>
      <c r="U202" s="96">
        <v>27.02</v>
      </c>
      <c r="V202" s="96">
        <v>9.56</v>
      </c>
      <c r="W202" s="96">
        <v>0</v>
      </c>
      <c r="X202" s="96">
        <v>98.36</v>
      </c>
      <c r="Y202" s="96">
        <v>4.0999999999999996</v>
      </c>
      <c r="Z202" s="96"/>
      <c r="AA202" s="19"/>
      <c r="AB202" s="19"/>
      <c r="AC202" s="19"/>
      <c r="AD202" s="19"/>
      <c r="AE202" s="24"/>
      <c r="AF202" s="8" t="s">
        <v>485</v>
      </c>
      <c r="AG202" t="str">
        <f>VLOOKUP(OfficeForms.Table[[#This Row],[Nama Proyek]],'Nama Proyek'!$D$2:$G$29,4,0)</f>
        <v>-6.35008011,107.02324233</v>
      </c>
      <c r="AH202" s="5"/>
      <c r="AI202" s="5"/>
      <c r="AJ202" s="5"/>
      <c r="AK202" s="5" t="s">
        <v>486</v>
      </c>
    </row>
    <row r="203" spans="1:37" ht="15" hidden="1" customHeight="1">
      <c r="A203">
        <v>185</v>
      </c>
      <c r="B203" s="110">
        <v>44764</v>
      </c>
      <c r="C203" s="28">
        <f>B203</f>
        <v>44764</v>
      </c>
      <c r="D203" s="8" t="s">
        <v>37</v>
      </c>
      <c r="E203" s="8" t="s">
        <v>64</v>
      </c>
      <c r="F203" s="5" t="str">
        <f>E203</f>
        <v>Nizar Zulkarnain</v>
      </c>
      <c r="G203" s="19" t="s">
        <v>65</v>
      </c>
      <c r="H203" s="106"/>
      <c r="I203" s="95">
        <v>0</v>
      </c>
      <c r="J203" s="95">
        <v>0</v>
      </c>
      <c r="K203" s="95">
        <v>0</v>
      </c>
      <c r="L203" s="95">
        <v>0</v>
      </c>
      <c r="M203" s="95">
        <v>0</v>
      </c>
      <c r="N203" s="95">
        <v>0</v>
      </c>
      <c r="O203" s="95">
        <v>0</v>
      </c>
      <c r="P203" s="95">
        <v>0</v>
      </c>
      <c r="Q203" s="95">
        <v>0</v>
      </c>
      <c r="R203" s="95">
        <v>0</v>
      </c>
      <c r="S203" s="95">
        <v>0</v>
      </c>
      <c r="T203" s="95">
        <v>0</v>
      </c>
      <c r="U203" s="95">
        <v>0</v>
      </c>
      <c r="V203" s="95">
        <v>0</v>
      </c>
      <c r="W203" s="95">
        <v>0</v>
      </c>
      <c r="X203" s="95">
        <v>0</v>
      </c>
      <c r="Y203" s="95">
        <v>0</v>
      </c>
      <c r="Z203" s="95"/>
      <c r="AA203" s="8"/>
      <c r="AB203" s="8"/>
      <c r="AC203" s="8"/>
      <c r="AD203" s="8"/>
      <c r="AE203" s="11">
        <v>44901</v>
      </c>
      <c r="AF203" s="8"/>
      <c r="AG203" t="str">
        <f>VLOOKUP(OfficeForms.Table[[#This Row],[Nama Proyek]],'Nama Proyek'!$D$2:$G$29,4,0)</f>
        <v>-6.35008011,107.02324233</v>
      </c>
      <c r="AH203" s="5"/>
      <c r="AI203" s="5"/>
      <c r="AJ203" s="5"/>
      <c r="AK203" s="5" t="s">
        <v>487</v>
      </c>
    </row>
    <row r="204" spans="1:37" ht="15" hidden="1" customHeight="1">
      <c r="A204" s="31">
        <v>237</v>
      </c>
      <c r="B204" s="110">
        <v>44765</v>
      </c>
      <c r="C204" s="28">
        <f>B204</f>
        <v>44765</v>
      </c>
      <c r="D204" s="19" t="s">
        <v>37</v>
      </c>
      <c r="E204" s="19" t="s">
        <v>278</v>
      </c>
      <c r="F204" s="5" t="str">
        <f>E204</f>
        <v>Teddy Pradana</v>
      </c>
      <c r="G204" s="9" t="s">
        <v>167</v>
      </c>
      <c r="H204" s="106"/>
      <c r="I204" s="96">
        <v>0</v>
      </c>
      <c r="J204" s="96">
        <v>0</v>
      </c>
      <c r="K204" s="96">
        <v>0</v>
      </c>
      <c r="L204" s="96">
        <v>0</v>
      </c>
      <c r="M204" s="96">
        <v>0</v>
      </c>
      <c r="N204" s="96">
        <v>0</v>
      </c>
      <c r="O204" s="96">
        <v>0</v>
      </c>
      <c r="P204" s="96">
        <v>0</v>
      </c>
      <c r="Q204" s="96">
        <v>0</v>
      </c>
      <c r="R204" s="96">
        <v>0</v>
      </c>
      <c r="S204" s="96">
        <v>0</v>
      </c>
      <c r="T204" s="96">
        <v>0</v>
      </c>
      <c r="U204" s="96">
        <v>0</v>
      </c>
      <c r="V204" s="96">
        <v>0</v>
      </c>
      <c r="W204" s="96">
        <v>0</v>
      </c>
      <c r="X204" s="96">
        <v>0</v>
      </c>
      <c r="Y204" s="96">
        <v>0</v>
      </c>
      <c r="Z204" s="96"/>
      <c r="AA204" s="19"/>
      <c r="AB204" s="19"/>
      <c r="AC204" s="19" t="s">
        <v>488</v>
      </c>
      <c r="AD204" s="19"/>
      <c r="AE204" s="13"/>
      <c r="AF204" s="8"/>
      <c r="AG204" t="str">
        <f>VLOOKUP(OfficeForms.Table[[#This Row],[Nama Proyek]],'Nama Proyek'!$D$2:$G$29,4,0)</f>
        <v>2.426249030,128.29766314</v>
      </c>
      <c r="AH204" s="5"/>
      <c r="AI204" s="5"/>
      <c r="AJ204" s="5"/>
      <c r="AK204" s="5" t="s">
        <v>489</v>
      </c>
    </row>
    <row r="205" spans="1:37" ht="15" hidden="1" customHeight="1">
      <c r="A205" s="30">
        <v>238</v>
      </c>
      <c r="B205" s="111">
        <v>44766</v>
      </c>
      <c r="C205" s="29">
        <f>B205</f>
        <v>44766</v>
      </c>
      <c r="D205" s="8" t="s">
        <v>37</v>
      </c>
      <c r="E205" s="8" t="s">
        <v>490</v>
      </c>
      <c r="F205" s="5" t="str">
        <f>E205</f>
        <v>fitri wahyudi</v>
      </c>
      <c r="G205" s="9" t="s">
        <v>86</v>
      </c>
      <c r="H205" s="104"/>
      <c r="I205" s="95">
        <v>0</v>
      </c>
      <c r="J205" s="95">
        <v>0</v>
      </c>
      <c r="K205" s="95">
        <v>0</v>
      </c>
      <c r="L205" s="95">
        <v>0</v>
      </c>
      <c r="M205" s="95">
        <v>0</v>
      </c>
      <c r="N205" s="95">
        <v>0</v>
      </c>
      <c r="O205" s="95">
        <v>0</v>
      </c>
      <c r="P205" s="95">
        <v>0</v>
      </c>
      <c r="Q205" s="95">
        <v>0</v>
      </c>
      <c r="R205" s="95">
        <v>0</v>
      </c>
      <c r="S205" s="95">
        <v>0</v>
      </c>
      <c r="T205" s="95">
        <v>0</v>
      </c>
      <c r="U205" s="95">
        <v>0</v>
      </c>
      <c r="V205" s="95">
        <v>0</v>
      </c>
      <c r="W205" s="95">
        <v>0</v>
      </c>
      <c r="X205" s="95">
        <v>0</v>
      </c>
      <c r="Y205" s="95">
        <v>0</v>
      </c>
      <c r="Z205" s="95"/>
      <c r="AA205" s="8" t="s">
        <v>491</v>
      </c>
      <c r="AB205" s="63" t="s">
        <v>492</v>
      </c>
      <c r="AC205" s="63" t="s">
        <v>493</v>
      </c>
      <c r="AD205" s="8" t="s">
        <v>493</v>
      </c>
      <c r="AE205" s="11"/>
      <c r="AF205" s="19" t="s">
        <v>494</v>
      </c>
      <c r="AG205" t="e">
        <f>VLOOKUP(OfficeForms.Table[[#This Row],[Nama Proyek]],'Nama Proyek'!$D$2:$G$29,4,0)</f>
        <v>#N/A</v>
      </c>
      <c r="AH205" s="5"/>
      <c r="AI205" s="5"/>
      <c r="AJ205" s="5"/>
      <c r="AK205" s="5" t="s">
        <v>495</v>
      </c>
    </row>
    <row r="206" spans="1:37" ht="15" hidden="1" customHeight="1">
      <c r="A206" s="31">
        <v>229</v>
      </c>
      <c r="B206" s="110">
        <v>44767</v>
      </c>
      <c r="C206" s="28">
        <f>B206</f>
        <v>44767</v>
      </c>
      <c r="D206" s="19" t="s">
        <v>37</v>
      </c>
      <c r="E206" s="19" t="s">
        <v>166</v>
      </c>
      <c r="F206" s="5" t="str">
        <f>E206</f>
        <v>Ganis Satria Pratama</v>
      </c>
      <c r="G206" s="9" t="s">
        <v>167</v>
      </c>
      <c r="H206" s="106">
        <v>44759</v>
      </c>
      <c r="I206" s="96">
        <v>59.73</v>
      </c>
      <c r="J206" s="96">
        <v>87.07</v>
      </c>
      <c r="K206" s="96">
        <v>100</v>
      </c>
      <c r="L206" s="96">
        <v>58.56</v>
      </c>
      <c r="M206" s="96">
        <v>0</v>
      </c>
      <c r="N206" s="96">
        <v>100</v>
      </c>
      <c r="O206" s="96">
        <v>0</v>
      </c>
      <c r="P206" s="96">
        <v>63.26</v>
      </c>
      <c r="Q206" s="96">
        <v>0</v>
      </c>
      <c r="R206" s="96">
        <v>0</v>
      </c>
      <c r="S206" s="96">
        <v>0</v>
      </c>
      <c r="T206" s="96">
        <v>0</v>
      </c>
      <c r="U206" s="96">
        <v>0</v>
      </c>
      <c r="V206" s="96">
        <v>0</v>
      </c>
      <c r="W206" s="96">
        <v>0</v>
      </c>
      <c r="X206" s="96">
        <v>0</v>
      </c>
      <c r="Y206" s="96">
        <v>0</v>
      </c>
      <c r="Z206" s="96"/>
      <c r="AA206" s="19"/>
      <c r="AB206" s="19"/>
      <c r="AC206" s="19"/>
      <c r="AD206" s="19"/>
      <c r="AE206" s="13"/>
      <c r="AF206" s="8"/>
      <c r="AG206" t="str">
        <f>VLOOKUP(OfficeForms.Table[[#This Row],[Nama Proyek]],'Nama Proyek'!$D$2:$G$29,4,0)</f>
        <v>2.426249030,128.29766314</v>
      </c>
      <c r="AH206" s="5"/>
      <c r="AI206" s="5"/>
      <c r="AJ206" s="5"/>
      <c r="AK206" s="5" t="s">
        <v>496</v>
      </c>
    </row>
    <row r="207" spans="1:37" ht="15" hidden="1" customHeight="1">
      <c r="A207">
        <v>239</v>
      </c>
      <c r="B207" s="110">
        <v>44767</v>
      </c>
      <c r="C207" s="28">
        <f>B207</f>
        <v>44767</v>
      </c>
      <c r="D207" s="19" t="s">
        <v>37</v>
      </c>
      <c r="E207" s="19" t="s">
        <v>166</v>
      </c>
      <c r="F207" s="5" t="str">
        <f>E207</f>
        <v>Ganis Satria Pratama</v>
      </c>
      <c r="G207" s="9" t="s">
        <v>167</v>
      </c>
      <c r="H207" s="106"/>
      <c r="I207" s="96">
        <v>0</v>
      </c>
      <c r="J207" s="96">
        <v>0</v>
      </c>
      <c r="K207" s="96">
        <v>0</v>
      </c>
      <c r="L207" s="96">
        <v>0</v>
      </c>
      <c r="M207" s="96">
        <v>0</v>
      </c>
      <c r="N207" s="96">
        <v>0</v>
      </c>
      <c r="O207" s="96">
        <v>0</v>
      </c>
      <c r="P207" s="96">
        <v>0</v>
      </c>
      <c r="Q207" s="96">
        <v>0</v>
      </c>
      <c r="R207" s="96">
        <v>0</v>
      </c>
      <c r="S207" s="96">
        <v>0</v>
      </c>
      <c r="T207" s="96">
        <v>0</v>
      </c>
      <c r="U207" s="96">
        <v>0</v>
      </c>
      <c r="V207" s="96">
        <v>0</v>
      </c>
      <c r="W207" s="96">
        <v>0</v>
      </c>
      <c r="X207" s="96">
        <v>0</v>
      </c>
      <c r="Y207" s="96">
        <v>0</v>
      </c>
      <c r="Z207" s="96"/>
      <c r="AA207" s="19"/>
      <c r="AB207" s="19"/>
      <c r="AC207" s="19"/>
      <c r="AD207" s="19"/>
      <c r="AE207" s="13" t="s">
        <v>497</v>
      </c>
      <c r="AF207" s="8"/>
      <c r="AG207" t="str">
        <f>VLOOKUP(OfficeForms.Table[[#This Row],[Nama Proyek]],'Nama Proyek'!$D$2:$G$29,4,0)</f>
        <v>2.426249030,128.29766314</v>
      </c>
      <c r="AH207" s="5"/>
      <c r="AI207" s="5"/>
      <c r="AJ207" s="5"/>
      <c r="AK207" s="5" t="s">
        <v>498</v>
      </c>
    </row>
    <row r="208" spans="1:37" ht="15" hidden="1" customHeight="1">
      <c r="A208" s="50">
        <v>240</v>
      </c>
      <c r="B208" s="111">
        <v>44767</v>
      </c>
      <c r="C208" s="29">
        <f>B208</f>
        <v>44767</v>
      </c>
      <c r="D208" s="8" t="s">
        <v>37</v>
      </c>
      <c r="E208" s="8" t="s">
        <v>278</v>
      </c>
      <c r="F208" s="5" t="str">
        <f>E208</f>
        <v>Teddy Pradana</v>
      </c>
      <c r="G208" s="9" t="s">
        <v>167</v>
      </c>
      <c r="H208" s="104"/>
      <c r="I208" s="95">
        <v>0</v>
      </c>
      <c r="J208" s="95">
        <v>0</v>
      </c>
      <c r="K208" s="95">
        <v>0</v>
      </c>
      <c r="L208" s="95">
        <v>0</v>
      </c>
      <c r="M208" s="95">
        <v>0</v>
      </c>
      <c r="N208" s="95">
        <v>0</v>
      </c>
      <c r="O208" s="95">
        <v>0</v>
      </c>
      <c r="P208" s="95">
        <v>0</v>
      </c>
      <c r="Q208" s="95">
        <v>0</v>
      </c>
      <c r="R208" s="95">
        <v>0</v>
      </c>
      <c r="S208" s="95">
        <v>0</v>
      </c>
      <c r="T208" s="95">
        <v>0</v>
      </c>
      <c r="U208" s="95">
        <v>0</v>
      </c>
      <c r="V208" s="95">
        <v>0</v>
      </c>
      <c r="W208" s="95">
        <v>0</v>
      </c>
      <c r="X208" s="95">
        <v>0</v>
      </c>
      <c r="Y208" s="95">
        <v>0</v>
      </c>
      <c r="Z208" s="95"/>
      <c r="AA208" s="8"/>
      <c r="AB208" s="8" t="s">
        <v>499</v>
      </c>
      <c r="AC208" s="8"/>
      <c r="AD208" s="8"/>
      <c r="AE208" s="11"/>
      <c r="AF208" s="19"/>
      <c r="AG208" t="str">
        <f>VLOOKUP(OfficeForms.Table[[#This Row],[Nama Proyek]],'Nama Proyek'!$D$2:$G$29,4,0)</f>
        <v>2.426249030,128.29766314</v>
      </c>
      <c r="AH208" s="5"/>
      <c r="AI208" s="5"/>
      <c r="AJ208" s="5"/>
      <c r="AK208" s="5" t="s">
        <v>500</v>
      </c>
    </row>
    <row r="209" spans="1:37" ht="15" hidden="1" customHeight="1">
      <c r="A209" s="31">
        <v>476</v>
      </c>
      <c r="B209" s="111">
        <v>44767</v>
      </c>
      <c r="C209" s="29">
        <f>B209</f>
        <v>44767</v>
      </c>
      <c r="D209" s="8" t="s">
        <v>37</v>
      </c>
      <c r="E209" s="8" t="s">
        <v>54</v>
      </c>
      <c r="F209" s="5" t="str">
        <f>E209</f>
        <v>Haryo Widiandoko</v>
      </c>
      <c r="G209" s="9" t="s">
        <v>55</v>
      </c>
      <c r="H209" s="104"/>
      <c r="I209" s="95">
        <v>0</v>
      </c>
      <c r="J209" s="95">
        <v>0</v>
      </c>
      <c r="K209" s="95">
        <v>0</v>
      </c>
      <c r="L209" s="95">
        <v>0</v>
      </c>
      <c r="M209" s="95">
        <v>0</v>
      </c>
      <c r="N209" s="95">
        <v>0</v>
      </c>
      <c r="O209" s="95">
        <v>0</v>
      </c>
      <c r="P209" s="95">
        <v>0</v>
      </c>
      <c r="Q209" s="95">
        <v>0</v>
      </c>
      <c r="R209" s="95">
        <v>0</v>
      </c>
      <c r="S209" s="95">
        <v>0</v>
      </c>
      <c r="T209" s="95">
        <v>0</v>
      </c>
      <c r="U209" s="95">
        <v>0</v>
      </c>
      <c r="V209" s="95">
        <v>0</v>
      </c>
      <c r="W209" s="95">
        <v>0</v>
      </c>
      <c r="X209" s="95">
        <v>0</v>
      </c>
      <c r="Y209" s="95">
        <v>0</v>
      </c>
      <c r="Z209" s="95"/>
      <c r="AA209" s="8" t="s">
        <v>237</v>
      </c>
      <c r="AB209" s="8" t="s">
        <v>237</v>
      </c>
      <c r="AC209" s="8" t="s">
        <v>501</v>
      </c>
      <c r="AD209" s="8" t="s">
        <v>502</v>
      </c>
      <c r="AE209" s="11"/>
      <c r="AF209" s="8"/>
      <c r="AG209" t="str">
        <f>VLOOKUP(OfficeForms.Table[[#This Row],[Nama Proyek]],'Nama Proyek'!$D$2:$G$29,4,0)</f>
        <v>-6.42873464,107.19897003</v>
      </c>
      <c r="AH209" s="5"/>
      <c r="AI209" s="5"/>
      <c r="AJ209" s="5"/>
      <c r="AK209" s="5" t="s">
        <v>503</v>
      </c>
    </row>
    <row r="210" spans="1:37" ht="15" hidden="1" customHeight="1">
      <c r="A210">
        <v>852</v>
      </c>
      <c r="B210" s="111">
        <v>44773</v>
      </c>
      <c r="C210" s="29">
        <f>B210</f>
        <v>44773</v>
      </c>
      <c r="D210" s="8" t="s">
        <v>37</v>
      </c>
      <c r="E210" s="8" t="s">
        <v>504</v>
      </c>
      <c r="F210" s="5" t="str">
        <f>E210</f>
        <v>Fathan Zul Waskito</v>
      </c>
      <c r="G210" s="9" t="s">
        <v>472</v>
      </c>
      <c r="H210" s="105">
        <v>44773</v>
      </c>
      <c r="I210" s="95">
        <v>17.158000000000001</v>
      </c>
      <c r="J210" s="95">
        <v>9.2309999999999999</v>
      </c>
      <c r="K210" s="95">
        <v>0</v>
      </c>
      <c r="L210" s="95">
        <v>16.018999999999998</v>
      </c>
      <c r="M210" s="95">
        <v>0</v>
      </c>
      <c r="N210" s="95">
        <v>0</v>
      </c>
      <c r="O210" s="95">
        <v>0</v>
      </c>
      <c r="P210" s="95">
        <v>0</v>
      </c>
      <c r="Q210" s="95">
        <v>0</v>
      </c>
      <c r="R210" s="95">
        <v>0</v>
      </c>
      <c r="S210" s="95">
        <v>0</v>
      </c>
      <c r="T210" s="95">
        <v>0</v>
      </c>
      <c r="U210" s="95">
        <v>0</v>
      </c>
      <c r="V210" s="95">
        <v>0</v>
      </c>
      <c r="W210" s="95">
        <v>0</v>
      </c>
      <c r="X210" s="95">
        <v>0</v>
      </c>
      <c r="Y210" s="95">
        <v>0</v>
      </c>
      <c r="Z210" s="95"/>
      <c r="AA210" s="8"/>
      <c r="AB210" s="8"/>
      <c r="AC210" s="8"/>
      <c r="AD210" s="8"/>
      <c r="AE210" s="11"/>
      <c r="AF210" s="19"/>
      <c r="AG210" t="str">
        <f>VLOOKUP(OfficeForms.Table[[#This Row],[Nama Proyek]],'Nama Proyek'!$D$2:$G$29,4,0)</f>
        <v>-8.29394978,112.00545006</v>
      </c>
      <c r="AH210" s="5"/>
      <c r="AI210" s="5"/>
      <c r="AJ210" s="5"/>
      <c r="AK210" s="5" t="s">
        <v>505</v>
      </c>
    </row>
    <row r="211" spans="1:37" ht="15" hidden="1" customHeight="1">
      <c r="A211" s="50">
        <v>805</v>
      </c>
      <c r="B211" s="110">
        <v>44785</v>
      </c>
      <c r="C211" s="28">
        <f>B211</f>
        <v>44785</v>
      </c>
      <c r="D211" s="19" t="s">
        <v>37</v>
      </c>
      <c r="E211" s="19" t="s">
        <v>64</v>
      </c>
      <c r="F211" s="5" t="str">
        <f>E211</f>
        <v>Nizar Zulkarnain</v>
      </c>
      <c r="G211" s="19" t="s">
        <v>65</v>
      </c>
      <c r="H211" s="106">
        <v>44899</v>
      </c>
      <c r="I211" s="96">
        <v>73.843000000000004</v>
      </c>
      <c r="J211" s="96">
        <v>78.655000000000001</v>
      </c>
      <c r="K211" s="96">
        <v>64.36</v>
      </c>
      <c r="L211" s="96">
        <v>57.51</v>
      </c>
      <c r="M211" s="96">
        <v>81.55</v>
      </c>
      <c r="N211" s="96">
        <v>83.14</v>
      </c>
      <c r="O211" s="96">
        <v>49.39</v>
      </c>
      <c r="P211" s="96">
        <v>61.09</v>
      </c>
      <c r="Q211" s="96">
        <v>57.22</v>
      </c>
      <c r="R211" s="96">
        <v>55.36</v>
      </c>
      <c r="S211" s="96">
        <v>83.32</v>
      </c>
      <c r="T211" s="96">
        <v>89.92</v>
      </c>
      <c r="U211" s="96">
        <v>34.6</v>
      </c>
      <c r="V211" s="96">
        <v>18.399999999999999</v>
      </c>
      <c r="W211" s="96">
        <v>0</v>
      </c>
      <c r="X211" s="96">
        <v>98.36</v>
      </c>
      <c r="Y211" s="96">
        <v>41.02</v>
      </c>
      <c r="Z211" s="96"/>
      <c r="AA211" s="19"/>
      <c r="AB211" s="19"/>
      <c r="AC211" s="19"/>
      <c r="AD211" s="19"/>
      <c r="AE211" s="13"/>
      <c r="AF211" s="9"/>
      <c r="AG211" t="str">
        <f>VLOOKUP(OfficeForms.Table[[#This Row],[Nama Proyek]],'Nama Proyek'!$D$2:$G$29,4,0)</f>
        <v>-6.35008011,107.02324233</v>
      </c>
      <c r="AH211" s="5"/>
      <c r="AI211" s="5"/>
      <c r="AJ211" s="5"/>
      <c r="AK211" s="5" t="s">
        <v>506</v>
      </c>
    </row>
    <row r="212" spans="1:37" ht="15" hidden="1" customHeight="1">
      <c r="A212" s="31">
        <v>244</v>
      </c>
      <c r="B212" s="111">
        <v>44793</v>
      </c>
      <c r="C212" s="29">
        <f>B212</f>
        <v>44793</v>
      </c>
      <c r="D212" s="8" t="s">
        <v>37</v>
      </c>
      <c r="E212" s="8" t="s">
        <v>109</v>
      </c>
      <c r="F212" s="5" t="str">
        <f>E212</f>
        <v>Muhamad Saifudin Ashari</v>
      </c>
      <c r="G212" s="9" t="s">
        <v>39</v>
      </c>
      <c r="H212" s="104"/>
      <c r="I212" s="95">
        <v>0</v>
      </c>
      <c r="J212" s="95">
        <v>0</v>
      </c>
      <c r="K212" s="95">
        <v>0</v>
      </c>
      <c r="L212" s="95">
        <v>0</v>
      </c>
      <c r="M212" s="95">
        <v>0</v>
      </c>
      <c r="N212" s="95">
        <v>0</v>
      </c>
      <c r="O212" s="95">
        <v>0</v>
      </c>
      <c r="P212" s="95">
        <v>0</v>
      </c>
      <c r="Q212" s="95">
        <v>0</v>
      </c>
      <c r="R212" s="95">
        <v>0</v>
      </c>
      <c r="S212" s="95">
        <v>0</v>
      </c>
      <c r="T212" s="95">
        <v>0</v>
      </c>
      <c r="U212" s="95">
        <v>0</v>
      </c>
      <c r="V212" s="95">
        <v>0</v>
      </c>
      <c r="W212" s="95">
        <v>0</v>
      </c>
      <c r="X212" s="95">
        <v>0</v>
      </c>
      <c r="Y212" s="95">
        <v>0</v>
      </c>
      <c r="Z212" s="95"/>
      <c r="AA212" s="8" t="s">
        <v>507</v>
      </c>
      <c r="AB212" s="8" t="s">
        <v>508</v>
      </c>
      <c r="AC212" s="8" t="s">
        <v>509</v>
      </c>
      <c r="AD212" s="8" t="s">
        <v>510</v>
      </c>
      <c r="AE212" s="11"/>
      <c r="AF212" s="19"/>
      <c r="AG212" t="str">
        <f>VLOOKUP(OfficeForms.Table[[#This Row],[Nama Proyek]],'Nama Proyek'!$D$2:$G$29,4,0)</f>
        <v>-6.80675464,106.785366</v>
      </c>
      <c r="AH212" s="5"/>
      <c r="AI212" s="5"/>
      <c r="AJ212" s="5"/>
      <c r="AK212" s="5" t="s">
        <v>511</v>
      </c>
    </row>
    <row r="213" spans="1:37" ht="15" customHeight="1">
      <c r="A213" s="31">
        <v>267</v>
      </c>
      <c r="B213" s="110">
        <v>44795</v>
      </c>
      <c r="C213" s="28">
        <f>B213</f>
        <v>44795</v>
      </c>
      <c r="D213" s="19" t="s">
        <v>46</v>
      </c>
      <c r="E213" s="19" t="s">
        <v>355</v>
      </c>
      <c r="F213" s="5" t="str">
        <f>E213</f>
        <v>Andi Firdaus</v>
      </c>
      <c r="G213" s="19" t="s">
        <v>512</v>
      </c>
      <c r="H213" s="106">
        <v>44769</v>
      </c>
      <c r="I213" s="96">
        <v>100</v>
      </c>
      <c r="J213" s="96">
        <v>100</v>
      </c>
      <c r="K213" s="96">
        <v>0</v>
      </c>
      <c r="L213" s="96">
        <v>0</v>
      </c>
      <c r="M213" s="96">
        <v>0</v>
      </c>
      <c r="N213" s="96">
        <v>0</v>
      </c>
      <c r="O213" s="96">
        <v>0</v>
      </c>
      <c r="P213" s="96">
        <v>0</v>
      </c>
      <c r="Q213" s="96">
        <v>0</v>
      </c>
      <c r="R213" s="96">
        <v>100</v>
      </c>
      <c r="S213" s="96">
        <v>0</v>
      </c>
      <c r="T213" s="96">
        <v>0</v>
      </c>
      <c r="U213" s="96">
        <v>100</v>
      </c>
      <c r="V213" s="96">
        <v>0</v>
      </c>
      <c r="W213" s="96">
        <v>0</v>
      </c>
      <c r="X213" s="96">
        <v>0</v>
      </c>
      <c r="Y213" s="96">
        <v>0</v>
      </c>
      <c r="Z213" s="96"/>
      <c r="AA213" s="19"/>
      <c r="AB213" s="19"/>
      <c r="AC213" s="19"/>
      <c r="AD213" s="19"/>
      <c r="AE213" s="13"/>
      <c r="AF213" s="8" t="s">
        <v>513</v>
      </c>
      <c r="AG213" t="e">
        <f>VLOOKUP(OfficeForms.Table[[#This Row],[Nama Proyek]],'Nama Proyek'!$D$2:$G$40,4,0)</f>
        <v>#N/A</v>
      </c>
      <c r="AH213" s="5"/>
      <c r="AI213" s="5"/>
      <c r="AJ213" s="5"/>
      <c r="AK213" s="5" t="s">
        <v>514</v>
      </c>
    </row>
    <row r="214" spans="1:37" ht="15" hidden="1" customHeight="1">
      <c r="A214" s="30">
        <v>279</v>
      </c>
      <c r="B214" s="110">
        <v>44795</v>
      </c>
      <c r="C214" s="28">
        <f>B214</f>
        <v>44795</v>
      </c>
      <c r="D214" s="19" t="s">
        <v>37</v>
      </c>
      <c r="E214" s="19" t="s">
        <v>203</v>
      </c>
      <c r="F214" s="5" t="str">
        <f>E214</f>
        <v>BUDI SUGORO</v>
      </c>
      <c r="G214" s="54" t="s">
        <v>76</v>
      </c>
      <c r="H214" s="106">
        <v>44795</v>
      </c>
      <c r="I214" s="96">
        <v>32.417999999999999</v>
      </c>
      <c r="J214" s="96">
        <v>33.85</v>
      </c>
      <c r="K214" s="96">
        <v>0</v>
      </c>
      <c r="L214" s="96">
        <v>30.911999999999999</v>
      </c>
      <c r="M214" s="96">
        <v>0</v>
      </c>
      <c r="N214" s="96">
        <v>0</v>
      </c>
      <c r="O214" s="96">
        <v>0</v>
      </c>
      <c r="P214" s="96">
        <v>0</v>
      </c>
      <c r="Q214" s="96">
        <v>0</v>
      </c>
      <c r="R214" s="96">
        <v>0.23100000000000001</v>
      </c>
      <c r="S214" s="96">
        <v>0</v>
      </c>
      <c r="T214" s="96">
        <v>0</v>
      </c>
      <c r="U214" s="96">
        <v>0</v>
      </c>
      <c r="V214" s="96">
        <v>0</v>
      </c>
      <c r="W214" s="96">
        <v>0</v>
      </c>
      <c r="X214" s="96">
        <v>0</v>
      </c>
      <c r="Y214" s="96">
        <v>0</v>
      </c>
      <c r="Z214" s="96"/>
      <c r="AA214" s="19"/>
      <c r="AB214" s="19"/>
      <c r="AC214" s="19"/>
      <c r="AD214" s="19"/>
      <c r="AE214" s="13"/>
      <c r="AF214" s="8" t="s">
        <v>515</v>
      </c>
      <c r="AG214" t="str">
        <f>VLOOKUP(OfficeForms.Table[[#This Row],[Nama Proyek]],'Nama Proyek'!$D$2:$G$29,4,0)</f>
        <v>-2.95293103,104.75455094</v>
      </c>
      <c r="AH214" s="5"/>
      <c r="AI214" s="5"/>
      <c r="AJ214" s="5"/>
      <c r="AK214" s="5" t="s">
        <v>516</v>
      </c>
    </row>
    <row r="215" spans="1:37" ht="15" customHeight="1">
      <c r="A215" s="50">
        <v>268</v>
      </c>
      <c r="B215" s="111">
        <v>44795</v>
      </c>
      <c r="C215" s="29">
        <f>B215</f>
        <v>44795</v>
      </c>
      <c r="D215" s="8" t="s">
        <v>46</v>
      </c>
      <c r="E215" s="8" t="s">
        <v>355</v>
      </c>
      <c r="F215" s="5" t="str">
        <f>E215</f>
        <v>Andi Firdaus</v>
      </c>
      <c r="G215" s="17" t="s">
        <v>512</v>
      </c>
      <c r="H215" s="104"/>
      <c r="I215" s="95">
        <v>0</v>
      </c>
      <c r="J215" s="95">
        <v>0</v>
      </c>
      <c r="K215" s="95">
        <v>0</v>
      </c>
      <c r="L215" s="95">
        <v>0</v>
      </c>
      <c r="M215" s="95">
        <v>0</v>
      </c>
      <c r="N215" s="95">
        <v>0</v>
      </c>
      <c r="O215" s="95">
        <v>0</v>
      </c>
      <c r="P215" s="95">
        <v>0</v>
      </c>
      <c r="Q215" s="95">
        <v>0</v>
      </c>
      <c r="R215" s="95">
        <v>0</v>
      </c>
      <c r="S215" s="95">
        <v>0</v>
      </c>
      <c r="T215" s="95">
        <v>0</v>
      </c>
      <c r="U215" s="95">
        <v>0</v>
      </c>
      <c r="V215" s="95">
        <v>0</v>
      </c>
      <c r="W215" s="95">
        <v>0</v>
      </c>
      <c r="X215" s="95">
        <v>0</v>
      </c>
      <c r="Y215" s="95">
        <v>0</v>
      </c>
      <c r="Z215" s="95"/>
      <c r="AA215" s="8"/>
      <c r="AB215" s="8"/>
      <c r="AC215" s="8"/>
      <c r="AD215" s="8"/>
      <c r="AE215" s="11">
        <v>44568</v>
      </c>
      <c r="AF215" s="19" t="s">
        <v>513</v>
      </c>
      <c r="AG215" t="e">
        <f>VLOOKUP(OfficeForms.Table[[#This Row],[Nama Proyek]],'Nama Proyek'!$D$2:$G$40,4,0)</f>
        <v>#N/A</v>
      </c>
      <c r="AH215" s="5"/>
      <c r="AI215" s="5"/>
      <c r="AJ215" s="5"/>
      <c r="AK215" s="5" t="s">
        <v>517</v>
      </c>
    </row>
    <row r="216" spans="1:37" ht="15" customHeight="1">
      <c r="A216">
        <v>269</v>
      </c>
      <c r="B216" s="110">
        <v>44795</v>
      </c>
      <c r="C216" s="28">
        <f>B216</f>
        <v>44795</v>
      </c>
      <c r="D216" s="19" t="s">
        <v>46</v>
      </c>
      <c r="E216" s="19" t="s">
        <v>355</v>
      </c>
      <c r="F216" s="5" t="str">
        <f>E216</f>
        <v>Andi Firdaus</v>
      </c>
      <c r="G216" s="42" t="s">
        <v>512</v>
      </c>
      <c r="H216" s="106"/>
      <c r="I216" s="96">
        <v>0</v>
      </c>
      <c r="J216" s="96">
        <v>0</v>
      </c>
      <c r="K216" s="96">
        <v>0</v>
      </c>
      <c r="L216" s="96">
        <v>0</v>
      </c>
      <c r="M216" s="96">
        <v>0</v>
      </c>
      <c r="N216" s="96">
        <v>0</v>
      </c>
      <c r="O216" s="96">
        <v>0</v>
      </c>
      <c r="P216" s="96">
        <v>0</v>
      </c>
      <c r="Q216" s="96">
        <v>0</v>
      </c>
      <c r="R216" s="96">
        <v>0</v>
      </c>
      <c r="S216" s="96">
        <v>0</v>
      </c>
      <c r="T216" s="96">
        <v>0</v>
      </c>
      <c r="U216" s="96">
        <v>0</v>
      </c>
      <c r="V216" s="96">
        <v>0</v>
      </c>
      <c r="W216" s="96">
        <v>0</v>
      </c>
      <c r="X216" s="96">
        <v>0</v>
      </c>
      <c r="Y216" s="96">
        <v>0</v>
      </c>
      <c r="Z216" s="96"/>
      <c r="AA216" s="19"/>
      <c r="AB216" s="19"/>
      <c r="AC216" s="19"/>
      <c r="AD216" s="19"/>
      <c r="AE216" s="13">
        <v>44568</v>
      </c>
      <c r="AF216" s="8" t="s">
        <v>518</v>
      </c>
      <c r="AG216" t="e">
        <f>VLOOKUP(OfficeForms.Table[[#This Row],[Nama Proyek]],'Nama Proyek'!$D$2:$G$40,4,0)</f>
        <v>#N/A</v>
      </c>
      <c r="AH216" s="5"/>
      <c r="AI216" s="5"/>
      <c r="AJ216" s="5"/>
      <c r="AK216" s="5" t="s">
        <v>519</v>
      </c>
    </row>
    <row r="217" spans="1:37" ht="15" customHeight="1">
      <c r="A217" s="31">
        <v>270</v>
      </c>
      <c r="B217" s="111">
        <v>44795</v>
      </c>
      <c r="C217" s="29">
        <f>B217</f>
        <v>44795</v>
      </c>
      <c r="D217" s="8" t="s">
        <v>46</v>
      </c>
      <c r="E217" s="8" t="s">
        <v>355</v>
      </c>
      <c r="F217" s="5" t="str">
        <f>E217</f>
        <v>Andi Firdaus</v>
      </c>
      <c r="G217" s="17" t="s">
        <v>512</v>
      </c>
      <c r="H217" s="104"/>
      <c r="I217" s="95">
        <v>0</v>
      </c>
      <c r="J217" s="95">
        <v>0</v>
      </c>
      <c r="K217" s="95">
        <v>0</v>
      </c>
      <c r="L217" s="95">
        <v>0</v>
      </c>
      <c r="M217" s="95">
        <v>0</v>
      </c>
      <c r="N217" s="95">
        <v>0</v>
      </c>
      <c r="O217" s="95">
        <v>0</v>
      </c>
      <c r="P217" s="95">
        <v>0</v>
      </c>
      <c r="Q217" s="95">
        <v>0</v>
      </c>
      <c r="R217" s="95">
        <v>0</v>
      </c>
      <c r="S217" s="95">
        <v>0</v>
      </c>
      <c r="T217" s="95">
        <v>0</v>
      </c>
      <c r="U217" s="95">
        <v>0</v>
      </c>
      <c r="V217" s="95">
        <v>0</v>
      </c>
      <c r="W217" s="95">
        <v>0</v>
      </c>
      <c r="X217" s="95">
        <v>0</v>
      </c>
      <c r="Y217" s="95">
        <v>0</v>
      </c>
      <c r="Z217" s="95"/>
      <c r="AA217" s="8"/>
      <c r="AB217" s="8"/>
      <c r="AC217" s="8"/>
      <c r="AD217" s="8"/>
      <c r="AE217" s="11">
        <v>44568</v>
      </c>
      <c r="AF217" s="19" t="s">
        <v>518</v>
      </c>
      <c r="AG217" t="e">
        <f>VLOOKUP(OfficeForms.Table[[#This Row],[Nama Proyek]],'Nama Proyek'!$D$2:$G$40,4,0)</f>
        <v>#N/A</v>
      </c>
      <c r="AH217" s="5"/>
      <c r="AI217" s="5"/>
      <c r="AJ217" s="5"/>
      <c r="AK217" s="5" t="s">
        <v>520</v>
      </c>
    </row>
    <row r="218" spans="1:37" ht="15" customHeight="1">
      <c r="A218" s="30">
        <v>271</v>
      </c>
      <c r="B218" s="110">
        <v>44795</v>
      </c>
      <c r="C218" s="28">
        <f>B218</f>
        <v>44795</v>
      </c>
      <c r="D218" s="19" t="s">
        <v>46</v>
      </c>
      <c r="E218" s="19" t="s">
        <v>355</v>
      </c>
      <c r="F218" s="5" t="str">
        <f>E218</f>
        <v>Andi Firdaus</v>
      </c>
      <c r="G218" s="19" t="s">
        <v>512</v>
      </c>
      <c r="H218" s="106"/>
      <c r="I218" s="96">
        <v>0</v>
      </c>
      <c r="J218" s="96">
        <v>0</v>
      </c>
      <c r="K218" s="96">
        <v>0</v>
      </c>
      <c r="L218" s="96">
        <v>0</v>
      </c>
      <c r="M218" s="96">
        <v>0</v>
      </c>
      <c r="N218" s="96">
        <v>0</v>
      </c>
      <c r="O218" s="96">
        <v>0</v>
      </c>
      <c r="P218" s="96">
        <v>0</v>
      </c>
      <c r="Q218" s="96">
        <v>0</v>
      </c>
      <c r="R218" s="96">
        <v>0</v>
      </c>
      <c r="S218" s="96">
        <v>0</v>
      </c>
      <c r="T218" s="96">
        <v>0</v>
      </c>
      <c r="U218" s="96">
        <v>0</v>
      </c>
      <c r="V218" s="96">
        <v>0</v>
      </c>
      <c r="W218" s="96">
        <v>0</v>
      </c>
      <c r="X218" s="96">
        <v>0</v>
      </c>
      <c r="Y218" s="96">
        <v>0</v>
      </c>
      <c r="Z218" s="96"/>
      <c r="AA218" s="19"/>
      <c r="AB218" s="19"/>
      <c r="AC218" s="19"/>
      <c r="AD218" s="19"/>
      <c r="AE218" s="13">
        <v>44568</v>
      </c>
      <c r="AF218" s="8"/>
      <c r="AG218" t="e">
        <f>VLOOKUP(OfficeForms.Table[[#This Row],[Nama Proyek]],'Nama Proyek'!$D$2:$G$40,4,0)</f>
        <v>#N/A</v>
      </c>
      <c r="AH218" s="5"/>
      <c r="AI218" s="5"/>
      <c r="AJ218" s="5"/>
      <c r="AK218" s="5" t="s">
        <v>521</v>
      </c>
    </row>
    <row r="219" spans="1:37" ht="15" hidden="1" customHeight="1">
      <c r="A219" s="31">
        <v>272</v>
      </c>
      <c r="B219" s="111">
        <v>44795</v>
      </c>
      <c r="C219" s="29">
        <f>B219</f>
        <v>44795</v>
      </c>
      <c r="D219" s="8" t="s">
        <v>37</v>
      </c>
      <c r="E219" s="8" t="s">
        <v>214</v>
      </c>
      <c r="F219" s="5" t="str">
        <f>E219</f>
        <v>BASUKI RAHMAT HAKIM</v>
      </c>
      <c r="G219" s="60" t="s">
        <v>48</v>
      </c>
      <c r="H219" s="104"/>
      <c r="I219" s="95">
        <v>0</v>
      </c>
      <c r="J219" s="95">
        <v>0</v>
      </c>
      <c r="K219" s="95">
        <v>0</v>
      </c>
      <c r="L219" s="95">
        <v>0</v>
      </c>
      <c r="M219" s="95">
        <v>0</v>
      </c>
      <c r="N219" s="95">
        <v>0</v>
      </c>
      <c r="O219" s="95">
        <v>0</v>
      </c>
      <c r="P219" s="95">
        <v>0</v>
      </c>
      <c r="Q219" s="95">
        <v>0</v>
      </c>
      <c r="R219" s="95">
        <v>0</v>
      </c>
      <c r="S219" s="95">
        <v>0</v>
      </c>
      <c r="T219" s="95">
        <v>0</v>
      </c>
      <c r="U219" s="95">
        <v>0</v>
      </c>
      <c r="V219" s="95">
        <v>0</v>
      </c>
      <c r="W219" s="95">
        <v>0</v>
      </c>
      <c r="X219" s="95">
        <v>0</v>
      </c>
      <c r="Y219" s="95">
        <v>0</v>
      </c>
      <c r="Z219" s="95"/>
      <c r="AA219" s="8" t="s">
        <v>522</v>
      </c>
      <c r="AB219" s="8" t="s">
        <v>523</v>
      </c>
      <c r="AC219" s="8" t="s">
        <v>524</v>
      </c>
      <c r="AD219" s="8"/>
      <c r="AE219" s="11"/>
      <c r="AF219" s="19" t="s">
        <v>525</v>
      </c>
      <c r="AG219" t="str">
        <f>VLOOKUP(OfficeForms.Table[[#This Row],[Nama Proyek]],'Nama Proyek'!$D$2:$G$29,4,0)</f>
        <v>3.76047575,115.89977678</v>
      </c>
      <c r="AH219" s="5"/>
      <c r="AI219" s="5"/>
      <c r="AJ219" s="5"/>
      <c r="AK219" s="5" t="s">
        <v>526</v>
      </c>
    </row>
    <row r="220" spans="1:37" ht="15" hidden="1" customHeight="1">
      <c r="A220" s="50">
        <v>273</v>
      </c>
      <c r="B220" s="110">
        <v>44795</v>
      </c>
      <c r="C220" s="28">
        <f>B220</f>
        <v>44795</v>
      </c>
      <c r="D220" s="19" t="s">
        <v>37</v>
      </c>
      <c r="E220" s="19" t="s">
        <v>379</v>
      </c>
      <c r="F220" s="5" t="str">
        <f>E220</f>
        <v>Aditya Angga</v>
      </c>
      <c r="G220" s="54" t="s">
        <v>76</v>
      </c>
      <c r="H220" s="106"/>
      <c r="I220" s="96">
        <v>0</v>
      </c>
      <c r="J220" s="96">
        <v>0</v>
      </c>
      <c r="K220" s="96">
        <v>0</v>
      </c>
      <c r="L220" s="96">
        <v>0</v>
      </c>
      <c r="M220" s="96">
        <v>0</v>
      </c>
      <c r="N220" s="96">
        <v>0</v>
      </c>
      <c r="O220" s="96">
        <v>0</v>
      </c>
      <c r="P220" s="96">
        <v>0</v>
      </c>
      <c r="Q220" s="96">
        <v>0</v>
      </c>
      <c r="R220" s="96">
        <v>0</v>
      </c>
      <c r="S220" s="96">
        <v>0</v>
      </c>
      <c r="T220" s="96">
        <v>0</v>
      </c>
      <c r="U220" s="96">
        <v>0</v>
      </c>
      <c r="V220" s="96">
        <v>0</v>
      </c>
      <c r="W220" s="96">
        <v>0</v>
      </c>
      <c r="X220" s="96">
        <v>0</v>
      </c>
      <c r="Y220" s="96">
        <v>0</v>
      </c>
      <c r="Z220" s="96"/>
      <c r="AA220" s="19"/>
      <c r="AB220" s="19"/>
      <c r="AC220" s="19"/>
      <c r="AD220" s="19"/>
      <c r="AE220" s="13" t="s">
        <v>527</v>
      </c>
      <c r="AF220" s="8" t="s">
        <v>528</v>
      </c>
      <c r="AG220" t="str">
        <f>VLOOKUP(OfficeForms.Table[[#This Row],[Nama Proyek]],'Nama Proyek'!$D$2:$G$29,4,0)</f>
        <v>-2.95293103,104.75455094</v>
      </c>
      <c r="AH220" s="5"/>
      <c r="AI220" s="5"/>
      <c r="AJ220" s="5"/>
      <c r="AK220" s="5" t="s">
        <v>529</v>
      </c>
    </row>
    <row r="221" spans="1:37" ht="15" customHeight="1">
      <c r="A221">
        <v>274</v>
      </c>
      <c r="B221" s="111">
        <v>44795</v>
      </c>
      <c r="C221" s="29">
        <f>B221</f>
        <v>44795</v>
      </c>
      <c r="D221" s="8" t="s">
        <v>46</v>
      </c>
      <c r="E221" s="8" t="s">
        <v>355</v>
      </c>
      <c r="F221" s="5" t="str">
        <f>E221</f>
        <v>Andi Firdaus</v>
      </c>
      <c r="G221" s="9" t="s">
        <v>512</v>
      </c>
      <c r="H221" s="104"/>
      <c r="I221" s="95">
        <v>0</v>
      </c>
      <c r="J221" s="95">
        <v>0</v>
      </c>
      <c r="K221" s="95">
        <v>0</v>
      </c>
      <c r="L221" s="95">
        <v>0</v>
      </c>
      <c r="M221" s="95">
        <v>0</v>
      </c>
      <c r="N221" s="95">
        <v>0</v>
      </c>
      <c r="O221" s="95">
        <v>0</v>
      </c>
      <c r="P221" s="95">
        <v>0</v>
      </c>
      <c r="Q221" s="95">
        <v>0</v>
      </c>
      <c r="R221" s="95">
        <v>0</v>
      </c>
      <c r="S221" s="95">
        <v>0</v>
      </c>
      <c r="T221" s="95">
        <v>0</v>
      </c>
      <c r="U221" s="95">
        <v>0</v>
      </c>
      <c r="V221" s="95">
        <v>0</v>
      </c>
      <c r="W221" s="95">
        <v>0</v>
      </c>
      <c r="X221" s="95">
        <v>0</v>
      </c>
      <c r="Y221" s="95">
        <v>0</v>
      </c>
      <c r="Z221" s="95"/>
      <c r="AA221" s="8"/>
      <c r="AB221" s="8"/>
      <c r="AC221" s="8"/>
      <c r="AD221" s="8"/>
      <c r="AE221" s="11">
        <v>44568</v>
      </c>
      <c r="AF221" s="19" t="s">
        <v>528</v>
      </c>
      <c r="AG221" t="e">
        <f>VLOOKUP(OfficeForms.Table[[#This Row],[Nama Proyek]],'Nama Proyek'!$D$2:$G$40,4,0)</f>
        <v>#N/A</v>
      </c>
      <c r="AH221" s="5"/>
      <c r="AI221" s="5"/>
      <c r="AJ221" s="5"/>
      <c r="AK221" s="5" t="s">
        <v>530</v>
      </c>
    </row>
    <row r="222" spans="1:37" ht="15" customHeight="1">
      <c r="A222" s="31">
        <v>275</v>
      </c>
      <c r="B222" s="110">
        <v>44795</v>
      </c>
      <c r="C222" s="28">
        <f>B222</f>
        <v>44795</v>
      </c>
      <c r="D222" s="19" t="s">
        <v>46</v>
      </c>
      <c r="E222" s="19" t="s">
        <v>355</v>
      </c>
      <c r="F222" s="5" t="str">
        <f>E222</f>
        <v>Andi Firdaus</v>
      </c>
      <c r="G222" s="19" t="s">
        <v>512</v>
      </c>
      <c r="H222" s="106"/>
      <c r="I222" s="96">
        <v>0</v>
      </c>
      <c r="J222" s="96">
        <v>0</v>
      </c>
      <c r="K222" s="96">
        <v>0</v>
      </c>
      <c r="L222" s="96">
        <v>0</v>
      </c>
      <c r="M222" s="96">
        <v>0</v>
      </c>
      <c r="N222" s="96">
        <v>0</v>
      </c>
      <c r="O222" s="96">
        <v>0</v>
      </c>
      <c r="P222" s="96">
        <v>0</v>
      </c>
      <c r="Q222" s="96">
        <v>0</v>
      </c>
      <c r="R222" s="96">
        <v>0</v>
      </c>
      <c r="S222" s="96">
        <v>0</v>
      </c>
      <c r="T222" s="96">
        <v>0</v>
      </c>
      <c r="U222" s="96">
        <v>0</v>
      </c>
      <c r="V222" s="96">
        <v>0</v>
      </c>
      <c r="W222" s="96">
        <v>0</v>
      </c>
      <c r="X222" s="96">
        <v>0</v>
      </c>
      <c r="Y222" s="96">
        <v>0</v>
      </c>
      <c r="Z222" s="96"/>
      <c r="AA222" s="19"/>
      <c r="AB222" s="19"/>
      <c r="AC222" s="19"/>
      <c r="AD222" s="19"/>
      <c r="AE222" s="13">
        <v>44568</v>
      </c>
      <c r="AF222" s="8" t="s">
        <v>531</v>
      </c>
      <c r="AG222" t="e">
        <f>VLOOKUP(OfficeForms.Table[[#This Row],[Nama Proyek]],'Nama Proyek'!$D$2:$G$40,4,0)</f>
        <v>#N/A</v>
      </c>
      <c r="AH222" s="5"/>
      <c r="AI222" s="5"/>
      <c r="AJ222" s="5"/>
      <c r="AK222" s="5" t="s">
        <v>532</v>
      </c>
    </row>
    <row r="223" spans="1:37" ht="15" hidden="1" customHeight="1">
      <c r="A223" s="30">
        <v>276</v>
      </c>
      <c r="B223" s="111">
        <v>44795</v>
      </c>
      <c r="C223" s="29">
        <f>B223</f>
        <v>44795</v>
      </c>
      <c r="D223" s="8" t="s">
        <v>37</v>
      </c>
      <c r="E223" s="8" t="s">
        <v>379</v>
      </c>
      <c r="F223" s="5" t="str">
        <f>E223</f>
        <v>Aditya Angga</v>
      </c>
      <c r="G223" s="54" t="s">
        <v>76</v>
      </c>
      <c r="H223" s="104"/>
      <c r="I223" s="95">
        <v>0</v>
      </c>
      <c r="J223" s="95">
        <v>0</v>
      </c>
      <c r="K223" s="95">
        <v>0</v>
      </c>
      <c r="L223" s="95">
        <v>0</v>
      </c>
      <c r="M223" s="95">
        <v>0</v>
      </c>
      <c r="N223" s="95">
        <v>0</v>
      </c>
      <c r="O223" s="95">
        <v>0</v>
      </c>
      <c r="P223" s="95">
        <v>0</v>
      </c>
      <c r="Q223" s="95">
        <v>0</v>
      </c>
      <c r="R223" s="95">
        <v>0</v>
      </c>
      <c r="S223" s="95">
        <v>0</v>
      </c>
      <c r="T223" s="95">
        <v>0</v>
      </c>
      <c r="U223" s="95">
        <v>0</v>
      </c>
      <c r="V223" s="95">
        <v>0</v>
      </c>
      <c r="W223" s="95">
        <v>0</v>
      </c>
      <c r="X223" s="95">
        <v>0</v>
      </c>
      <c r="Y223" s="95">
        <v>0</v>
      </c>
      <c r="Z223" s="95"/>
      <c r="AA223" s="8"/>
      <c r="AB223" s="8"/>
      <c r="AC223" s="8"/>
      <c r="AD223" s="8"/>
      <c r="AE223" s="11" t="s">
        <v>533</v>
      </c>
      <c r="AF223" s="43" t="s">
        <v>534</v>
      </c>
      <c r="AG223" t="str">
        <f>VLOOKUP(OfficeForms.Table[[#This Row],[Nama Proyek]],'Nama Proyek'!$D$2:$G$29,4,0)</f>
        <v>-2.95293103,104.75455094</v>
      </c>
      <c r="AH223" s="5"/>
      <c r="AI223" s="5"/>
      <c r="AJ223" s="5"/>
      <c r="AK223" s="5" t="s">
        <v>535</v>
      </c>
    </row>
    <row r="224" spans="1:37" ht="15" customHeight="1">
      <c r="A224" s="31">
        <v>277</v>
      </c>
      <c r="B224" s="110">
        <v>44795</v>
      </c>
      <c r="C224" s="28">
        <f>B224</f>
        <v>44795</v>
      </c>
      <c r="D224" s="19" t="s">
        <v>46</v>
      </c>
      <c r="E224" s="19" t="s">
        <v>355</v>
      </c>
      <c r="F224" s="5" t="str">
        <f>E224</f>
        <v>Andi Firdaus</v>
      </c>
      <c r="G224" s="19" t="s">
        <v>512</v>
      </c>
      <c r="H224" s="106"/>
      <c r="I224" s="96">
        <v>0</v>
      </c>
      <c r="J224" s="96">
        <v>0</v>
      </c>
      <c r="K224" s="96">
        <v>0</v>
      </c>
      <c r="L224" s="96">
        <v>0</v>
      </c>
      <c r="M224" s="96">
        <v>0</v>
      </c>
      <c r="N224" s="96">
        <v>0</v>
      </c>
      <c r="O224" s="96">
        <v>0</v>
      </c>
      <c r="P224" s="96">
        <v>0</v>
      </c>
      <c r="Q224" s="96">
        <v>0</v>
      </c>
      <c r="R224" s="96">
        <v>0</v>
      </c>
      <c r="S224" s="96">
        <v>0</v>
      </c>
      <c r="T224" s="96">
        <v>0</v>
      </c>
      <c r="U224" s="96">
        <v>0</v>
      </c>
      <c r="V224" s="96">
        <v>0</v>
      </c>
      <c r="W224" s="96">
        <v>0</v>
      </c>
      <c r="X224" s="96">
        <v>0</v>
      </c>
      <c r="Y224" s="96">
        <v>0</v>
      </c>
      <c r="Z224" s="96"/>
      <c r="AA224" s="19"/>
      <c r="AB224" s="19"/>
      <c r="AC224" s="19"/>
      <c r="AD224" s="19"/>
      <c r="AE224" s="13">
        <v>44568</v>
      </c>
      <c r="AF224" s="8" t="s">
        <v>536</v>
      </c>
      <c r="AG224" t="e">
        <f>VLOOKUP(OfficeForms.Table[[#This Row],[Nama Proyek]],'Nama Proyek'!$D$2:$G$40,4,0)</f>
        <v>#N/A</v>
      </c>
      <c r="AH224" s="5"/>
      <c r="AI224" s="5"/>
      <c r="AJ224" s="5"/>
      <c r="AK224" s="5" t="s">
        <v>537</v>
      </c>
    </row>
    <row r="225" spans="1:37" ht="15" hidden="1" customHeight="1">
      <c r="A225">
        <v>278</v>
      </c>
      <c r="B225" s="111">
        <v>44795</v>
      </c>
      <c r="C225" s="29">
        <f>B225</f>
        <v>44795</v>
      </c>
      <c r="D225" s="8" t="s">
        <v>37</v>
      </c>
      <c r="E225" s="8" t="s">
        <v>379</v>
      </c>
      <c r="F225" s="5" t="str">
        <f>E225</f>
        <v>Aditya Angga</v>
      </c>
      <c r="G225" s="54" t="s">
        <v>76</v>
      </c>
      <c r="H225" s="104"/>
      <c r="I225" s="95">
        <v>0</v>
      </c>
      <c r="J225" s="95">
        <v>0</v>
      </c>
      <c r="K225" s="95">
        <v>0</v>
      </c>
      <c r="L225" s="95">
        <v>0</v>
      </c>
      <c r="M225" s="95">
        <v>0</v>
      </c>
      <c r="N225" s="95">
        <v>0</v>
      </c>
      <c r="O225" s="95">
        <v>0</v>
      </c>
      <c r="P225" s="95">
        <v>0</v>
      </c>
      <c r="Q225" s="95">
        <v>0</v>
      </c>
      <c r="R225" s="95">
        <v>0</v>
      </c>
      <c r="S225" s="95">
        <v>0</v>
      </c>
      <c r="T225" s="95">
        <v>0</v>
      </c>
      <c r="U225" s="95">
        <v>0</v>
      </c>
      <c r="V225" s="95">
        <v>0</v>
      </c>
      <c r="W225" s="95">
        <v>0</v>
      </c>
      <c r="X225" s="95">
        <v>0</v>
      </c>
      <c r="Y225" s="95">
        <v>0</v>
      </c>
      <c r="Z225" s="95"/>
      <c r="AA225" s="8"/>
      <c r="AB225" s="8"/>
      <c r="AC225" s="8"/>
      <c r="AD225" s="8"/>
      <c r="AE225" s="11">
        <v>44781</v>
      </c>
      <c r="AF225" s="19"/>
      <c r="AG225" t="str">
        <f>VLOOKUP(OfficeForms.Table[[#This Row],[Nama Proyek]],'Nama Proyek'!$D$2:$G$29,4,0)</f>
        <v>-2.95293103,104.75455094</v>
      </c>
      <c r="AH225" s="5"/>
      <c r="AI225" s="5"/>
      <c r="AJ225" s="5"/>
      <c r="AK225" s="5" t="s">
        <v>538</v>
      </c>
    </row>
    <row r="226" spans="1:37" ht="15" hidden="1" customHeight="1">
      <c r="A226">
        <v>292</v>
      </c>
      <c r="B226" s="111">
        <v>44802</v>
      </c>
      <c r="C226" s="29">
        <f>B226</f>
        <v>44802</v>
      </c>
      <c r="D226" s="9" t="s">
        <v>37</v>
      </c>
      <c r="E226" s="9" t="s">
        <v>166</v>
      </c>
      <c r="F226" s="5" t="str">
        <f>E226</f>
        <v>Ganis Satria Pratama</v>
      </c>
      <c r="G226" s="9" t="s">
        <v>167</v>
      </c>
      <c r="H226" s="104">
        <v>44799</v>
      </c>
      <c r="I226" s="94">
        <v>69.39</v>
      </c>
      <c r="J226" s="94">
        <v>72.95</v>
      </c>
      <c r="K226" s="94">
        <v>100</v>
      </c>
      <c r="L226" s="94">
        <v>69.319999999999993</v>
      </c>
      <c r="M226" s="94">
        <v>0</v>
      </c>
      <c r="N226" s="94">
        <v>100</v>
      </c>
      <c r="O226" s="94">
        <v>0</v>
      </c>
      <c r="P226" s="94">
        <v>41.94</v>
      </c>
      <c r="Q226" s="94">
        <v>0</v>
      </c>
      <c r="R226" s="94">
        <v>0</v>
      </c>
      <c r="S226" s="94">
        <v>0</v>
      </c>
      <c r="T226" s="94">
        <v>0</v>
      </c>
      <c r="U226" s="94">
        <v>0</v>
      </c>
      <c r="V226" s="94">
        <v>0</v>
      </c>
      <c r="W226" s="94">
        <v>0</v>
      </c>
      <c r="X226" s="94">
        <v>0</v>
      </c>
      <c r="Y226" s="94">
        <v>0</v>
      </c>
      <c r="Z226" s="94"/>
      <c r="AA226" s="9"/>
      <c r="AB226" s="9"/>
      <c r="AC226" s="9"/>
      <c r="AD226" s="9"/>
      <c r="AE226" s="12"/>
      <c r="AF226" s="8" t="s">
        <v>539</v>
      </c>
      <c r="AG226" t="str">
        <f>VLOOKUP(OfficeForms.Table[[#This Row],[Nama Proyek]],'Nama Proyek'!$D$2:$G$29,4,0)</f>
        <v>2.426249030,128.29766314</v>
      </c>
      <c r="AH226" s="5"/>
      <c r="AI226" s="5"/>
      <c r="AJ226" s="5"/>
      <c r="AK226" s="5" t="s">
        <v>540</v>
      </c>
    </row>
    <row r="227" spans="1:37" ht="15" hidden="1" customHeight="1">
      <c r="A227" s="30">
        <v>294</v>
      </c>
      <c r="B227" s="111">
        <v>44802</v>
      </c>
      <c r="C227" s="29">
        <f>B227</f>
        <v>44802</v>
      </c>
      <c r="D227" s="9" t="s">
        <v>37</v>
      </c>
      <c r="E227" s="9" t="s">
        <v>82</v>
      </c>
      <c r="F227" s="5" t="str">
        <f>E227</f>
        <v>Ajik Prastiyo</v>
      </c>
      <c r="G227" s="36" t="s">
        <v>80</v>
      </c>
      <c r="H227" s="104">
        <v>44801</v>
      </c>
      <c r="I227" s="94">
        <v>53.17625932</v>
      </c>
      <c r="J227" s="94">
        <v>65.894735080000004</v>
      </c>
      <c r="K227" s="94">
        <v>0.38356349000000001</v>
      </c>
      <c r="L227" s="94">
        <v>9.8725519999999997E-2</v>
      </c>
      <c r="M227" s="94">
        <v>23.182494930000001</v>
      </c>
      <c r="N227" s="94">
        <v>0.46906841999999999</v>
      </c>
      <c r="O227" s="94">
        <v>0.23748639999999999</v>
      </c>
      <c r="P227" s="94">
        <v>2.5927039999999998E-2</v>
      </c>
      <c r="Q227" s="94">
        <v>5.0667300000000002E-3</v>
      </c>
      <c r="R227" s="94">
        <v>4.1895187099999998</v>
      </c>
      <c r="S227" s="94">
        <v>23.978425600000001</v>
      </c>
      <c r="T227" s="94">
        <v>0</v>
      </c>
      <c r="U227" s="94">
        <v>0.16525708</v>
      </c>
      <c r="V227" s="94">
        <v>1.5564349999999999E-2</v>
      </c>
      <c r="W227" s="94">
        <v>3.659606E-2</v>
      </c>
      <c r="X227" s="94">
        <v>0.12110213</v>
      </c>
      <c r="Y227" s="94">
        <v>0</v>
      </c>
      <c r="Z227" s="94"/>
      <c r="AA227" s="9"/>
      <c r="AB227" s="9"/>
      <c r="AC227" s="9"/>
      <c r="AD227" s="9"/>
      <c r="AE227" s="12"/>
      <c r="AF227" s="15" t="s">
        <v>541</v>
      </c>
      <c r="AG227" t="str">
        <f>VLOOKUP(OfficeForms.Table[[#This Row],[Nama Proyek]],'Nama Proyek'!$D$2:$G$29,4,0)</f>
        <v>-7.82225167,113.29968319</v>
      </c>
      <c r="AH227" s="5"/>
      <c r="AI227" s="5"/>
      <c r="AJ227" s="5"/>
      <c r="AK227" s="5" t="s">
        <v>542</v>
      </c>
    </row>
    <row r="228" spans="1:37" ht="15" hidden="1" customHeight="1">
      <c r="A228" s="31">
        <v>714</v>
      </c>
      <c r="B228" s="111">
        <v>44802</v>
      </c>
      <c r="C228" s="29">
        <f>B228</f>
        <v>44802</v>
      </c>
      <c r="D228" s="8" t="s">
        <v>37</v>
      </c>
      <c r="E228" s="8" t="s">
        <v>64</v>
      </c>
      <c r="F228" s="5" t="str">
        <f>E228</f>
        <v>Nizar Zulkarnain</v>
      </c>
      <c r="G228" s="17" t="s">
        <v>65</v>
      </c>
      <c r="H228" s="105">
        <v>44801</v>
      </c>
      <c r="I228" s="95">
        <v>71.468999999999994</v>
      </c>
      <c r="J228" s="95">
        <v>73.489000000000004</v>
      </c>
      <c r="K228" s="95">
        <v>58.12</v>
      </c>
      <c r="L228" s="95">
        <v>57.14</v>
      </c>
      <c r="M228" s="95">
        <v>81.13</v>
      </c>
      <c r="N228" s="95">
        <v>77.67</v>
      </c>
      <c r="O228" s="95">
        <v>46.18</v>
      </c>
      <c r="P228" s="95">
        <v>59.09</v>
      </c>
      <c r="Q228" s="95">
        <v>55.53</v>
      </c>
      <c r="R228" s="95">
        <v>49.66</v>
      </c>
      <c r="S228" s="95">
        <v>82.58</v>
      </c>
      <c r="T228" s="95">
        <v>79.88</v>
      </c>
      <c r="U228" s="95">
        <v>28.6</v>
      </c>
      <c r="V228" s="95">
        <v>13.64</v>
      </c>
      <c r="W228" s="95">
        <v>0</v>
      </c>
      <c r="X228" s="95">
        <v>98.36</v>
      </c>
      <c r="Y228" s="95">
        <v>4.0999999999999996</v>
      </c>
      <c r="Z228" s="95"/>
      <c r="AA228" s="8"/>
      <c r="AB228" s="8"/>
      <c r="AC228" s="8"/>
      <c r="AD228" s="15"/>
      <c r="AE228" s="16"/>
      <c r="AF228" s="8" t="s">
        <v>543</v>
      </c>
      <c r="AG228" t="str">
        <f>VLOOKUP(OfficeForms.Table[[#This Row],[Nama Proyek]],'Nama Proyek'!$D$2:$G$29,4,0)</f>
        <v>-6.35008011,107.02324233</v>
      </c>
      <c r="AH228" s="5"/>
      <c r="AI228" s="5"/>
      <c r="AJ228" s="5"/>
      <c r="AK228" s="5" t="s">
        <v>544</v>
      </c>
    </row>
    <row r="229" spans="1:37" ht="15" hidden="1" customHeight="1">
      <c r="A229" s="31">
        <v>282</v>
      </c>
      <c r="B229" s="111">
        <v>44802</v>
      </c>
      <c r="C229" s="29">
        <f>B229</f>
        <v>44802</v>
      </c>
      <c r="D229" s="8" t="s">
        <v>37</v>
      </c>
      <c r="E229" s="8" t="s">
        <v>85</v>
      </c>
      <c r="F229" s="5" t="str">
        <f>E229</f>
        <v>Nungki Herdiana</v>
      </c>
      <c r="G229" s="9" t="s">
        <v>86</v>
      </c>
      <c r="H229" s="105">
        <v>44802</v>
      </c>
      <c r="I229" s="95">
        <v>80.349999999999994</v>
      </c>
      <c r="J229" s="95">
        <v>87.78</v>
      </c>
      <c r="K229" s="95">
        <v>90.74</v>
      </c>
      <c r="L229" s="95">
        <v>98.27</v>
      </c>
      <c r="M229" s="95">
        <v>98.45</v>
      </c>
      <c r="N229" s="95">
        <v>43.47</v>
      </c>
      <c r="O229" s="95">
        <v>68.27</v>
      </c>
      <c r="P229" s="95">
        <v>183.64</v>
      </c>
      <c r="Q229" s="95">
        <v>74.48</v>
      </c>
      <c r="R229" s="95">
        <v>0</v>
      </c>
      <c r="S229" s="95">
        <v>0</v>
      </c>
      <c r="T229" s="95">
        <v>0</v>
      </c>
      <c r="U229" s="95">
        <v>0</v>
      </c>
      <c r="V229" s="95">
        <v>0</v>
      </c>
      <c r="W229" s="95">
        <v>0</v>
      </c>
      <c r="X229" s="95">
        <v>0</v>
      </c>
      <c r="Y229" s="95">
        <v>0</v>
      </c>
      <c r="Z229" s="95"/>
      <c r="AA229" s="8"/>
      <c r="AB229" s="8"/>
      <c r="AC229" s="8"/>
      <c r="AD229" s="8"/>
      <c r="AE229" s="11"/>
      <c r="AF229" s="19" t="s">
        <v>545</v>
      </c>
      <c r="AG229" t="e">
        <f>VLOOKUP(OfficeForms.Table[[#This Row],[Nama Proyek]],'Nama Proyek'!$D$2:$G$29,4,0)</f>
        <v>#N/A</v>
      </c>
      <c r="AH229" s="5"/>
      <c r="AI229" s="5"/>
      <c r="AJ229" s="5"/>
      <c r="AK229" s="5" t="s">
        <v>546</v>
      </c>
    </row>
    <row r="230" spans="1:37" ht="15" hidden="1" customHeight="1">
      <c r="A230">
        <v>190</v>
      </c>
      <c r="B230" s="111">
        <v>44802</v>
      </c>
      <c r="C230" s="29">
        <f>B230</f>
        <v>44802</v>
      </c>
      <c r="D230" s="8" t="s">
        <v>37</v>
      </c>
      <c r="E230" s="8" t="s">
        <v>64</v>
      </c>
      <c r="F230" s="5" t="str">
        <f>E230</f>
        <v>Nizar Zulkarnain</v>
      </c>
      <c r="G230" s="9" t="s">
        <v>65</v>
      </c>
      <c r="H230" s="104"/>
      <c r="I230" s="95">
        <v>0</v>
      </c>
      <c r="J230" s="95">
        <v>0</v>
      </c>
      <c r="K230" s="95">
        <v>0</v>
      </c>
      <c r="L230" s="95">
        <v>0</v>
      </c>
      <c r="M230" s="95">
        <v>0</v>
      </c>
      <c r="N230" s="95">
        <v>0</v>
      </c>
      <c r="O230" s="95">
        <v>0</v>
      </c>
      <c r="P230" s="95">
        <v>0</v>
      </c>
      <c r="Q230" s="95">
        <v>0</v>
      </c>
      <c r="R230" s="95">
        <v>0</v>
      </c>
      <c r="S230" s="95">
        <v>0</v>
      </c>
      <c r="T230" s="95">
        <v>0</v>
      </c>
      <c r="U230" s="95">
        <v>0</v>
      </c>
      <c r="V230" s="95">
        <v>0</v>
      </c>
      <c r="W230" s="95">
        <v>0</v>
      </c>
      <c r="X230" s="95">
        <v>0</v>
      </c>
      <c r="Y230" s="95">
        <v>0</v>
      </c>
      <c r="Z230" s="95"/>
      <c r="AA230" s="8"/>
      <c r="AB230" s="8"/>
      <c r="AC230" s="8"/>
      <c r="AD230" s="8"/>
      <c r="AE230" s="11">
        <v>44750</v>
      </c>
      <c r="AF230" s="19"/>
      <c r="AG230" t="str">
        <f>VLOOKUP(OfficeForms.Table[[#This Row],[Nama Proyek]],'Nama Proyek'!$D$2:$G$29,4,0)</f>
        <v>-6.35008011,107.02324233</v>
      </c>
      <c r="AH230" s="5"/>
      <c r="AI230" s="5"/>
      <c r="AJ230" s="5"/>
      <c r="AK230" s="5" t="s">
        <v>547</v>
      </c>
    </row>
    <row r="231" spans="1:37" ht="15" hidden="1" customHeight="1">
      <c r="A231">
        <v>231</v>
      </c>
      <c r="B231" s="110">
        <v>44802</v>
      </c>
      <c r="C231" s="28">
        <f>B231</f>
        <v>44802</v>
      </c>
      <c r="D231" s="8" t="s">
        <v>37</v>
      </c>
      <c r="E231" s="8" t="s">
        <v>504</v>
      </c>
      <c r="F231" s="5" t="str">
        <f>E231</f>
        <v>Fathan Zul Waskito</v>
      </c>
      <c r="G231" s="19" t="s">
        <v>472</v>
      </c>
      <c r="H231" s="106"/>
      <c r="I231" s="95">
        <v>0</v>
      </c>
      <c r="J231" s="95">
        <v>0</v>
      </c>
      <c r="K231" s="95">
        <v>0</v>
      </c>
      <c r="L231" s="95">
        <v>0</v>
      </c>
      <c r="M231" s="95">
        <v>0</v>
      </c>
      <c r="N231" s="95">
        <v>0</v>
      </c>
      <c r="O231" s="95">
        <v>0</v>
      </c>
      <c r="P231" s="95">
        <v>0</v>
      </c>
      <c r="Q231" s="95">
        <v>0</v>
      </c>
      <c r="R231" s="95">
        <v>0</v>
      </c>
      <c r="S231" s="95">
        <v>0</v>
      </c>
      <c r="T231" s="95">
        <v>0</v>
      </c>
      <c r="U231" s="95">
        <v>0</v>
      </c>
      <c r="V231" s="95">
        <v>0</v>
      </c>
      <c r="W231" s="95">
        <v>0</v>
      </c>
      <c r="X231" s="95">
        <v>0</v>
      </c>
      <c r="Y231" s="95">
        <v>0</v>
      </c>
      <c r="Z231" s="95"/>
      <c r="AA231" s="8" t="s">
        <v>548</v>
      </c>
      <c r="AB231" s="8"/>
      <c r="AC231" s="8" t="s">
        <v>549</v>
      </c>
      <c r="AD231" s="8" t="s">
        <v>550</v>
      </c>
      <c r="AE231" s="11"/>
      <c r="AF231" s="17"/>
      <c r="AG231" t="str">
        <f>VLOOKUP(OfficeForms.Table[[#This Row],[Nama Proyek]],'Nama Proyek'!$D$2:$G$29,4,0)</f>
        <v>-8.29394978,112.00545006</v>
      </c>
      <c r="AH231" s="5"/>
      <c r="AI231" s="5"/>
      <c r="AJ231" s="5"/>
      <c r="AK231" s="5" t="s">
        <v>551</v>
      </c>
    </row>
    <row r="232" spans="1:37" ht="15" hidden="1" customHeight="1">
      <c r="A232" s="31">
        <v>283</v>
      </c>
      <c r="B232" s="110">
        <v>44802</v>
      </c>
      <c r="C232" s="28">
        <f>B232</f>
        <v>44802</v>
      </c>
      <c r="D232" s="19" t="s">
        <v>37</v>
      </c>
      <c r="E232" s="19" t="s">
        <v>85</v>
      </c>
      <c r="F232" s="5" t="str">
        <f>E232</f>
        <v>Nungki Herdiana</v>
      </c>
      <c r="G232" s="19" t="s">
        <v>86</v>
      </c>
      <c r="H232" s="106"/>
      <c r="I232" s="96">
        <v>0</v>
      </c>
      <c r="J232" s="96">
        <v>0</v>
      </c>
      <c r="K232" s="96">
        <v>0</v>
      </c>
      <c r="L232" s="96">
        <v>0</v>
      </c>
      <c r="M232" s="96">
        <v>0</v>
      </c>
      <c r="N232" s="96">
        <v>0</v>
      </c>
      <c r="O232" s="96">
        <v>0</v>
      </c>
      <c r="P232" s="96">
        <v>0</v>
      </c>
      <c r="Q232" s="96">
        <v>0</v>
      </c>
      <c r="R232" s="96">
        <v>0</v>
      </c>
      <c r="S232" s="96">
        <v>0</v>
      </c>
      <c r="T232" s="96">
        <v>0</v>
      </c>
      <c r="U232" s="96">
        <v>0</v>
      </c>
      <c r="V232" s="96">
        <v>0</v>
      </c>
      <c r="W232" s="96">
        <v>0</v>
      </c>
      <c r="X232" s="96">
        <v>0</v>
      </c>
      <c r="Y232" s="96">
        <v>0</v>
      </c>
      <c r="Z232" s="96"/>
      <c r="AA232" s="19"/>
      <c r="AB232" s="19"/>
      <c r="AC232" s="19"/>
      <c r="AD232" s="19"/>
      <c r="AE232" s="24" t="s">
        <v>552</v>
      </c>
      <c r="AF232" s="8" t="s">
        <v>553</v>
      </c>
      <c r="AG232" t="e">
        <f>VLOOKUP(OfficeForms.Table[[#This Row],[Nama Proyek]],'Nama Proyek'!$D$2:$G$29,4,0)</f>
        <v>#N/A</v>
      </c>
      <c r="AH232" s="5"/>
      <c r="AI232" s="5"/>
      <c r="AJ232" s="5"/>
      <c r="AK232" s="5" t="s">
        <v>554</v>
      </c>
    </row>
    <row r="233" spans="1:37" ht="15" hidden="1" customHeight="1">
      <c r="A233" s="50">
        <v>284</v>
      </c>
      <c r="B233" s="111">
        <v>44802</v>
      </c>
      <c r="C233" s="29">
        <f>B233</f>
        <v>44802</v>
      </c>
      <c r="D233" s="8" t="s">
        <v>37</v>
      </c>
      <c r="E233" s="8" t="s">
        <v>85</v>
      </c>
      <c r="F233" s="5" t="str">
        <f>E233</f>
        <v>Nungki Herdiana</v>
      </c>
      <c r="G233" s="9" t="s">
        <v>86</v>
      </c>
      <c r="H233" s="104"/>
      <c r="I233" s="95">
        <v>0</v>
      </c>
      <c r="J233" s="95">
        <v>0</v>
      </c>
      <c r="K233" s="95">
        <v>0</v>
      </c>
      <c r="L233" s="95">
        <v>0</v>
      </c>
      <c r="M233" s="95">
        <v>0</v>
      </c>
      <c r="N233" s="95">
        <v>0</v>
      </c>
      <c r="O233" s="95">
        <v>0</v>
      </c>
      <c r="P233" s="95">
        <v>0</v>
      </c>
      <c r="Q233" s="95">
        <v>0</v>
      </c>
      <c r="R233" s="95">
        <v>0</v>
      </c>
      <c r="S233" s="95">
        <v>0</v>
      </c>
      <c r="T233" s="95">
        <v>0</v>
      </c>
      <c r="U233" s="95">
        <v>0</v>
      </c>
      <c r="V233" s="95">
        <v>0</v>
      </c>
      <c r="W233" s="95">
        <v>0</v>
      </c>
      <c r="X233" s="95">
        <v>0</v>
      </c>
      <c r="Y233" s="95">
        <v>0</v>
      </c>
      <c r="Z233" s="95"/>
      <c r="AA233" s="8"/>
      <c r="AB233" s="8"/>
      <c r="AC233" s="8"/>
      <c r="AD233" s="8"/>
      <c r="AE233" s="11" t="s">
        <v>552</v>
      </c>
      <c r="AF233" s="8"/>
      <c r="AG233" t="e">
        <f>VLOOKUP(OfficeForms.Table[[#This Row],[Nama Proyek]],'Nama Proyek'!$D$2:$G$29,4,0)</f>
        <v>#N/A</v>
      </c>
      <c r="AH233" s="5"/>
      <c r="AI233" s="5"/>
      <c r="AJ233" s="5"/>
      <c r="AK233" s="5" t="s">
        <v>555</v>
      </c>
    </row>
    <row r="234" spans="1:37" ht="15" hidden="1" customHeight="1">
      <c r="A234" s="50">
        <v>286</v>
      </c>
      <c r="B234" s="111">
        <v>44802</v>
      </c>
      <c r="C234" s="29">
        <f>B234</f>
        <v>44802</v>
      </c>
      <c r="D234" s="8" t="s">
        <v>37</v>
      </c>
      <c r="E234" s="8" t="s">
        <v>82</v>
      </c>
      <c r="F234" s="5" t="str">
        <f>E234</f>
        <v>Ajik Prastiyo</v>
      </c>
      <c r="G234" s="33" t="s">
        <v>80</v>
      </c>
      <c r="H234" s="104"/>
      <c r="I234" s="95">
        <v>0</v>
      </c>
      <c r="J234" s="95">
        <v>0</v>
      </c>
      <c r="K234" s="95">
        <v>0</v>
      </c>
      <c r="L234" s="95">
        <v>0</v>
      </c>
      <c r="M234" s="95">
        <v>0</v>
      </c>
      <c r="N234" s="95">
        <v>0</v>
      </c>
      <c r="O234" s="95">
        <v>0</v>
      </c>
      <c r="P234" s="95">
        <v>0</v>
      </c>
      <c r="Q234" s="95">
        <v>0</v>
      </c>
      <c r="R234" s="95">
        <v>0</v>
      </c>
      <c r="S234" s="95">
        <v>0</v>
      </c>
      <c r="T234" s="95">
        <v>0</v>
      </c>
      <c r="U234" s="95">
        <v>0</v>
      </c>
      <c r="V234" s="95">
        <v>0</v>
      </c>
      <c r="W234" s="95">
        <v>0</v>
      </c>
      <c r="X234" s="95">
        <v>0</v>
      </c>
      <c r="Y234" s="95">
        <v>0</v>
      </c>
      <c r="Z234" s="95"/>
      <c r="AA234" s="8"/>
      <c r="AB234" s="8"/>
      <c r="AC234" s="8"/>
      <c r="AD234" s="8"/>
      <c r="AE234" s="11" t="s">
        <v>552</v>
      </c>
      <c r="AF234" s="43" t="s">
        <v>556</v>
      </c>
      <c r="AG234" t="str">
        <f>VLOOKUP(OfficeForms.Table[[#This Row],[Nama Proyek]],'Nama Proyek'!$D$2:$G$29,4,0)</f>
        <v>-7.82225167,113.29968319</v>
      </c>
      <c r="AH234" s="5"/>
      <c r="AI234" s="5"/>
      <c r="AJ234" s="5"/>
      <c r="AK234" s="5" t="s">
        <v>557</v>
      </c>
    </row>
    <row r="235" spans="1:37" ht="15" hidden="1" customHeight="1">
      <c r="A235" s="31">
        <v>287</v>
      </c>
      <c r="B235" s="110">
        <v>44802</v>
      </c>
      <c r="C235" s="28">
        <f>B235</f>
        <v>44802</v>
      </c>
      <c r="D235" s="19" t="s">
        <v>37</v>
      </c>
      <c r="E235" s="19" t="s">
        <v>82</v>
      </c>
      <c r="F235" s="5" t="str">
        <f>E235</f>
        <v>Ajik Prastiyo</v>
      </c>
      <c r="G235" s="38" t="s">
        <v>80</v>
      </c>
      <c r="H235" s="106"/>
      <c r="I235" s="96">
        <v>0</v>
      </c>
      <c r="J235" s="96">
        <v>0</v>
      </c>
      <c r="K235" s="96">
        <v>0</v>
      </c>
      <c r="L235" s="96">
        <v>0</v>
      </c>
      <c r="M235" s="96">
        <v>0</v>
      </c>
      <c r="N235" s="96">
        <v>0</v>
      </c>
      <c r="O235" s="96">
        <v>0</v>
      </c>
      <c r="P235" s="96">
        <v>0</v>
      </c>
      <c r="Q235" s="96">
        <v>0</v>
      </c>
      <c r="R235" s="96">
        <v>0</v>
      </c>
      <c r="S235" s="96">
        <v>0</v>
      </c>
      <c r="T235" s="96">
        <v>0</v>
      </c>
      <c r="U235" s="96">
        <v>0</v>
      </c>
      <c r="V235" s="96">
        <v>0</v>
      </c>
      <c r="W235" s="96">
        <v>0</v>
      </c>
      <c r="X235" s="96">
        <v>0</v>
      </c>
      <c r="Y235" s="96">
        <v>0</v>
      </c>
      <c r="Z235" s="96"/>
      <c r="AA235" s="19"/>
      <c r="AB235" s="19"/>
      <c r="AC235" s="19"/>
      <c r="AD235" s="19"/>
      <c r="AE235" s="13" t="s">
        <v>552</v>
      </c>
      <c r="AF235" s="41" t="s">
        <v>558</v>
      </c>
      <c r="AG235" t="str">
        <f>VLOOKUP(OfficeForms.Table[[#This Row],[Nama Proyek]],'Nama Proyek'!$D$2:$G$29,4,0)</f>
        <v>-7.82225167,113.29968319</v>
      </c>
      <c r="AH235" s="5"/>
      <c r="AI235" s="5"/>
      <c r="AJ235" s="5"/>
      <c r="AK235" s="5" t="s">
        <v>559</v>
      </c>
    </row>
    <row r="236" spans="1:37" ht="15" hidden="1" customHeight="1">
      <c r="A236" s="31">
        <v>288</v>
      </c>
      <c r="B236" s="111">
        <v>44802</v>
      </c>
      <c r="C236" s="29">
        <f>B236</f>
        <v>44802</v>
      </c>
      <c r="D236" s="8" t="s">
        <v>37</v>
      </c>
      <c r="E236" s="8" t="s">
        <v>82</v>
      </c>
      <c r="F236" s="5" t="str">
        <f>E236</f>
        <v>Ajik Prastiyo</v>
      </c>
      <c r="G236" s="33" t="s">
        <v>80</v>
      </c>
      <c r="H236" s="104"/>
      <c r="I236" s="95">
        <v>0</v>
      </c>
      <c r="J236" s="95">
        <v>0</v>
      </c>
      <c r="K236" s="95">
        <v>0</v>
      </c>
      <c r="L236" s="95">
        <v>0</v>
      </c>
      <c r="M236" s="95">
        <v>0</v>
      </c>
      <c r="N236" s="95">
        <v>0</v>
      </c>
      <c r="O236" s="95">
        <v>0</v>
      </c>
      <c r="P236" s="95">
        <v>0</v>
      </c>
      <c r="Q236" s="95">
        <v>0</v>
      </c>
      <c r="R236" s="95">
        <v>0</v>
      </c>
      <c r="S236" s="95">
        <v>0</v>
      </c>
      <c r="T236" s="95">
        <v>0</v>
      </c>
      <c r="U236" s="95">
        <v>0</v>
      </c>
      <c r="V236" s="95">
        <v>0</v>
      </c>
      <c r="W236" s="95">
        <v>0</v>
      </c>
      <c r="X236" s="95">
        <v>0</v>
      </c>
      <c r="Y236" s="95">
        <v>0</v>
      </c>
      <c r="Z236" s="95"/>
      <c r="AA236" s="8"/>
      <c r="AB236" s="8"/>
      <c r="AC236" s="8"/>
      <c r="AD236" s="8"/>
      <c r="AE236" s="11" t="s">
        <v>552</v>
      </c>
      <c r="AF236" s="8"/>
      <c r="AG236" t="str">
        <f>VLOOKUP(OfficeForms.Table[[#This Row],[Nama Proyek]],'Nama Proyek'!$D$2:$G$29,4,0)</f>
        <v>-7.82225167,113.29968319</v>
      </c>
      <c r="AH236" s="5"/>
      <c r="AI236" s="5"/>
      <c r="AJ236" s="5"/>
      <c r="AK236" s="5" t="s">
        <v>560</v>
      </c>
    </row>
    <row r="237" spans="1:37" ht="15" hidden="1" customHeight="1">
      <c r="A237" s="30">
        <v>291</v>
      </c>
      <c r="B237" s="110">
        <v>44802</v>
      </c>
      <c r="C237" s="28">
        <f>B237</f>
        <v>44802</v>
      </c>
      <c r="D237" s="8" t="s">
        <v>37</v>
      </c>
      <c r="E237" s="8" t="s">
        <v>82</v>
      </c>
      <c r="F237" s="5" t="str">
        <f>E237</f>
        <v>Ajik Prastiyo</v>
      </c>
      <c r="G237" s="38" t="s">
        <v>80</v>
      </c>
      <c r="H237" s="106"/>
      <c r="I237" s="95">
        <v>0</v>
      </c>
      <c r="J237" s="95">
        <v>0</v>
      </c>
      <c r="K237" s="95">
        <v>0</v>
      </c>
      <c r="L237" s="95">
        <v>0</v>
      </c>
      <c r="M237" s="95">
        <v>0</v>
      </c>
      <c r="N237" s="95">
        <v>0</v>
      </c>
      <c r="O237" s="95">
        <v>0</v>
      </c>
      <c r="P237" s="95">
        <v>0</v>
      </c>
      <c r="Q237" s="95">
        <v>0</v>
      </c>
      <c r="R237" s="95">
        <v>0</v>
      </c>
      <c r="S237" s="95">
        <v>0</v>
      </c>
      <c r="T237" s="95">
        <v>0</v>
      </c>
      <c r="U237" s="95">
        <v>0</v>
      </c>
      <c r="V237" s="95">
        <v>0</v>
      </c>
      <c r="W237" s="95">
        <v>0</v>
      </c>
      <c r="X237" s="95">
        <v>0</v>
      </c>
      <c r="Y237" s="95">
        <v>0</v>
      </c>
      <c r="Z237" s="95"/>
      <c r="AA237" s="8"/>
      <c r="AB237" s="8"/>
      <c r="AC237" s="8"/>
      <c r="AD237" s="8"/>
      <c r="AE237" s="11" t="s">
        <v>552</v>
      </c>
      <c r="AF237" s="9"/>
      <c r="AG237" t="str">
        <f>VLOOKUP(OfficeForms.Table[[#This Row],[Nama Proyek]],'Nama Proyek'!$D$2:$G$29,4,0)</f>
        <v>-7.82225167,113.29968319</v>
      </c>
      <c r="AH237" s="5"/>
      <c r="AI237" s="5"/>
      <c r="AJ237" s="5"/>
      <c r="AK237" s="5" t="s">
        <v>561</v>
      </c>
    </row>
    <row r="238" spans="1:37" ht="15" hidden="1" customHeight="1">
      <c r="A238">
        <v>293</v>
      </c>
      <c r="B238" s="110">
        <v>44802</v>
      </c>
      <c r="C238" s="28">
        <f>B238</f>
        <v>44802</v>
      </c>
      <c r="D238" s="8" t="s">
        <v>37</v>
      </c>
      <c r="E238" s="8" t="s">
        <v>166</v>
      </c>
      <c r="F238" s="5" t="str">
        <f>E238</f>
        <v>Ganis Satria Pratama</v>
      </c>
      <c r="G238" s="17" t="s">
        <v>167</v>
      </c>
      <c r="H238" s="106"/>
      <c r="I238" s="95">
        <v>0</v>
      </c>
      <c r="J238" s="95">
        <v>0</v>
      </c>
      <c r="K238" s="95">
        <v>0</v>
      </c>
      <c r="L238" s="95">
        <v>0</v>
      </c>
      <c r="M238" s="95">
        <v>0</v>
      </c>
      <c r="N238" s="95">
        <v>0</v>
      </c>
      <c r="O238" s="95">
        <v>0</v>
      </c>
      <c r="P238" s="95">
        <v>0</v>
      </c>
      <c r="Q238" s="95">
        <v>0</v>
      </c>
      <c r="R238" s="95">
        <v>0</v>
      </c>
      <c r="S238" s="95">
        <v>0</v>
      </c>
      <c r="T238" s="95">
        <v>0</v>
      </c>
      <c r="U238" s="95">
        <v>0</v>
      </c>
      <c r="V238" s="95">
        <v>0</v>
      </c>
      <c r="W238" s="95">
        <v>0</v>
      </c>
      <c r="X238" s="95">
        <v>0</v>
      </c>
      <c r="Y238" s="95">
        <v>0</v>
      </c>
      <c r="Z238" s="95"/>
      <c r="AA238" s="8"/>
      <c r="AB238" s="8"/>
      <c r="AC238" s="8"/>
      <c r="AD238" s="8"/>
      <c r="AE238" s="11" t="s">
        <v>552</v>
      </c>
      <c r="AF238" s="17"/>
      <c r="AG238" t="str">
        <f>VLOOKUP(OfficeForms.Table[[#This Row],[Nama Proyek]],'Nama Proyek'!$D$2:$G$29,4,0)</f>
        <v>2.426249030,128.29766314</v>
      </c>
      <c r="AH238" s="5"/>
      <c r="AI238" s="5"/>
      <c r="AJ238" s="5"/>
      <c r="AK238" s="5" t="s">
        <v>562</v>
      </c>
    </row>
    <row r="239" spans="1:37" ht="15" hidden="1" customHeight="1">
      <c r="A239">
        <v>167</v>
      </c>
      <c r="B239" s="110">
        <v>44803</v>
      </c>
      <c r="C239" s="28">
        <f>B239</f>
        <v>44803</v>
      </c>
      <c r="D239" s="19" t="s">
        <v>37</v>
      </c>
      <c r="E239" s="19" t="s">
        <v>54</v>
      </c>
      <c r="F239" s="5" t="str">
        <f>E239</f>
        <v>Haryo Widiandoko</v>
      </c>
      <c r="G239" s="19" t="s">
        <v>55</v>
      </c>
      <c r="H239" s="106">
        <v>44798</v>
      </c>
      <c r="I239" s="96">
        <v>76.349999999999994</v>
      </c>
      <c r="J239" s="96">
        <v>83.013999999999996</v>
      </c>
      <c r="K239" s="96">
        <v>0.14099999999999999</v>
      </c>
      <c r="L239" s="96">
        <v>0.161</v>
      </c>
      <c r="M239" s="96">
        <v>21.451000000000001</v>
      </c>
      <c r="N239" s="96">
        <v>2.262</v>
      </c>
      <c r="O239" s="96">
        <v>2.5379999999999998</v>
      </c>
      <c r="P239" s="96">
        <v>6.6000000000000003E-2</v>
      </c>
      <c r="Q239" s="96">
        <v>0.62</v>
      </c>
      <c r="R239" s="96">
        <v>10.038</v>
      </c>
      <c r="S239" s="96">
        <v>36.658999999999999</v>
      </c>
      <c r="T239" s="96">
        <v>0</v>
      </c>
      <c r="U239" s="96">
        <v>1.1859999999999999</v>
      </c>
      <c r="V239" s="96">
        <v>3.9E-2</v>
      </c>
      <c r="W239" s="96">
        <v>0</v>
      </c>
      <c r="X239" s="96">
        <v>0.92800000000000005</v>
      </c>
      <c r="Y239" s="96">
        <v>0</v>
      </c>
      <c r="Z239" s="96"/>
      <c r="AA239" s="19"/>
      <c r="AB239" s="19"/>
      <c r="AC239" s="19"/>
      <c r="AD239" s="42"/>
      <c r="AE239" s="24"/>
      <c r="AF239" s="17"/>
      <c r="AG239" t="str">
        <f>VLOOKUP(OfficeForms.Table[[#This Row],[Nama Proyek]],'Nama Proyek'!$D$2:$G$29,4,0)</f>
        <v>-6.42873464,107.19897003</v>
      </c>
      <c r="AH239" s="5"/>
      <c r="AI239" s="5"/>
      <c r="AJ239" s="5"/>
      <c r="AK239" s="5" t="s">
        <v>563</v>
      </c>
    </row>
    <row r="240" spans="1:37" ht="15" hidden="1" customHeight="1">
      <c r="A240" s="31">
        <v>168</v>
      </c>
      <c r="B240" s="111">
        <v>44803</v>
      </c>
      <c r="C240" s="29">
        <f>B240</f>
        <v>44803</v>
      </c>
      <c r="D240" s="9" t="s">
        <v>37</v>
      </c>
      <c r="E240" s="9" t="s">
        <v>54</v>
      </c>
      <c r="F240" s="5" t="str">
        <f>E240</f>
        <v>Haryo Widiandoko</v>
      </c>
      <c r="G240" s="9" t="s">
        <v>55</v>
      </c>
      <c r="H240" s="104">
        <v>44798</v>
      </c>
      <c r="I240" s="94">
        <v>78.879000000000005</v>
      </c>
      <c r="J240" s="94">
        <v>83.013999999999996</v>
      </c>
      <c r="K240" s="94">
        <v>0.14099999999999999</v>
      </c>
      <c r="L240" s="94">
        <v>0.161</v>
      </c>
      <c r="M240" s="94">
        <v>22.238</v>
      </c>
      <c r="N240" s="94">
        <v>2.274</v>
      </c>
      <c r="O240" s="94">
        <v>2.677</v>
      </c>
      <c r="P240" s="94">
        <v>6.6000000000000003E-2</v>
      </c>
      <c r="Q240" s="94">
        <v>0.63400000000000001</v>
      </c>
      <c r="R240" s="94">
        <v>10.534000000000001</v>
      </c>
      <c r="S240" s="94">
        <v>37.637999999999998</v>
      </c>
      <c r="T240" s="94">
        <v>0</v>
      </c>
      <c r="U240" s="94">
        <v>1.2889999999999999</v>
      </c>
      <c r="V240" s="94">
        <v>3.9E-2</v>
      </c>
      <c r="W240" s="94">
        <v>0</v>
      </c>
      <c r="X240" s="94">
        <v>0.92800000000000005</v>
      </c>
      <c r="Y240" s="94">
        <v>0</v>
      </c>
      <c r="Z240" s="94"/>
      <c r="AA240" s="9"/>
      <c r="AB240" s="9"/>
      <c r="AC240" s="9"/>
      <c r="AD240" s="9"/>
      <c r="AE240" s="18"/>
      <c r="AF240" s="19"/>
      <c r="AG240" t="str">
        <f>VLOOKUP(OfficeForms.Table[[#This Row],[Nama Proyek]],'Nama Proyek'!$D$2:$G$29,4,0)</f>
        <v>-6.42873464,107.19897003</v>
      </c>
      <c r="AH240" s="5"/>
      <c r="AI240" s="5"/>
      <c r="AJ240" s="5"/>
      <c r="AK240" s="5" t="s">
        <v>564</v>
      </c>
    </row>
    <row r="241" spans="1:37" ht="15" hidden="1" customHeight="1">
      <c r="A241" s="30">
        <v>197</v>
      </c>
      <c r="B241" s="110">
        <v>44803</v>
      </c>
      <c r="C241" s="28">
        <f>B241</f>
        <v>44803</v>
      </c>
      <c r="D241" s="8" t="s">
        <v>37</v>
      </c>
      <c r="E241" s="8" t="s">
        <v>64</v>
      </c>
      <c r="F241" s="5" t="str">
        <f>E241</f>
        <v>Nizar Zulkarnain</v>
      </c>
      <c r="G241" s="19" t="s">
        <v>65</v>
      </c>
      <c r="H241" s="105"/>
      <c r="I241" s="95">
        <v>0</v>
      </c>
      <c r="J241" s="95">
        <v>0</v>
      </c>
      <c r="K241" s="95">
        <v>0</v>
      </c>
      <c r="L241" s="95">
        <v>0</v>
      </c>
      <c r="M241" s="95">
        <v>0</v>
      </c>
      <c r="N241" s="95">
        <v>0</v>
      </c>
      <c r="O241" s="95">
        <v>0</v>
      </c>
      <c r="P241" s="95">
        <v>0</v>
      </c>
      <c r="Q241" s="95">
        <v>0</v>
      </c>
      <c r="R241" s="95">
        <v>0</v>
      </c>
      <c r="S241" s="95">
        <v>0</v>
      </c>
      <c r="T241" s="95">
        <v>0</v>
      </c>
      <c r="U241" s="95">
        <v>0</v>
      </c>
      <c r="V241" s="95">
        <v>0</v>
      </c>
      <c r="W241" s="95">
        <v>0</v>
      </c>
      <c r="X241" s="95">
        <v>0</v>
      </c>
      <c r="Y241" s="95">
        <v>0</v>
      </c>
      <c r="Z241" s="95"/>
      <c r="AA241" s="8" t="s">
        <v>565</v>
      </c>
      <c r="AB241" s="8" t="s">
        <v>133</v>
      </c>
      <c r="AC241" s="8" t="s">
        <v>566</v>
      </c>
      <c r="AD241" s="8"/>
      <c r="AE241" s="11"/>
      <c r="AF241" s="15" t="s">
        <v>567</v>
      </c>
      <c r="AG241" t="str">
        <f>VLOOKUP(OfficeForms.Table[[#This Row],[Nama Proyek]],'Nama Proyek'!$D$2:$G$29,4,0)</f>
        <v>-6.35008011,107.02324233</v>
      </c>
      <c r="AH241" s="5"/>
      <c r="AI241" s="5"/>
      <c r="AJ241" s="5"/>
      <c r="AK241" s="5" t="s">
        <v>568</v>
      </c>
    </row>
    <row r="242" spans="1:37" ht="15" hidden="1" customHeight="1">
      <c r="A242" s="31">
        <v>290</v>
      </c>
      <c r="B242" s="111">
        <v>44803</v>
      </c>
      <c r="C242" s="29">
        <f>B242</f>
        <v>44803</v>
      </c>
      <c r="D242" s="8" t="s">
        <v>37</v>
      </c>
      <c r="E242" s="8" t="s">
        <v>85</v>
      </c>
      <c r="F242" s="5" t="str">
        <f>E242</f>
        <v>Nungki Herdiana</v>
      </c>
      <c r="G242" s="9" t="s">
        <v>86</v>
      </c>
      <c r="H242" s="104"/>
      <c r="I242" s="95">
        <v>0</v>
      </c>
      <c r="J242" s="95">
        <v>0</v>
      </c>
      <c r="K242" s="95">
        <v>0</v>
      </c>
      <c r="L242" s="95">
        <v>0</v>
      </c>
      <c r="M242" s="95">
        <v>0</v>
      </c>
      <c r="N242" s="95">
        <v>0</v>
      </c>
      <c r="O242" s="95">
        <v>0</v>
      </c>
      <c r="P242" s="95">
        <v>0</v>
      </c>
      <c r="Q242" s="95">
        <v>0</v>
      </c>
      <c r="R242" s="95">
        <v>0</v>
      </c>
      <c r="S242" s="95">
        <v>0</v>
      </c>
      <c r="T242" s="95">
        <v>0</v>
      </c>
      <c r="U242" s="95">
        <v>0</v>
      </c>
      <c r="V242" s="95">
        <v>0</v>
      </c>
      <c r="W242" s="95">
        <v>0</v>
      </c>
      <c r="X242" s="95">
        <v>0</v>
      </c>
      <c r="Y242" s="95">
        <v>0</v>
      </c>
      <c r="Z242" s="95"/>
      <c r="AA242" s="8"/>
      <c r="AB242" s="8"/>
      <c r="AC242" s="15"/>
      <c r="AD242" s="15"/>
      <c r="AE242" s="16" t="s">
        <v>569</v>
      </c>
      <c r="AF242" s="15" t="s">
        <v>570</v>
      </c>
      <c r="AG242" t="e">
        <f>VLOOKUP(OfficeForms.Table[[#This Row],[Nama Proyek]],'Nama Proyek'!$D$2:$G$29,4,0)</f>
        <v>#N/A</v>
      </c>
      <c r="AH242" s="5"/>
      <c r="AI242" s="5"/>
      <c r="AJ242" s="5"/>
      <c r="AK242" s="5" t="s">
        <v>571</v>
      </c>
    </row>
    <row r="243" spans="1:37" ht="15" hidden="1" customHeight="1">
      <c r="A243">
        <v>297</v>
      </c>
      <c r="B243" s="110">
        <v>44803</v>
      </c>
      <c r="C243" s="28">
        <f>B243</f>
        <v>44803</v>
      </c>
      <c r="D243" s="8" t="s">
        <v>37</v>
      </c>
      <c r="E243" s="8" t="s">
        <v>79</v>
      </c>
      <c r="F243" s="5" t="str">
        <f>E243</f>
        <v>Fajar Sodiq Febriansyah</v>
      </c>
      <c r="G243" s="38" t="s">
        <v>80</v>
      </c>
      <c r="H243" s="106"/>
      <c r="I243" s="95">
        <v>0</v>
      </c>
      <c r="J243" s="95">
        <v>0</v>
      </c>
      <c r="K243" s="95">
        <v>0</v>
      </c>
      <c r="L243" s="95">
        <v>0</v>
      </c>
      <c r="M243" s="95">
        <v>0</v>
      </c>
      <c r="N243" s="95">
        <v>0</v>
      </c>
      <c r="O243" s="95">
        <v>0</v>
      </c>
      <c r="P243" s="95">
        <v>0</v>
      </c>
      <c r="Q243" s="95">
        <v>0</v>
      </c>
      <c r="R243" s="95">
        <v>0</v>
      </c>
      <c r="S243" s="95">
        <v>0</v>
      </c>
      <c r="T243" s="95">
        <v>0</v>
      </c>
      <c r="U243" s="95">
        <v>0</v>
      </c>
      <c r="V243" s="95">
        <v>0</v>
      </c>
      <c r="W243" s="95">
        <v>0</v>
      </c>
      <c r="X243" s="95">
        <v>0</v>
      </c>
      <c r="Y243" s="95">
        <v>0</v>
      </c>
      <c r="Z243" s="95"/>
      <c r="AA243" s="8" t="s">
        <v>421</v>
      </c>
      <c r="AB243" s="8" t="s">
        <v>261</v>
      </c>
      <c r="AC243" s="8" t="s">
        <v>422</v>
      </c>
      <c r="AD243" s="8" t="s">
        <v>423</v>
      </c>
      <c r="AE243" s="16"/>
      <c r="AF243" s="9"/>
      <c r="AG243" t="str">
        <f>VLOOKUP(OfficeForms.Table[[#This Row],[Nama Proyek]],'Nama Proyek'!$D$2:$G$29,4,0)</f>
        <v>-7.82225167,113.29968319</v>
      </c>
      <c r="AH243" s="5"/>
      <c r="AI243" s="5"/>
      <c r="AJ243" s="5"/>
      <c r="AK243" s="5" t="s">
        <v>572</v>
      </c>
    </row>
    <row r="244" spans="1:37" ht="15" hidden="1" customHeight="1">
      <c r="A244">
        <v>331</v>
      </c>
      <c r="B244" s="110">
        <v>44816</v>
      </c>
      <c r="C244" s="28">
        <f>B244</f>
        <v>44816</v>
      </c>
      <c r="D244" s="8" t="s">
        <v>37</v>
      </c>
      <c r="E244" s="8" t="s">
        <v>109</v>
      </c>
      <c r="F244" s="5" t="str">
        <f>E244</f>
        <v>Muhamad Saifudin Ashari</v>
      </c>
      <c r="G244" s="19" t="s">
        <v>39</v>
      </c>
      <c r="H244" s="106"/>
      <c r="I244" s="95">
        <v>0</v>
      </c>
      <c r="J244" s="95">
        <v>0</v>
      </c>
      <c r="K244" s="95">
        <v>0</v>
      </c>
      <c r="L244" s="95">
        <v>0</v>
      </c>
      <c r="M244" s="95">
        <v>0</v>
      </c>
      <c r="N244" s="95">
        <v>0</v>
      </c>
      <c r="O244" s="95">
        <v>0</v>
      </c>
      <c r="P244" s="95">
        <v>0</v>
      </c>
      <c r="Q244" s="95">
        <v>0</v>
      </c>
      <c r="R244" s="95">
        <v>0</v>
      </c>
      <c r="S244" s="95">
        <v>0</v>
      </c>
      <c r="T244" s="95">
        <v>0</v>
      </c>
      <c r="U244" s="95">
        <v>0</v>
      </c>
      <c r="V244" s="95">
        <v>0</v>
      </c>
      <c r="W244" s="95">
        <v>0</v>
      </c>
      <c r="X244" s="95">
        <v>0</v>
      </c>
      <c r="Y244" s="95">
        <v>0</v>
      </c>
      <c r="Z244" s="95"/>
      <c r="AA244" s="8" t="s">
        <v>573</v>
      </c>
      <c r="AB244" s="8" t="s">
        <v>574</v>
      </c>
      <c r="AC244" s="8" t="s">
        <v>575</v>
      </c>
      <c r="AD244" s="8" t="s">
        <v>576</v>
      </c>
      <c r="AE244" s="11"/>
      <c r="AF244" s="8"/>
      <c r="AG244" t="str">
        <f>VLOOKUP(OfficeForms.Table[[#This Row],[Nama Proyek]],'Nama Proyek'!$D$2:$G$29,4,0)</f>
        <v>-6.80675464,106.785366</v>
      </c>
      <c r="AH244" s="5"/>
      <c r="AI244" s="5"/>
      <c r="AJ244" s="5"/>
      <c r="AK244" s="5" t="s">
        <v>577</v>
      </c>
    </row>
    <row r="245" spans="1:37" ht="15" hidden="1" customHeight="1">
      <c r="A245" s="31">
        <v>643</v>
      </c>
      <c r="B245" s="110">
        <v>44816</v>
      </c>
      <c r="C245" s="28">
        <f>B245</f>
        <v>44816</v>
      </c>
      <c r="D245" s="19" t="s">
        <v>37</v>
      </c>
      <c r="E245" s="19" t="s">
        <v>75</v>
      </c>
      <c r="F245" s="5" t="str">
        <f>E245</f>
        <v>Banyu Purwita</v>
      </c>
      <c r="G245" s="34" t="s">
        <v>76</v>
      </c>
      <c r="H245" s="106"/>
      <c r="I245" s="96">
        <v>0</v>
      </c>
      <c r="J245" s="96">
        <v>0</v>
      </c>
      <c r="K245" s="96">
        <v>0</v>
      </c>
      <c r="L245" s="96">
        <v>0</v>
      </c>
      <c r="M245" s="96">
        <v>0</v>
      </c>
      <c r="N245" s="96">
        <v>0</v>
      </c>
      <c r="O245" s="96">
        <v>0</v>
      </c>
      <c r="P245" s="96">
        <v>0</v>
      </c>
      <c r="Q245" s="96">
        <v>0</v>
      </c>
      <c r="R245" s="96">
        <v>0</v>
      </c>
      <c r="S245" s="96">
        <v>0</v>
      </c>
      <c r="T245" s="96">
        <v>0</v>
      </c>
      <c r="U245" s="96">
        <v>0</v>
      </c>
      <c r="V245" s="96">
        <v>0</v>
      </c>
      <c r="W245" s="96">
        <v>0</v>
      </c>
      <c r="X245" s="96">
        <v>0</v>
      </c>
      <c r="Y245" s="96">
        <v>0</v>
      </c>
      <c r="Z245" s="96"/>
      <c r="AA245" s="19" t="s">
        <v>578</v>
      </c>
      <c r="AB245" s="19" t="s">
        <v>578</v>
      </c>
      <c r="AC245" s="19" t="s">
        <v>578</v>
      </c>
      <c r="AD245" s="19" t="s">
        <v>578</v>
      </c>
      <c r="AE245" s="13"/>
      <c r="AF245" s="8" t="s">
        <v>579</v>
      </c>
      <c r="AG245" t="str">
        <f>VLOOKUP(OfficeForms.Table[[#This Row],[Nama Proyek]],'Nama Proyek'!$D$2:$G$29,4,0)</f>
        <v>-2.95293103,104.75455094</v>
      </c>
      <c r="AH245" s="5"/>
      <c r="AI245" s="5"/>
      <c r="AJ245" s="5"/>
      <c r="AK245" s="5" t="s">
        <v>580</v>
      </c>
    </row>
    <row r="246" spans="1:37" ht="15" hidden="1" customHeight="1">
      <c r="A246" s="30">
        <v>299</v>
      </c>
      <c r="B246" s="110">
        <v>44823</v>
      </c>
      <c r="C246" s="28">
        <f>B246</f>
        <v>44823</v>
      </c>
      <c r="D246" s="8" t="s">
        <v>37</v>
      </c>
      <c r="E246" s="8" t="s">
        <v>85</v>
      </c>
      <c r="F246" s="5" t="str">
        <f>E246</f>
        <v>Nungki Herdiana</v>
      </c>
      <c r="G246" s="19" t="s">
        <v>86</v>
      </c>
      <c r="H246" s="105">
        <v>44819</v>
      </c>
      <c r="I246" s="95">
        <v>90.13</v>
      </c>
      <c r="J246" s="95">
        <v>99.95</v>
      </c>
      <c r="K246" s="95">
        <v>90.46</v>
      </c>
      <c r="L246" s="95">
        <v>98.4</v>
      </c>
      <c r="M246" s="95">
        <v>97.32</v>
      </c>
      <c r="N246" s="95">
        <v>63.8</v>
      </c>
      <c r="O246" s="95">
        <v>100.66</v>
      </c>
      <c r="P246" s="95">
        <v>183.64</v>
      </c>
      <c r="Q246" s="95">
        <v>90.82</v>
      </c>
      <c r="R246" s="95">
        <v>0</v>
      </c>
      <c r="S246" s="95">
        <v>0</v>
      </c>
      <c r="T246" s="95">
        <v>0</v>
      </c>
      <c r="U246" s="95">
        <v>0</v>
      </c>
      <c r="V246" s="95">
        <v>0</v>
      </c>
      <c r="W246" s="95">
        <v>0</v>
      </c>
      <c r="X246" s="95">
        <v>0</v>
      </c>
      <c r="Y246" s="95">
        <v>0</v>
      </c>
      <c r="Z246" s="95"/>
      <c r="AA246" s="8"/>
      <c r="AB246" s="8"/>
      <c r="AC246" s="8"/>
      <c r="AD246" s="8"/>
      <c r="AE246" s="11"/>
      <c r="AF246" s="9" t="s">
        <v>581</v>
      </c>
      <c r="AG246" t="e">
        <f>VLOOKUP(OfficeForms.Table[[#This Row],[Nama Proyek]],'Nama Proyek'!$D$2:$G$29,4,0)</f>
        <v>#N/A</v>
      </c>
      <c r="AH246" s="5"/>
      <c r="AI246" s="5"/>
      <c r="AJ246" s="5"/>
      <c r="AK246" s="5" t="s">
        <v>582</v>
      </c>
    </row>
    <row r="247" spans="1:37" ht="15" hidden="1" customHeight="1">
      <c r="A247" s="31">
        <v>300</v>
      </c>
      <c r="B247" s="111">
        <v>44823</v>
      </c>
      <c r="C247" s="29">
        <f>B247</f>
        <v>44823</v>
      </c>
      <c r="D247" s="9" t="s">
        <v>37</v>
      </c>
      <c r="E247" s="9" t="s">
        <v>85</v>
      </c>
      <c r="F247" s="5" t="str">
        <f>E247</f>
        <v>Nungki Herdiana</v>
      </c>
      <c r="G247" s="9" t="s">
        <v>86</v>
      </c>
      <c r="H247" s="104"/>
      <c r="I247" s="94">
        <v>0</v>
      </c>
      <c r="J247" s="94">
        <v>0</v>
      </c>
      <c r="K247" s="94">
        <v>0</v>
      </c>
      <c r="L247" s="94">
        <v>0</v>
      </c>
      <c r="M247" s="94">
        <v>0</v>
      </c>
      <c r="N247" s="94">
        <v>0</v>
      </c>
      <c r="O247" s="94">
        <v>0</v>
      </c>
      <c r="P247" s="94">
        <v>0</v>
      </c>
      <c r="Q247" s="94">
        <v>0</v>
      </c>
      <c r="R247" s="94">
        <v>0</v>
      </c>
      <c r="S247" s="94">
        <v>0</v>
      </c>
      <c r="T247" s="94">
        <v>0</v>
      </c>
      <c r="U247" s="94">
        <v>0</v>
      </c>
      <c r="V247" s="94">
        <v>0</v>
      </c>
      <c r="W247" s="94">
        <v>0</v>
      </c>
      <c r="X247" s="94">
        <v>0</v>
      </c>
      <c r="Y247" s="94">
        <v>0</v>
      </c>
      <c r="Z247" s="94"/>
      <c r="AA247" s="9"/>
      <c r="AB247" s="9"/>
      <c r="AC247" s="9"/>
      <c r="AD247" s="9"/>
      <c r="AE247" s="12" t="s">
        <v>583</v>
      </c>
      <c r="AF247" s="8" t="s">
        <v>584</v>
      </c>
      <c r="AG247" t="e">
        <f>VLOOKUP(OfficeForms.Table[[#This Row],[Nama Proyek]],'Nama Proyek'!$D$2:$G$29,4,0)</f>
        <v>#N/A</v>
      </c>
      <c r="AH247" s="5"/>
      <c r="AI247" s="5"/>
      <c r="AJ247" s="5"/>
      <c r="AK247" s="5" t="s">
        <v>585</v>
      </c>
    </row>
    <row r="248" spans="1:37" ht="15" hidden="1" customHeight="1">
      <c r="A248">
        <v>301</v>
      </c>
      <c r="B248" s="110">
        <v>44823</v>
      </c>
      <c r="C248" s="28">
        <f>B248</f>
        <v>44823</v>
      </c>
      <c r="D248" s="8" t="s">
        <v>37</v>
      </c>
      <c r="E248" s="8" t="s">
        <v>85</v>
      </c>
      <c r="F248" s="5" t="str">
        <f>E248</f>
        <v>Nungki Herdiana</v>
      </c>
      <c r="G248" s="19" t="s">
        <v>86</v>
      </c>
      <c r="H248" s="106"/>
      <c r="I248" s="95">
        <v>0</v>
      </c>
      <c r="J248" s="95">
        <v>0</v>
      </c>
      <c r="K248" s="95">
        <v>0</v>
      </c>
      <c r="L248" s="95">
        <v>0</v>
      </c>
      <c r="M248" s="95">
        <v>0</v>
      </c>
      <c r="N248" s="95">
        <v>0</v>
      </c>
      <c r="O248" s="95">
        <v>0</v>
      </c>
      <c r="P248" s="95">
        <v>0</v>
      </c>
      <c r="Q248" s="95">
        <v>0</v>
      </c>
      <c r="R248" s="95">
        <v>0</v>
      </c>
      <c r="S248" s="95">
        <v>0</v>
      </c>
      <c r="T248" s="95">
        <v>0</v>
      </c>
      <c r="U248" s="95">
        <v>0</v>
      </c>
      <c r="V248" s="95">
        <v>0</v>
      </c>
      <c r="W248" s="95">
        <v>0</v>
      </c>
      <c r="X248" s="95">
        <v>0</v>
      </c>
      <c r="Y248" s="95">
        <v>0</v>
      </c>
      <c r="Z248" s="95"/>
      <c r="AA248" s="8"/>
      <c r="AB248" s="8"/>
      <c r="AC248" s="8"/>
      <c r="AD248" s="8"/>
      <c r="AE248" s="11" t="s">
        <v>583</v>
      </c>
      <c r="AF248" s="9"/>
      <c r="AG248" t="e">
        <f>VLOOKUP(OfficeForms.Table[[#This Row],[Nama Proyek]],'Nama Proyek'!$D$2:$G$29,4,0)</f>
        <v>#N/A</v>
      </c>
      <c r="AH248" s="5"/>
      <c r="AI248" s="5"/>
      <c r="AJ248" s="5"/>
      <c r="AK248" s="5" t="s">
        <v>586</v>
      </c>
    </row>
    <row r="249" spans="1:37" ht="15" hidden="1" customHeight="1">
      <c r="A249" s="50">
        <v>302</v>
      </c>
      <c r="B249" s="111">
        <v>44824</v>
      </c>
      <c r="C249" s="29">
        <f>B249</f>
        <v>44824</v>
      </c>
      <c r="D249" s="9" t="s">
        <v>37</v>
      </c>
      <c r="E249" s="9" t="s">
        <v>203</v>
      </c>
      <c r="F249" s="5" t="str">
        <f>E249</f>
        <v>BUDI SUGORO</v>
      </c>
      <c r="G249" s="54" t="s">
        <v>76</v>
      </c>
      <c r="H249" s="104">
        <v>44824</v>
      </c>
      <c r="I249" s="94">
        <v>34.24</v>
      </c>
      <c r="J249" s="94">
        <v>37.04</v>
      </c>
      <c r="K249" s="94">
        <v>0</v>
      </c>
      <c r="L249" s="94">
        <v>32.734000000000002</v>
      </c>
      <c r="M249" s="94">
        <v>0</v>
      </c>
      <c r="N249" s="94">
        <v>0</v>
      </c>
      <c r="O249" s="94">
        <v>0</v>
      </c>
      <c r="P249" s="94">
        <v>0</v>
      </c>
      <c r="Q249" s="94">
        <v>0</v>
      </c>
      <c r="R249" s="94">
        <v>0.23100000000000001</v>
      </c>
      <c r="S249" s="94">
        <v>0</v>
      </c>
      <c r="T249" s="94">
        <v>0</v>
      </c>
      <c r="U249" s="94">
        <v>0</v>
      </c>
      <c r="V249" s="94">
        <v>0</v>
      </c>
      <c r="W249" s="94">
        <v>0</v>
      </c>
      <c r="X249" s="94">
        <v>0</v>
      </c>
      <c r="Y249" s="94">
        <v>0</v>
      </c>
      <c r="Z249" s="94"/>
      <c r="AA249" s="9"/>
      <c r="AB249" s="9"/>
      <c r="AC249" s="9"/>
      <c r="AD249" s="9"/>
      <c r="AE249" s="12"/>
      <c r="AF249" s="8"/>
      <c r="AG249" t="str">
        <f>VLOOKUP(OfficeForms.Table[[#This Row],[Nama Proyek]],'Nama Proyek'!$D$2:$G$29,4,0)</f>
        <v>-2.95293103,104.75455094</v>
      </c>
      <c r="AH249" s="5"/>
      <c r="AI249" s="5"/>
      <c r="AJ249" s="5"/>
      <c r="AK249" s="5" t="s">
        <v>587</v>
      </c>
    </row>
    <row r="250" spans="1:37" ht="15" hidden="1" customHeight="1">
      <c r="A250" s="31">
        <v>303</v>
      </c>
      <c r="B250" s="110">
        <v>44824</v>
      </c>
      <c r="C250" s="28">
        <f>B250</f>
        <v>44824</v>
      </c>
      <c r="D250" s="8" t="s">
        <v>37</v>
      </c>
      <c r="E250" s="8" t="s">
        <v>214</v>
      </c>
      <c r="F250" s="5" t="str">
        <f>E250</f>
        <v>BASUKI RAHMAT HAKIM</v>
      </c>
      <c r="G250" s="60" t="s">
        <v>48</v>
      </c>
      <c r="H250" s="106"/>
      <c r="I250" s="95">
        <v>0</v>
      </c>
      <c r="J250" s="95">
        <v>0</v>
      </c>
      <c r="K250" s="95">
        <v>0</v>
      </c>
      <c r="L250" s="95">
        <v>0</v>
      </c>
      <c r="M250" s="95">
        <v>0</v>
      </c>
      <c r="N250" s="95">
        <v>0</v>
      </c>
      <c r="O250" s="95">
        <v>0</v>
      </c>
      <c r="P250" s="95">
        <v>0</v>
      </c>
      <c r="Q250" s="95">
        <v>0</v>
      </c>
      <c r="R250" s="95">
        <v>0</v>
      </c>
      <c r="S250" s="95">
        <v>0</v>
      </c>
      <c r="T250" s="95">
        <v>0</v>
      </c>
      <c r="U250" s="95">
        <v>0</v>
      </c>
      <c r="V250" s="95">
        <v>0</v>
      </c>
      <c r="W250" s="95">
        <v>0</v>
      </c>
      <c r="X250" s="95">
        <v>0</v>
      </c>
      <c r="Y250" s="95">
        <v>0</v>
      </c>
      <c r="Z250" s="95"/>
      <c r="AA250" s="63" t="s">
        <v>588</v>
      </c>
      <c r="AB250" s="8" t="s">
        <v>589</v>
      </c>
      <c r="AC250" s="8" t="s">
        <v>590</v>
      </c>
      <c r="AD250" s="8"/>
      <c r="AE250" s="11"/>
      <c r="AF250" s="9" t="s">
        <v>536</v>
      </c>
      <c r="AG250" t="str">
        <f>VLOOKUP(OfficeForms.Table[[#This Row],[Nama Proyek]],'Nama Proyek'!$D$2:$G$29,4,0)</f>
        <v>3.76047575,115.89977678</v>
      </c>
      <c r="AH250" s="5"/>
      <c r="AI250" s="5"/>
      <c r="AJ250" s="5"/>
      <c r="AK250" s="5" t="s">
        <v>591</v>
      </c>
    </row>
    <row r="251" spans="1:37" ht="15" hidden="1" customHeight="1">
      <c r="A251" s="30">
        <v>304</v>
      </c>
      <c r="B251" s="111">
        <v>44824</v>
      </c>
      <c r="C251" s="29">
        <f>B251</f>
        <v>44824</v>
      </c>
      <c r="D251" s="9" t="s">
        <v>37</v>
      </c>
      <c r="E251" s="9" t="s">
        <v>214</v>
      </c>
      <c r="F251" s="5" t="str">
        <f>E251</f>
        <v>BASUKI RAHMAT HAKIM</v>
      </c>
      <c r="G251" s="60" t="s">
        <v>48</v>
      </c>
      <c r="H251" s="104"/>
      <c r="I251" s="94">
        <v>0</v>
      </c>
      <c r="J251" s="94">
        <v>0</v>
      </c>
      <c r="K251" s="94">
        <v>0</v>
      </c>
      <c r="L251" s="94">
        <v>0</v>
      </c>
      <c r="M251" s="94">
        <v>0</v>
      </c>
      <c r="N251" s="94">
        <v>0</v>
      </c>
      <c r="O251" s="94">
        <v>0</v>
      </c>
      <c r="P251" s="94">
        <v>0</v>
      </c>
      <c r="Q251" s="94">
        <v>0</v>
      </c>
      <c r="R251" s="94">
        <v>0</v>
      </c>
      <c r="S251" s="94">
        <v>0</v>
      </c>
      <c r="T251" s="94">
        <v>0</v>
      </c>
      <c r="U251" s="94">
        <v>0</v>
      </c>
      <c r="V251" s="94">
        <v>0</v>
      </c>
      <c r="W251" s="94">
        <v>0</v>
      </c>
      <c r="X251" s="94">
        <v>0</v>
      </c>
      <c r="Y251" s="94">
        <v>0</v>
      </c>
      <c r="Z251" s="94"/>
      <c r="AA251" s="9"/>
      <c r="AB251" s="9"/>
      <c r="AC251" s="9"/>
      <c r="AD251" s="9"/>
      <c r="AE251" s="12" t="s">
        <v>592</v>
      </c>
      <c r="AF251" s="19"/>
      <c r="AG251" t="str">
        <f>VLOOKUP(OfficeForms.Table[[#This Row],[Nama Proyek]],'Nama Proyek'!$D$2:$G$29,4,0)</f>
        <v>3.76047575,115.89977678</v>
      </c>
      <c r="AH251" s="5"/>
      <c r="AI251" s="5"/>
      <c r="AJ251" s="5"/>
      <c r="AK251" s="5" t="s">
        <v>593</v>
      </c>
    </row>
    <row r="252" spans="1:37" ht="15" hidden="1" customHeight="1">
      <c r="A252" s="30">
        <v>33</v>
      </c>
      <c r="B252" s="110">
        <v>44827</v>
      </c>
      <c r="C252" s="28">
        <f>B252</f>
        <v>44827</v>
      </c>
      <c r="D252" s="8" t="s">
        <v>37</v>
      </c>
      <c r="E252" s="8" t="s">
        <v>75</v>
      </c>
      <c r="F252" s="5" t="str">
        <f>E252</f>
        <v>Banyu Purwita</v>
      </c>
      <c r="G252" s="55" t="s">
        <v>76</v>
      </c>
      <c r="H252" s="105">
        <v>44827</v>
      </c>
      <c r="I252" s="95">
        <v>11.987</v>
      </c>
      <c r="J252" s="95">
        <v>18.818999999999999</v>
      </c>
      <c r="K252" s="95">
        <v>0</v>
      </c>
      <c r="L252" s="95">
        <v>0</v>
      </c>
      <c r="M252" s="95">
        <v>0.496</v>
      </c>
      <c r="N252" s="95">
        <v>1.1399999999999999</v>
      </c>
      <c r="O252" s="95">
        <v>7.0069999999999997</v>
      </c>
      <c r="P252" s="95">
        <v>0</v>
      </c>
      <c r="Q252" s="95">
        <v>0</v>
      </c>
      <c r="R252" s="95">
        <v>9.3580000000000005</v>
      </c>
      <c r="S252" s="95">
        <v>0</v>
      </c>
      <c r="T252" s="95">
        <v>0</v>
      </c>
      <c r="U252" s="95">
        <v>0</v>
      </c>
      <c r="V252" s="95">
        <v>0</v>
      </c>
      <c r="W252" s="95">
        <v>0</v>
      </c>
      <c r="X252" s="95">
        <v>0</v>
      </c>
      <c r="Y252" s="95">
        <v>0</v>
      </c>
      <c r="Z252" s="95"/>
      <c r="AA252" s="8"/>
      <c r="AB252" s="8"/>
      <c r="AC252" s="8"/>
      <c r="AD252" s="8"/>
      <c r="AE252" s="11"/>
      <c r="AF252" s="9" t="s">
        <v>594</v>
      </c>
      <c r="AG252" t="str">
        <f>VLOOKUP(OfficeForms.Table[[#This Row],[Nama Proyek]],'Nama Proyek'!$D$2:$G$29,4,0)</f>
        <v>-2.95293103,104.75455094</v>
      </c>
      <c r="AH252" s="5"/>
      <c r="AI252" s="5"/>
      <c r="AJ252" s="5"/>
      <c r="AK252" s="5" t="s">
        <v>595</v>
      </c>
    </row>
    <row r="253" spans="1:37" ht="15" hidden="1" customHeight="1">
      <c r="A253" s="50">
        <v>542</v>
      </c>
      <c r="B253" s="111">
        <v>44827</v>
      </c>
      <c r="C253" s="29">
        <f>B253</f>
        <v>44827</v>
      </c>
      <c r="D253" s="8" t="s">
        <v>37</v>
      </c>
      <c r="E253" s="8" t="s">
        <v>75</v>
      </c>
      <c r="F253" s="5" t="str">
        <f>E253</f>
        <v>Banyu Purwita</v>
      </c>
      <c r="G253" s="54" t="s">
        <v>76</v>
      </c>
      <c r="H253" s="104"/>
      <c r="I253" s="95">
        <v>0</v>
      </c>
      <c r="J253" s="95">
        <v>0</v>
      </c>
      <c r="K253" s="95">
        <v>0</v>
      </c>
      <c r="L253" s="95">
        <v>0</v>
      </c>
      <c r="M253" s="95">
        <v>0</v>
      </c>
      <c r="N253" s="95">
        <v>0</v>
      </c>
      <c r="O253" s="95">
        <v>0</v>
      </c>
      <c r="P253" s="95">
        <v>0</v>
      </c>
      <c r="Q253" s="95">
        <v>0</v>
      </c>
      <c r="R253" s="95">
        <v>0</v>
      </c>
      <c r="S253" s="95">
        <v>0</v>
      </c>
      <c r="T253" s="95">
        <v>0</v>
      </c>
      <c r="U253" s="95">
        <v>0</v>
      </c>
      <c r="V253" s="95">
        <v>0</v>
      </c>
      <c r="W253" s="95">
        <v>0</v>
      </c>
      <c r="X253" s="95">
        <v>0</v>
      </c>
      <c r="Y253" s="95">
        <v>0</v>
      </c>
      <c r="Z253" s="95"/>
      <c r="AA253" s="8" t="s">
        <v>596</v>
      </c>
      <c r="AB253" s="15" t="s">
        <v>597</v>
      </c>
      <c r="AC253" s="15" t="s">
        <v>598</v>
      </c>
      <c r="AD253" s="15" t="s">
        <v>598</v>
      </c>
      <c r="AE253" s="11"/>
      <c r="AF253" s="19"/>
      <c r="AG253" t="str">
        <f>VLOOKUP(OfficeForms.Table[[#This Row],[Nama Proyek]],'Nama Proyek'!$D$2:$G$29,4,0)</f>
        <v>-2.95293103,104.75455094</v>
      </c>
      <c r="AH253" s="5"/>
      <c r="AI253" s="5"/>
      <c r="AJ253" s="5"/>
      <c r="AK253" s="5" t="s">
        <v>599</v>
      </c>
    </row>
    <row r="254" spans="1:37" ht="15" hidden="1" customHeight="1">
      <c r="A254">
        <v>551</v>
      </c>
      <c r="B254" s="110">
        <v>44830</v>
      </c>
      <c r="C254" s="28">
        <f>B254</f>
        <v>44830</v>
      </c>
      <c r="D254" s="8" t="s">
        <v>37</v>
      </c>
      <c r="E254" s="8" t="s">
        <v>75</v>
      </c>
      <c r="F254" s="5" t="str">
        <f>E254</f>
        <v>Banyu Purwita</v>
      </c>
      <c r="G254" s="55" t="s">
        <v>76</v>
      </c>
      <c r="H254" s="106"/>
      <c r="I254" s="95">
        <v>0</v>
      </c>
      <c r="J254" s="95">
        <v>0</v>
      </c>
      <c r="K254" s="95">
        <v>0</v>
      </c>
      <c r="L254" s="95">
        <v>0</v>
      </c>
      <c r="M254" s="95">
        <v>0</v>
      </c>
      <c r="N254" s="95">
        <v>0</v>
      </c>
      <c r="O254" s="95">
        <v>0</v>
      </c>
      <c r="P254" s="95">
        <v>0</v>
      </c>
      <c r="Q254" s="95">
        <v>0</v>
      </c>
      <c r="R254" s="95">
        <v>0</v>
      </c>
      <c r="S254" s="95">
        <v>0</v>
      </c>
      <c r="T254" s="95">
        <v>0</v>
      </c>
      <c r="U254" s="95">
        <v>0</v>
      </c>
      <c r="V254" s="95">
        <v>0</v>
      </c>
      <c r="W254" s="95">
        <v>0</v>
      </c>
      <c r="X254" s="95">
        <v>0</v>
      </c>
      <c r="Y254" s="95">
        <v>0</v>
      </c>
      <c r="Z254" s="95"/>
      <c r="AA254" s="8" t="s">
        <v>600</v>
      </c>
      <c r="AB254" s="8" t="s">
        <v>600</v>
      </c>
      <c r="AC254" s="8" t="s">
        <v>600</v>
      </c>
      <c r="AD254" s="8" t="s">
        <v>600</v>
      </c>
      <c r="AE254" s="11"/>
      <c r="AF254" s="40" t="s">
        <v>601</v>
      </c>
      <c r="AG254" t="str">
        <f>VLOOKUP(OfficeForms.Table[[#This Row],[Nama Proyek]],'Nama Proyek'!$D$2:$G$29,4,0)</f>
        <v>-2.95293103,104.75455094</v>
      </c>
      <c r="AH254" s="5"/>
      <c r="AI254" s="5"/>
      <c r="AJ254" s="5"/>
      <c r="AK254" s="5" t="s">
        <v>602</v>
      </c>
    </row>
    <row r="255" spans="1:37" ht="15" hidden="1" customHeight="1">
      <c r="A255" s="31">
        <v>556</v>
      </c>
      <c r="B255" s="111">
        <v>44830</v>
      </c>
      <c r="C255" s="29">
        <f>B255</f>
        <v>44830</v>
      </c>
      <c r="D255" s="9" t="s">
        <v>37</v>
      </c>
      <c r="E255" s="9" t="s">
        <v>75</v>
      </c>
      <c r="F255" s="5" t="str">
        <f>E255</f>
        <v>Banyu Purwita</v>
      </c>
      <c r="G255" s="37" t="s">
        <v>76</v>
      </c>
      <c r="H255" s="104"/>
      <c r="I255" s="94">
        <v>0</v>
      </c>
      <c r="J255" s="94">
        <v>0</v>
      </c>
      <c r="K255" s="94">
        <v>0</v>
      </c>
      <c r="L255" s="94">
        <v>0</v>
      </c>
      <c r="M255" s="94">
        <v>0</v>
      </c>
      <c r="N255" s="94">
        <v>0</v>
      </c>
      <c r="O255" s="94">
        <v>0</v>
      </c>
      <c r="P255" s="94">
        <v>0</v>
      </c>
      <c r="Q255" s="94">
        <v>0</v>
      </c>
      <c r="R255" s="94">
        <v>0</v>
      </c>
      <c r="S255" s="94">
        <v>0</v>
      </c>
      <c r="T255" s="94">
        <v>0</v>
      </c>
      <c r="U255" s="94">
        <v>0</v>
      </c>
      <c r="V255" s="94">
        <v>0</v>
      </c>
      <c r="W255" s="94">
        <v>0</v>
      </c>
      <c r="X255" s="94">
        <v>0</v>
      </c>
      <c r="Y255" s="94">
        <v>0</v>
      </c>
      <c r="Z255" s="94"/>
      <c r="AA255" s="9"/>
      <c r="AB255" s="9"/>
      <c r="AC255" s="9"/>
      <c r="AD255" s="9"/>
      <c r="AE255" s="12" t="s">
        <v>603</v>
      </c>
      <c r="AF255" s="8"/>
      <c r="AG255" t="str">
        <f>VLOOKUP(OfficeForms.Table[[#This Row],[Nama Proyek]],'Nama Proyek'!$D$2:$G$29,4,0)</f>
        <v>-2.95293103,104.75455094</v>
      </c>
      <c r="AH255" s="5"/>
      <c r="AI255" s="5"/>
      <c r="AJ255" s="5"/>
      <c r="AK255" s="5" t="s">
        <v>604</v>
      </c>
    </row>
    <row r="256" spans="1:37" ht="15" hidden="1" customHeight="1">
      <c r="A256" s="50">
        <v>557</v>
      </c>
      <c r="B256" s="110">
        <v>44830</v>
      </c>
      <c r="C256" s="28">
        <f>B256</f>
        <v>44830</v>
      </c>
      <c r="D256" s="8" t="s">
        <v>37</v>
      </c>
      <c r="E256" s="8" t="s">
        <v>75</v>
      </c>
      <c r="F256" s="5" t="str">
        <f>E256</f>
        <v>Banyu Purwita</v>
      </c>
      <c r="G256" s="34" t="s">
        <v>76</v>
      </c>
      <c r="H256" s="106"/>
      <c r="I256" s="95">
        <v>0</v>
      </c>
      <c r="J256" s="95">
        <v>0</v>
      </c>
      <c r="K256" s="95">
        <v>0</v>
      </c>
      <c r="L256" s="95">
        <v>0</v>
      </c>
      <c r="M256" s="95">
        <v>0</v>
      </c>
      <c r="N256" s="95">
        <v>0</v>
      </c>
      <c r="O256" s="95">
        <v>0</v>
      </c>
      <c r="P256" s="95">
        <v>0</v>
      </c>
      <c r="Q256" s="95">
        <v>0</v>
      </c>
      <c r="R256" s="95">
        <v>0</v>
      </c>
      <c r="S256" s="95">
        <v>0</v>
      </c>
      <c r="T256" s="95">
        <v>0</v>
      </c>
      <c r="U256" s="95">
        <v>0</v>
      </c>
      <c r="V256" s="95">
        <v>0</v>
      </c>
      <c r="W256" s="95">
        <v>0</v>
      </c>
      <c r="X256" s="95">
        <v>0</v>
      </c>
      <c r="Y256" s="95">
        <v>0</v>
      </c>
      <c r="Z256" s="95"/>
      <c r="AA256" s="8" t="s">
        <v>600</v>
      </c>
      <c r="AB256" s="8" t="s">
        <v>600</v>
      </c>
      <c r="AC256" s="8" t="s">
        <v>600</v>
      </c>
      <c r="AD256" s="8" t="s">
        <v>600</v>
      </c>
      <c r="AE256" s="11"/>
      <c r="AF256" s="9"/>
      <c r="AG256" t="str">
        <f>VLOOKUP(OfficeForms.Table[[#This Row],[Nama Proyek]],'Nama Proyek'!$D$2:$G$29,4,0)</f>
        <v>-2.95293103,104.75455094</v>
      </c>
      <c r="AH256" s="5"/>
      <c r="AI256" s="5"/>
      <c r="AJ256" s="5"/>
      <c r="AK256" s="5" t="s">
        <v>605</v>
      </c>
    </row>
    <row r="257" spans="1:37" ht="15" hidden="1" customHeight="1">
      <c r="A257">
        <v>558</v>
      </c>
      <c r="B257" s="111">
        <v>44830</v>
      </c>
      <c r="C257" s="29">
        <f>B257</f>
        <v>44830</v>
      </c>
      <c r="D257" s="9" t="s">
        <v>37</v>
      </c>
      <c r="E257" s="9" t="s">
        <v>75</v>
      </c>
      <c r="F257" s="5" t="str">
        <f>E257</f>
        <v>Banyu Purwita</v>
      </c>
      <c r="G257" s="37" t="s">
        <v>76</v>
      </c>
      <c r="H257" s="104"/>
      <c r="I257" s="94">
        <v>0</v>
      </c>
      <c r="J257" s="94">
        <v>0</v>
      </c>
      <c r="K257" s="94">
        <v>0</v>
      </c>
      <c r="L257" s="94">
        <v>0</v>
      </c>
      <c r="M257" s="94">
        <v>0</v>
      </c>
      <c r="N257" s="94">
        <v>0</v>
      </c>
      <c r="O257" s="94">
        <v>0</v>
      </c>
      <c r="P257" s="94">
        <v>0</v>
      </c>
      <c r="Q257" s="94">
        <v>0</v>
      </c>
      <c r="R257" s="94">
        <v>0</v>
      </c>
      <c r="S257" s="94">
        <v>0</v>
      </c>
      <c r="T257" s="94">
        <v>0</v>
      </c>
      <c r="U257" s="94">
        <v>0</v>
      </c>
      <c r="V257" s="94">
        <v>0</v>
      </c>
      <c r="W257" s="94">
        <v>0</v>
      </c>
      <c r="X257" s="94">
        <v>0</v>
      </c>
      <c r="Y257" s="94">
        <v>0</v>
      </c>
      <c r="Z257" s="94"/>
      <c r="AA257" s="9" t="s">
        <v>600</v>
      </c>
      <c r="AB257" s="9" t="s">
        <v>600</v>
      </c>
      <c r="AC257" s="9" t="s">
        <v>600</v>
      </c>
      <c r="AD257" s="9" t="s">
        <v>600</v>
      </c>
      <c r="AE257" s="12"/>
      <c r="AF257" s="19" t="s">
        <v>606</v>
      </c>
      <c r="AG257" t="str">
        <f>VLOOKUP(OfficeForms.Table[[#This Row],[Nama Proyek]],'Nama Proyek'!$D$2:$G$29,4,0)</f>
        <v>-2.95293103,104.75455094</v>
      </c>
      <c r="AH257" s="5"/>
      <c r="AI257" s="5"/>
      <c r="AJ257" s="5"/>
      <c r="AK257" s="5" t="s">
        <v>607</v>
      </c>
    </row>
    <row r="258" spans="1:37" ht="15" hidden="1" customHeight="1">
      <c r="A258" s="31">
        <v>573</v>
      </c>
      <c r="B258" s="110">
        <v>44830</v>
      </c>
      <c r="C258" s="28">
        <f>B258</f>
        <v>44830</v>
      </c>
      <c r="D258" s="8" t="s">
        <v>37</v>
      </c>
      <c r="E258" s="8" t="s">
        <v>75</v>
      </c>
      <c r="F258" s="5" t="str">
        <f>E258</f>
        <v>Banyu Purwita</v>
      </c>
      <c r="G258" s="34" t="s">
        <v>76</v>
      </c>
      <c r="H258" s="106"/>
      <c r="I258" s="95">
        <v>0</v>
      </c>
      <c r="J258" s="95">
        <v>0</v>
      </c>
      <c r="K258" s="95">
        <v>0</v>
      </c>
      <c r="L258" s="95">
        <v>0</v>
      </c>
      <c r="M258" s="95">
        <v>0</v>
      </c>
      <c r="N258" s="95">
        <v>0</v>
      </c>
      <c r="O258" s="95">
        <v>0</v>
      </c>
      <c r="P258" s="95">
        <v>0</v>
      </c>
      <c r="Q258" s="95">
        <v>0</v>
      </c>
      <c r="R258" s="95">
        <v>0</v>
      </c>
      <c r="S258" s="95">
        <v>0</v>
      </c>
      <c r="T258" s="95">
        <v>0</v>
      </c>
      <c r="U258" s="95">
        <v>0</v>
      </c>
      <c r="V258" s="95">
        <v>0</v>
      </c>
      <c r="W258" s="95">
        <v>0</v>
      </c>
      <c r="X258" s="95">
        <v>0</v>
      </c>
      <c r="Y258" s="95">
        <v>0</v>
      </c>
      <c r="Z258" s="95"/>
      <c r="AA258" s="8" t="s">
        <v>600</v>
      </c>
      <c r="AB258" s="8" t="s">
        <v>600</v>
      </c>
      <c r="AC258" s="8" t="s">
        <v>600</v>
      </c>
      <c r="AD258" s="8" t="s">
        <v>600</v>
      </c>
      <c r="AE258" s="11"/>
      <c r="AF258" s="9"/>
      <c r="AG258" t="str">
        <f>VLOOKUP(OfficeForms.Table[[#This Row],[Nama Proyek]],'Nama Proyek'!$D$2:$G$29,4,0)</f>
        <v>-2.95293103,104.75455094</v>
      </c>
      <c r="AH258" s="5"/>
      <c r="AI258" s="5"/>
      <c r="AJ258" s="5"/>
      <c r="AK258" s="5" t="s">
        <v>608</v>
      </c>
    </row>
    <row r="259" spans="1:37" ht="15" hidden="1" customHeight="1">
      <c r="A259" s="30">
        <v>611</v>
      </c>
      <c r="B259" s="110">
        <v>44830</v>
      </c>
      <c r="C259" s="28">
        <f>B259</f>
        <v>44830</v>
      </c>
      <c r="D259" s="19" t="s">
        <v>37</v>
      </c>
      <c r="E259" s="19" t="s">
        <v>75</v>
      </c>
      <c r="F259" s="5" t="str">
        <f>E259</f>
        <v>Banyu Purwita</v>
      </c>
      <c r="G259" s="34" t="s">
        <v>76</v>
      </c>
      <c r="H259" s="106"/>
      <c r="I259" s="96">
        <v>0</v>
      </c>
      <c r="J259" s="96">
        <v>0</v>
      </c>
      <c r="K259" s="96">
        <v>0</v>
      </c>
      <c r="L259" s="96">
        <v>0</v>
      </c>
      <c r="M259" s="96">
        <v>0</v>
      </c>
      <c r="N259" s="96">
        <v>0</v>
      </c>
      <c r="O259" s="96">
        <v>0</v>
      </c>
      <c r="P259" s="96">
        <v>0</v>
      </c>
      <c r="Q259" s="96">
        <v>0</v>
      </c>
      <c r="R259" s="96">
        <v>0</v>
      </c>
      <c r="S259" s="96">
        <v>0</v>
      </c>
      <c r="T259" s="96">
        <v>0</v>
      </c>
      <c r="U259" s="96">
        <v>0</v>
      </c>
      <c r="V259" s="96">
        <v>0</v>
      </c>
      <c r="W259" s="96">
        <v>0</v>
      </c>
      <c r="X259" s="96">
        <v>0</v>
      </c>
      <c r="Y259" s="96">
        <v>0</v>
      </c>
      <c r="Z259" s="96"/>
      <c r="AA259" s="19" t="s">
        <v>600</v>
      </c>
      <c r="AB259" s="19" t="s">
        <v>600</v>
      </c>
      <c r="AC259" s="19" t="s">
        <v>600</v>
      </c>
      <c r="AD259" s="19" t="s">
        <v>600</v>
      </c>
      <c r="AE259" s="13"/>
      <c r="AF259" s="15"/>
      <c r="AG259" t="str">
        <f>VLOOKUP(OfficeForms.Table[[#This Row],[Nama Proyek]],'Nama Proyek'!$D$2:$G$29,4,0)</f>
        <v>-2.95293103,104.75455094</v>
      </c>
      <c r="AH259" s="5"/>
      <c r="AI259" s="5"/>
      <c r="AJ259" s="5"/>
      <c r="AK259" s="5" t="s">
        <v>609</v>
      </c>
    </row>
    <row r="260" spans="1:37" ht="15" hidden="1" customHeight="1">
      <c r="A260" s="31">
        <v>612</v>
      </c>
      <c r="B260" s="111">
        <v>44830</v>
      </c>
      <c r="C260" s="29">
        <f>B260</f>
        <v>44830</v>
      </c>
      <c r="D260" s="8" t="s">
        <v>37</v>
      </c>
      <c r="E260" s="8" t="s">
        <v>75</v>
      </c>
      <c r="F260" s="5" t="str">
        <f>E260</f>
        <v>Banyu Purwita</v>
      </c>
      <c r="G260" s="54" t="s">
        <v>76</v>
      </c>
      <c r="H260" s="104"/>
      <c r="I260" s="95">
        <v>0</v>
      </c>
      <c r="J260" s="95">
        <v>0</v>
      </c>
      <c r="K260" s="95">
        <v>0</v>
      </c>
      <c r="L260" s="95">
        <v>0</v>
      </c>
      <c r="M260" s="95">
        <v>0</v>
      </c>
      <c r="N260" s="95">
        <v>0</v>
      </c>
      <c r="O260" s="95">
        <v>0</v>
      </c>
      <c r="P260" s="95">
        <v>0</v>
      </c>
      <c r="Q260" s="95">
        <v>0</v>
      </c>
      <c r="R260" s="95">
        <v>0</v>
      </c>
      <c r="S260" s="95">
        <v>0</v>
      </c>
      <c r="T260" s="95">
        <v>0</v>
      </c>
      <c r="U260" s="95">
        <v>0</v>
      </c>
      <c r="V260" s="95">
        <v>0</v>
      </c>
      <c r="W260" s="95">
        <v>0</v>
      </c>
      <c r="X260" s="95">
        <v>0</v>
      </c>
      <c r="Y260" s="95">
        <v>0</v>
      </c>
      <c r="Z260" s="95"/>
      <c r="AA260" s="8" t="s">
        <v>600</v>
      </c>
      <c r="AB260" s="8" t="s">
        <v>600</v>
      </c>
      <c r="AC260" s="8" t="s">
        <v>600</v>
      </c>
      <c r="AD260" s="8" t="s">
        <v>600</v>
      </c>
      <c r="AE260" s="16"/>
      <c r="AF260" s="8"/>
      <c r="AG260" t="str">
        <f>VLOOKUP(OfficeForms.Table[[#This Row],[Nama Proyek]],'Nama Proyek'!$D$2:$G$29,4,0)</f>
        <v>-2.95293103,104.75455094</v>
      </c>
      <c r="AH260" s="5"/>
      <c r="AI260" s="5"/>
      <c r="AJ260" s="5"/>
      <c r="AK260" s="5" t="s">
        <v>610</v>
      </c>
    </row>
    <row r="261" spans="1:37" ht="15" hidden="1" customHeight="1">
      <c r="A261" s="50">
        <v>613</v>
      </c>
      <c r="B261" s="110">
        <v>44830</v>
      </c>
      <c r="C261" s="28">
        <f>B261</f>
        <v>44830</v>
      </c>
      <c r="D261" s="8" t="s">
        <v>37</v>
      </c>
      <c r="E261" s="8" t="s">
        <v>75</v>
      </c>
      <c r="F261" s="5" t="str">
        <f>E261</f>
        <v>Banyu Purwita</v>
      </c>
      <c r="G261" s="55" t="s">
        <v>76</v>
      </c>
      <c r="H261" s="106"/>
      <c r="I261" s="95">
        <v>0</v>
      </c>
      <c r="J261" s="95">
        <v>0</v>
      </c>
      <c r="K261" s="95">
        <v>0</v>
      </c>
      <c r="L261" s="95">
        <v>0</v>
      </c>
      <c r="M261" s="95">
        <v>0</v>
      </c>
      <c r="N261" s="95">
        <v>0</v>
      </c>
      <c r="O261" s="95">
        <v>0</v>
      </c>
      <c r="P261" s="95">
        <v>0</v>
      </c>
      <c r="Q261" s="95">
        <v>0</v>
      </c>
      <c r="R261" s="95">
        <v>0</v>
      </c>
      <c r="S261" s="95">
        <v>0</v>
      </c>
      <c r="T261" s="95">
        <v>0</v>
      </c>
      <c r="U261" s="95">
        <v>0</v>
      </c>
      <c r="V261" s="95">
        <v>0</v>
      </c>
      <c r="W261" s="95">
        <v>0</v>
      </c>
      <c r="X261" s="95">
        <v>0</v>
      </c>
      <c r="Y261" s="95">
        <v>0</v>
      </c>
      <c r="Z261" s="95"/>
      <c r="AA261" s="8" t="s">
        <v>600</v>
      </c>
      <c r="AB261" s="8" t="s">
        <v>600</v>
      </c>
      <c r="AC261" s="8" t="s">
        <v>600</v>
      </c>
      <c r="AD261" s="8" t="s">
        <v>600</v>
      </c>
      <c r="AE261" s="11"/>
      <c r="AF261" s="9" t="s">
        <v>579</v>
      </c>
      <c r="AG261" t="str">
        <f>VLOOKUP(OfficeForms.Table[[#This Row],[Nama Proyek]],'Nama Proyek'!$D$2:$G$29,4,0)</f>
        <v>-2.95293103,104.75455094</v>
      </c>
      <c r="AH261" s="5"/>
      <c r="AI261" s="5"/>
      <c r="AJ261" s="5"/>
      <c r="AK261" s="5" t="s">
        <v>611</v>
      </c>
    </row>
    <row r="262" spans="1:37" ht="15" hidden="1" customHeight="1">
      <c r="A262">
        <v>617</v>
      </c>
      <c r="B262" s="110">
        <v>44830</v>
      </c>
      <c r="C262" s="28">
        <f>B262</f>
        <v>44830</v>
      </c>
      <c r="D262" s="19" t="s">
        <v>37</v>
      </c>
      <c r="E262" s="19" t="s">
        <v>75</v>
      </c>
      <c r="F262" s="5" t="str">
        <f>E262</f>
        <v>Banyu Purwita</v>
      </c>
      <c r="G262" s="55" t="s">
        <v>76</v>
      </c>
      <c r="H262" s="106"/>
      <c r="I262" s="96">
        <v>0</v>
      </c>
      <c r="J262" s="96">
        <v>0</v>
      </c>
      <c r="K262" s="96">
        <v>0</v>
      </c>
      <c r="L262" s="96">
        <v>0</v>
      </c>
      <c r="M262" s="96">
        <v>0</v>
      </c>
      <c r="N262" s="96">
        <v>0</v>
      </c>
      <c r="O262" s="96">
        <v>0</v>
      </c>
      <c r="P262" s="96">
        <v>0</v>
      </c>
      <c r="Q262" s="96">
        <v>0</v>
      </c>
      <c r="R262" s="96">
        <v>0</v>
      </c>
      <c r="S262" s="96">
        <v>0</v>
      </c>
      <c r="T262" s="96">
        <v>0</v>
      </c>
      <c r="U262" s="96">
        <v>0</v>
      </c>
      <c r="V262" s="96">
        <v>0</v>
      </c>
      <c r="W262" s="96">
        <v>0</v>
      </c>
      <c r="X262" s="96">
        <v>0</v>
      </c>
      <c r="Y262" s="96">
        <v>0</v>
      </c>
      <c r="Z262" s="96"/>
      <c r="AA262" s="19" t="s">
        <v>600</v>
      </c>
      <c r="AB262" s="19" t="s">
        <v>600</v>
      </c>
      <c r="AC262" s="19" t="s">
        <v>600</v>
      </c>
      <c r="AD262" s="19" t="s">
        <v>600</v>
      </c>
      <c r="AE262" s="13"/>
      <c r="AF262" s="8"/>
      <c r="AG262" t="str">
        <f>VLOOKUP(OfficeForms.Table[[#This Row],[Nama Proyek]],'Nama Proyek'!$D$2:$G$29,4,0)</f>
        <v>-2.95293103,104.75455094</v>
      </c>
      <c r="AH262" s="5"/>
      <c r="AI262" s="5"/>
      <c r="AJ262" s="5"/>
      <c r="AK262" s="5" t="s">
        <v>612</v>
      </c>
    </row>
    <row r="263" spans="1:37" ht="15" hidden="1" customHeight="1">
      <c r="A263" s="30">
        <v>618</v>
      </c>
      <c r="B263" s="111">
        <v>44830</v>
      </c>
      <c r="C263" s="29">
        <f>B263</f>
        <v>44830</v>
      </c>
      <c r="D263" s="8" t="s">
        <v>37</v>
      </c>
      <c r="E263" s="8" t="s">
        <v>75</v>
      </c>
      <c r="F263" s="5" t="str">
        <f>E263</f>
        <v>Banyu Purwita</v>
      </c>
      <c r="G263" s="54" t="s">
        <v>76</v>
      </c>
      <c r="H263" s="104"/>
      <c r="I263" s="95">
        <v>0</v>
      </c>
      <c r="J263" s="95">
        <v>0</v>
      </c>
      <c r="K263" s="95">
        <v>0</v>
      </c>
      <c r="L263" s="95">
        <v>0</v>
      </c>
      <c r="M263" s="95">
        <v>0</v>
      </c>
      <c r="N263" s="95">
        <v>0</v>
      </c>
      <c r="O263" s="95">
        <v>0</v>
      </c>
      <c r="P263" s="95">
        <v>0</v>
      </c>
      <c r="Q263" s="95">
        <v>0</v>
      </c>
      <c r="R263" s="95">
        <v>0</v>
      </c>
      <c r="S263" s="95">
        <v>0</v>
      </c>
      <c r="T263" s="95">
        <v>0</v>
      </c>
      <c r="U263" s="95">
        <v>0</v>
      </c>
      <c r="V263" s="95">
        <v>0</v>
      </c>
      <c r="W263" s="95">
        <v>0</v>
      </c>
      <c r="X263" s="95">
        <v>0</v>
      </c>
      <c r="Y263" s="95">
        <v>0</v>
      </c>
      <c r="Z263" s="95"/>
      <c r="AA263" s="8" t="s">
        <v>600</v>
      </c>
      <c r="AB263" s="8" t="s">
        <v>600</v>
      </c>
      <c r="AC263" s="8" t="s">
        <v>600</v>
      </c>
      <c r="AD263" s="8" t="s">
        <v>600</v>
      </c>
      <c r="AE263" s="11"/>
      <c r="AF263" s="19"/>
      <c r="AG263" t="str">
        <f>VLOOKUP(OfficeForms.Table[[#This Row],[Nama Proyek]],'Nama Proyek'!$D$2:$G$29,4,0)</f>
        <v>-2.95293103,104.75455094</v>
      </c>
      <c r="AH263" s="5"/>
      <c r="AI263" s="5"/>
      <c r="AJ263" s="5"/>
      <c r="AK263" s="5" t="s">
        <v>613</v>
      </c>
    </row>
    <row r="264" spans="1:37" ht="15" hidden="1" customHeight="1">
      <c r="A264" s="31">
        <v>619</v>
      </c>
      <c r="B264" s="110">
        <v>44830</v>
      </c>
      <c r="C264" s="28">
        <f>B264</f>
        <v>44830</v>
      </c>
      <c r="D264" s="19" t="s">
        <v>37</v>
      </c>
      <c r="E264" s="19" t="s">
        <v>75</v>
      </c>
      <c r="F264" s="5" t="str">
        <f>E264</f>
        <v>Banyu Purwita</v>
      </c>
      <c r="G264" s="55" t="s">
        <v>76</v>
      </c>
      <c r="H264" s="106"/>
      <c r="I264" s="96">
        <v>0</v>
      </c>
      <c r="J264" s="96">
        <v>0</v>
      </c>
      <c r="K264" s="96">
        <v>0</v>
      </c>
      <c r="L264" s="96">
        <v>0</v>
      </c>
      <c r="M264" s="96">
        <v>0</v>
      </c>
      <c r="N264" s="96">
        <v>0</v>
      </c>
      <c r="O264" s="96">
        <v>0</v>
      </c>
      <c r="P264" s="96">
        <v>0</v>
      </c>
      <c r="Q264" s="96">
        <v>0</v>
      </c>
      <c r="R264" s="96">
        <v>0</v>
      </c>
      <c r="S264" s="96">
        <v>0</v>
      </c>
      <c r="T264" s="96">
        <v>0</v>
      </c>
      <c r="U264" s="96">
        <v>0</v>
      </c>
      <c r="V264" s="96">
        <v>0</v>
      </c>
      <c r="W264" s="96">
        <v>0</v>
      </c>
      <c r="X264" s="96">
        <v>0</v>
      </c>
      <c r="Y264" s="96">
        <v>0</v>
      </c>
      <c r="Z264" s="96"/>
      <c r="AA264" s="19" t="s">
        <v>600</v>
      </c>
      <c r="AB264" s="19" t="s">
        <v>600</v>
      </c>
      <c r="AC264" s="19" t="s">
        <v>600</v>
      </c>
      <c r="AD264" s="19" t="s">
        <v>600</v>
      </c>
      <c r="AE264" s="13"/>
      <c r="AF264" s="9"/>
      <c r="AG264" t="str">
        <f>VLOOKUP(OfficeForms.Table[[#This Row],[Nama Proyek]],'Nama Proyek'!$D$2:$G$29,4,0)</f>
        <v>-2.95293103,104.75455094</v>
      </c>
      <c r="AH264" s="5"/>
      <c r="AI264" s="5"/>
      <c r="AJ264" s="5"/>
      <c r="AK264" s="5" t="s">
        <v>614</v>
      </c>
    </row>
    <row r="265" spans="1:37" ht="15" customHeight="1">
      <c r="A265" s="30">
        <v>118</v>
      </c>
      <c r="B265" s="111">
        <v>44831</v>
      </c>
      <c r="C265" s="29">
        <f>B265</f>
        <v>44831</v>
      </c>
      <c r="D265" s="8" t="s">
        <v>46</v>
      </c>
      <c r="E265" s="8" t="s">
        <v>504</v>
      </c>
      <c r="F265" s="5" t="s">
        <v>504</v>
      </c>
      <c r="G265" s="9" t="s">
        <v>472</v>
      </c>
      <c r="H265" s="105">
        <v>44827</v>
      </c>
      <c r="I265" s="95">
        <v>31.971</v>
      </c>
      <c r="J265" s="95">
        <v>19.757999999999999</v>
      </c>
      <c r="K265" s="95">
        <v>0</v>
      </c>
      <c r="L265" s="95">
        <v>0</v>
      </c>
      <c r="M265" s="95">
        <v>0</v>
      </c>
      <c r="N265" s="95">
        <v>0</v>
      </c>
      <c r="O265" s="95">
        <v>0</v>
      </c>
      <c r="P265" s="95">
        <v>0</v>
      </c>
      <c r="Q265" s="95">
        <v>0</v>
      </c>
      <c r="R265" s="95">
        <v>0</v>
      </c>
      <c r="S265" s="95">
        <v>0</v>
      </c>
      <c r="T265" s="95">
        <v>0</v>
      </c>
      <c r="U265" s="95">
        <v>0</v>
      </c>
      <c r="V265" s="95">
        <v>0</v>
      </c>
      <c r="W265" s="95">
        <v>0</v>
      </c>
      <c r="X265" s="95">
        <v>0</v>
      </c>
      <c r="Y265" s="95">
        <v>0</v>
      </c>
      <c r="Z265" s="95"/>
      <c r="AA265" s="8"/>
      <c r="AB265" s="8"/>
      <c r="AC265" s="8"/>
      <c r="AD265" s="8"/>
      <c r="AE265" s="11"/>
      <c r="AF265" s="8"/>
      <c r="AG265" t="str">
        <f>VLOOKUP(OfficeForms.Table[[#This Row],[Nama Proyek]],'Nama Proyek'!$D$2:$G$29,4,0)</f>
        <v>-8.29394978,112.00545006</v>
      </c>
      <c r="AH265" s="5"/>
      <c r="AI265" s="5"/>
      <c r="AJ265" s="5"/>
      <c r="AK265" s="5" t="s">
        <v>615</v>
      </c>
    </row>
    <row r="266" spans="1:37" ht="15" customHeight="1">
      <c r="A266">
        <v>853</v>
      </c>
      <c r="B266" s="110">
        <v>44832</v>
      </c>
      <c r="C266" s="28">
        <f>B266</f>
        <v>44832</v>
      </c>
      <c r="D266" s="19" t="s">
        <v>46</v>
      </c>
      <c r="E266" s="19" t="s">
        <v>504</v>
      </c>
      <c r="F266" s="5" t="s">
        <v>504</v>
      </c>
      <c r="G266" s="19" t="s">
        <v>472</v>
      </c>
      <c r="H266" s="106">
        <v>44800</v>
      </c>
      <c r="I266" s="96">
        <v>25.45</v>
      </c>
      <c r="J266" s="96">
        <v>14.955</v>
      </c>
      <c r="K266" s="96">
        <v>0</v>
      </c>
      <c r="L266" s="96">
        <v>0</v>
      </c>
      <c r="M266" s="96">
        <v>0</v>
      </c>
      <c r="N266" s="96">
        <v>0</v>
      </c>
      <c r="O266" s="96">
        <v>0</v>
      </c>
      <c r="P266" s="96">
        <v>0</v>
      </c>
      <c r="Q266" s="96">
        <v>0</v>
      </c>
      <c r="R266" s="96">
        <v>0</v>
      </c>
      <c r="S266" s="96">
        <v>0</v>
      </c>
      <c r="T266" s="96">
        <v>0</v>
      </c>
      <c r="U266" s="96">
        <v>0</v>
      </c>
      <c r="V266" s="96">
        <v>0</v>
      </c>
      <c r="W266" s="96">
        <v>0</v>
      </c>
      <c r="X266" s="96">
        <v>0</v>
      </c>
      <c r="Y266" s="96">
        <v>0</v>
      </c>
      <c r="Z266" s="96"/>
      <c r="AA266" s="19"/>
      <c r="AB266" s="19"/>
      <c r="AC266" s="19"/>
      <c r="AD266" s="19"/>
      <c r="AE266" s="13"/>
      <c r="AF266" s="9"/>
      <c r="AG266" t="str">
        <f>VLOOKUP(OfficeForms.Table[[#This Row],[Nama Proyek]],'Nama Proyek'!$D$2:$G$29,4,0)</f>
        <v>-8.29394978,112.00545006</v>
      </c>
      <c r="AH266" s="5"/>
      <c r="AI266" s="5"/>
      <c r="AJ266" s="5"/>
      <c r="AK266" s="5" t="s">
        <v>616</v>
      </c>
    </row>
    <row r="267" spans="1:37" ht="15" hidden="1" customHeight="1">
      <c r="A267" s="50">
        <v>716</v>
      </c>
      <c r="B267" s="111">
        <v>44833</v>
      </c>
      <c r="C267" s="29">
        <f>B267</f>
        <v>44833</v>
      </c>
      <c r="D267" s="8" t="s">
        <v>37</v>
      </c>
      <c r="E267" s="8" t="s">
        <v>64</v>
      </c>
      <c r="F267" s="5" t="str">
        <f>E267</f>
        <v>Nizar Zulkarnain</v>
      </c>
      <c r="G267" s="9" t="s">
        <v>65</v>
      </c>
      <c r="H267" s="105">
        <v>44829</v>
      </c>
      <c r="I267" s="95">
        <v>72.22</v>
      </c>
      <c r="J267" s="95">
        <v>75.78</v>
      </c>
      <c r="K267" s="95">
        <v>58.77</v>
      </c>
      <c r="L267" s="95">
        <v>57.14</v>
      </c>
      <c r="M267" s="95">
        <v>81.25</v>
      </c>
      <c r="N267" s="95">
        <v>82.4</v>
      </c>
      <c r="O267" s="95">
        <v>46.58</v>
      </c>
      <c r="P267" s="95">
        <v>59.63</v>
      </c>
      <c r="Q267" s="95">
        <v>56.52</v>
      </c>
      <c r="R267" s="95">
        <v>53.63</v>
      </c>
      <c r="S267" s="95">
        <v>82.66</v>
      </c>
      <c r="T267" s="95">
        <v>79.88</v>
      </c>
      <c r="U267" s="95">
        <v>31.56</v>
      </c>
      <c r="V267" s="95">
        <v>16.04</v>
      </c>
      <c r="W267" s="95">
        <v>0</v>
      </c>
      <c r="X267" s="95">
        <v>98.36</v>
      </c>
      <c r="Y267" s="95">
        <v>41.02</v>
      </c>
      <c r="Z267" s="95"/>
      <c r="AA267" s="8"/>
      <c r="AB267" s="8"/>
      <c r="AC267" s="8"/>
      <c r="AD267" s="8"/>
      <c r="AE267" s="11"/>
      <c r="AF267" s="48" t="s">
        <v>617</v>
      </c>
      <c r="AG267" t="str">
        <f>VLOOKUP(OfficeForms.Table[[#This Row],[Nama Proyek]],'Nama Proyek'!$D$2:$G$29,4,0)</f>
        <v>-6.35008011,107.02324233</v>
      </c>
      <c r="AH267" s="5"/>
      <c r="AI267" s="5"/>
      <c r="AJ267" s="5"/>
      <c r="AK267" s="5" t="s">
        <v>618</v>
      </c>
    </row>
    <row r="268" spans="1:37" ht="15" hidden="1" customHeight="1">
      <c r="A268" s="30">
        <v>910</v>
      </c>
      <c r="B268" s="111">
        <v>44833</v>
      </c>
      <c r="C268" s="29">
        <f>B268</f>
        <v>44833</v>
      </c>
      <c r="D268" s="8" t="s">
        <v>37</v>
      </c>
      <c r="E268" s="8" t="s">
        <v>504</v>
      </c>
      <c r="F268" s="5" t="str">
        <f>E268</f>
        <v>Fathan Zul Waskito</v>
      </c>
      <c r="G268" s="9" t="s">
        <v>472</v>
      </c>
      <c r="H268" s="105">
        <v>44833</v>
      </c>
      <c r="I268" s="95">
        <v>31.972000000000001</v>
      </c>
      <c r="J268" s="95">
        <v>19.757999999999999</v>
      </c>
      <c r="K268" s="95">
        <v>4.9000000000000002E-2</v>
      </c>
      <c r="L268" s="95">
        <v>30.19</v>
      </c>
      <c r="M268" s="95">
        <v>0</v>
      </c>
      <c r="N268" s="95">
        <v>0</v>
      </c>
      <c r="O268" s="95">
        <v>0</v>
      </c>
      <c r="P268" s="95">
        <v>0.59</v>
      </c>
      <c r="Q268" s="95">
        <v>0</v>
      </c>
      <c r="R268" s="95">
        <v>0</v>
      </c>
      <c r="S268" s="95">
        <v>0</v>
      </c>
      <c r="T268" s="95">
        <v>0</v>
      </c>
      <c r="U268" s="95">
        <v>0</v>
      </c>
      <c r="V268" s="95">
        <v>0</v>
      </c>
      <c r="W268" s="95">
        <v>0</v>
      </c>
      <c r="X268" s="95">
        <v>0</v>
      </c>
      <c r="Y268" s="95">
        <v>0</v>
      </c>
      <c r="Z268" s="95"/>
      <c r="AA268" s="8"/>
      <c r="AB268" s="8"/>
      <c r="AC268" s="8"/>
      <c r="AD268" s="8"/>
      <c r="AE268" s="16"/>
      <c r="AF268" s="8"/>
      <c r="AG268" t="str">
        <f>VLOOKUP(OfficeForms.Table[[#This Row],[Nama Proyek]],'Nama Proyek'!$D$2:$G$29,4,0)</f>
        <v>-8.29394978,112.00545006</v>
      </c>
      <c r="AH268" s="5"/>
      <c r="AI268" s="5"/>
      <c r="AJ268" s="5"/>
      <c r="AK268" s="5" t="s">
        <v>619</v>
      </c>
    </row>
    <row r="269" spans="1:37" ht="15" hidden="1" customHeight="1">
      <c r="A269" s="31">
        <v>198</v>
      </c>
      <c r="B269" s="111">
        <v>44833</v>
      </c>
      <c r="C269" s="29">
        <f>B269</f>
        <v>44833</v>
      </c>
      <c r="D269" s="8" t="s">
        <v>37</v>
      </c>
      <c r="E269" s="8" t="s">
        <v>64</v>
      </c>
      <c r="F269" s="5" t="str">
        <f>E269</f>
        <v>Nizar Zulkarnain</v>
      </c>
      <c r="G269" s="9" t="s">
        <v>65</v>
      </c>
      <c r="H269" s="105"/>
      <c r="I269" s="95">
        <v>0</v>
      </c>
      <c r="J269" s="95">
        <v>0</v>
      </c>
      <c r="K269" s="95">
        <v>0</v>
      </c>
      <c r="L269" s="95">
        <v>0</v>
      </c>
      <c r="M269" s="95">
        <v>0</v>
      </c>
      <c r="N269" s="95">
        <v>0</v>
      </c>
      <c r="O269" s="95">
        <v>0</v>
      </c>
      <c r="P269" s="95">
        <v>0</v>
      </c>
      <c r="Q269" s="95">
        <v>0</v>
      </c>
      <c r="R269" s="95">
        <v>0</v>
      </c>
      <c r="S269" s="95">
        <v>0</v>
      </c>
      <c r="T269" s="95">
        <v>0</v>
      </c>
      <c r="U269" s="95">
        <v>0</v>
      </c>
      <c r="V269" s="95">
        <v>0</v>
      </c>
      <c r="W269" s="95">
        <v>0</v>
      </c>
      <c r="X269" s="95">
        <v>0</v>
      </c>
      <c r="Y269" s="95">
        <v>0</v>
      </c>
      <c r="Z269" s="95"/>
      <c r="AA269" s="8"/>
      <c r="AB269" s="8"/>
      <c r="AC269" s="8"/>
      <c r="AD269" s="8"/>
      <c r="AE269" s="11" t="s">
        <v>620</v>
      </c>
      <c r="AF269" s="8"/>
      <c r="AG269" t="str">
        <f>VLOOKUP(OfficeForms.Table[[#This Row],[Nama Proyek]],'Nama Proyek'!$D$2:$G$29,4,0)</f>
        <v>-6.35008011,107.02324233</v>
      </c>
      <c r="AH269" s="5"/>
      <c r="AI269" s="5"/>
      <c r="AJ269" s="5"/>
      <c r="AK269" s="5" t="s">
        <v>621</v>
      </c>
    </row>
    <row r="270" spans="1:37" ht="15" hidden="1" customHeight="1">
      <c r="A270" s="31">
        <v>295</v>
      </c>
      <c r="B270" s="110">
        <v>44833</v>
      </c>
      <c r="C270" s="28">
        <f>B270</f>
        <v>44833</v>
      </c>
      <c r="D270" s="8" t="s">
        <v>37</v>
      </c>
      <c r="E270" s="8" t="s">
        <v>504</v>
      </c>
      <c r="F270" s="5" t="str">
        <f>E270</f>
        <v>Fathan Zul Waskito</v>
      </c>
      <c r="G270" s="19" t="s">
        <v>472</v>
      </c>
      <c r="H270" s="106"/>
      <c r="I270" s="95">
        <v>0</v>
      </c>
      <c r="J270" s="95">
        <v>0</v>
      </c>
      <c r="K270" s="95">
        <v>0</v>
      </c>
      <c r="L270" s="95">
        <v>0</v>
      </c>
      <c r="M270" s="95">
        <v>0</v>
      </c>
      <c r="N270" s="95">
        <v>0</v>
      </c>
      <c r="O270" s="95">
        <v>0</v>
      </c>
      <c r="P270" s="95">
        <v>0</v>
      </c>
      <c r="Q270" s="95">
        <v>0</v>
      </c>
      <c r="R270" s="95">
        <v>0</v>
      </c>
      <c r="S270" s="95">
        <v>0</v>
      </c>
      <c r="T270" s="95">
        <v>0</v>
      </c>
      <c r="U270" s="95">
        <v>0</v>
      </c>
      <c r="V270" s="95">
        <v>0</v>
      </c>
      <c r="W270" s="95">
        <v>0</v>
      </c>
      <c r="X270" s="95">
        <v>0</v>
      </c>
      <c r="Y270" s="95">
        <v>0</v>
      </c>
      <c r="Z270" s="95"/>
      <c r="AA270" s="8"/>
      <c r="AB270" s="8"/>
      <c r="AC270" s="8"/>
      <c r="AD270" s="8"/>
      <c r="AE270" s="11">
        <v>44598</v>
      </c>
      <c r="AF270" s="8"/>
      <c r="AG270" t="str">
        <f>VLOOKUP(OfficeForms.Table[[#This Row],[Nama Proyek]],'Nama Proyek'!$D$2:$G$29,4,0)</f>
        <v>-8.29394978,112.00545006</v>
      </c>
      <c r="AH270" s="5"/>
      <c r="AI270" s="5"/>
      <c r="AJ270" s="5"/>
      <c r="AK270" s="5" t="s">
        <v>622</v>
      </c>
    </row>
    <row r="271" spans="1:37" ht="15" hidden="1" customHeight="1">
      <c r="A271">
        <v>298</v>
      </c>
      <c r="B271" s="111">
        <v>44833</v>
      </c>
      <c r="C271" s="29">
        <f>B271</f>
        <v>44833</v>
      </c>
      <c r="D271" s="9" t="s">
        <v>37</v>
      </c>
      <c r="E271" s="9" t="s">
        <v>504</v>
      </c>
      <c r="F271" s="5" t="str">
        <f>E271</f>
        <v>Fathan Zul Waskito</v>
      </c>
      <c r="G271" s="9" t="s">
        <v>472</v>
      </c>
      <c r="H271" s="104"/>
      <c r="I271" s="94">
        <v>0</v>
      </c>
      <c r="J271" s="94">
        <v>0</v>
      </c>
      <c r="K271" s="94">
        <v>0</v>
      </c>
      <c r="L271" s="94">
        <v>0</v>
      </c>
      <c r="M271" s="94">
        <v>0</v>
      </c>
      <c r="N271" s="94">
        <v>0</v>
      </c>
      <c r="O271" s="94">
        <v>0</v>
      </c>
      <c r="P271" s="94">
        <v>0</v>
      </c>
      <c r="Q271" s="94">
        <v>0</v>
      </c>
      <c r="R271" s="94">
        <v>0</v>
      </c>
      <c r="S271" s="94">
        <v>0</v>
      </c>
      <c r="T271" s="94">
        <v>0</v>
      </c>
      <c r="U271" s="94">
        <v>0</v>
      </c>
      <c r="V271" s="94">
        <v>0</v>
      </c>
      <c r="W271" s="94">
        <v>0</v>
      </c>
      <c r="X271" s="94">
        <v>0</v>
      </c>
      <c r="Y271" s="94">
        <v>0</v>
      </c>
      <c r="Z271" s="94"/>
      <c r="AA271" s="9" t="s">
        <v>623</v>
      </c>
      <c r="AB271" s="9" t="s">
        <v>624</v>
      </c>
      <c r="AC271" s="9" t="s">
        <v>625</v>
      </c>
      <c r="AD271" s="9" t="s">
        <v>550</v>
      </c>
      <c r="AE271" s="12"/>
      <c r="AF271" s="8"/>
      <c r="AG271" t="str">
        <f>VLOOKUP(OfficeForms.Table[[#This Row],[Nama Proyek]],'Nama Proyek'!$D$2:$G$29,4,0)</f>
        <v>-8.29394978,112.00545006</v>
      </c>
      <c r="AH271" s="5"/>
      <c r="AI271" s="5"/>
      <c r="AJ271" s="5"/>
      <c r="AK271" s="5" t="s">
        <v>626</v>
      </c>
    </row>
    <row r="272" spans="1:37" ht="15" hidden="1" customHeight="1">
      <c r="A272" s="50">
        <v>199</v>
      </c>
      <c r="B272" s="110">
        <v>44834</v>
      </c>
      <c r="C272" s="28">
        <f>B272</f>
        <v>44834</v>
      </c>
      <c r="D272" s="8" t="s">
        <v>37</v>
      </c>
      <c r="E272" s="8" t="s">
        <v>64</v>
      </c>
      <c r="F272" s="5" t="str">
        <f>E272</f>
        <v>Nizar Zulkarnain</v>
      </c>
      <c r="G272" s="19" t="s">
        <v>65</v>
      </c>
      <c r="H272" s="105"/>
      <c r="I272" s="95">
        <v>0</v>
      </c>
      <c r="J272" s="95">
        <v>0</v>
      </c>
      <c r="K272" s="95">
        <v>0</v>
      </c>
      <c r="L272" s="95">
        <v>0</v>
      </c>
      <c r="M272" s="95">
        <v>0</v>
      </c>
      <c r="N272" s="95">
        <v>0</v>
      </c>
      <c r="O272" s="95">
        <v>0</v>
      </c>
      <c r="P272" s="95">
        <v>0</v>
      </c>
      <c r="Q272" s="95">
        <v>0</v>
      </c>
      <c r="R272" s="95">
        <v>0</v>
      </c>
      <c r="S272" s="95">
        <v>0</v>
      </c>
      <c r="T272" s="95">
        <v>0</v>
      </c>
      <c r="U272" s="95">
        <v>0</v>
      </c>
      <c r="V272" s="95">
        <v>0</v>
      </c>
      <c r="W272" s="95">
        <v>0</v>
      </c>
      <c r="X272" s="95">
        <v>0</v>
      </c>
      <c r="Y272" s="95">
        <v>0</v>
      </c>
      <c r="Z272" s="95"/>
      <c r="AA272" s="8" t="s">
        <v>627</v>
      </c>
      <c r="AB272" s="8" t="s">
        <v>133</v>
      </c>
      <c r="AC272" s="8" t="s">
        <v>628</v>
      </c>
      <c r="AD272" s="8"/>
      <c r="AE272" s="11"/>
      <c r="AF272" s="9"/>
      <c r="AG272" t="str">
        <f>VLOOKUP(OfficeForms.Table[[#This Row],[Nama Proyek]],'Nama Proyek'!$D$2:$G$29,4,0)</f>
        <v>-6.35008011,107.02324233</v>
      </c>
      <c r="AH272" s="5"/>
      <c r="AI272" s="5"/>
      <c r="AJ272" s="5"/>
      <c r="AK272" s="5" t="s">
        <v>629</v>
      </c>
    </row>
    <row r="273" spans="1:37" ht="15" hidden="1" customHeight="1">
      <c r="A273" s="30">
        <v>245</v>
      </c>
      <c r="B273" s="110">
        <v>44834</v>
      </c>
      <c r="C273" s="28">
        <f>B273</f>
        <v>44834</v>
      </c>
      <c r="D273" s="19" t="s">
        <v>37</v>
      </c>
      <c r="E273" s="19" t="s">
        <v>109</v>
      </c>
      <c r="F273" s="5" t="str">
        <f>E273</f>
        <v>Muhamad Saifudin Ashari</v>
      </c>
      <c r="G273" s="19" t="s">
        <v>39</v>
      </c>
      <c r="H273" s="106"/>
      <c r="I273" s="96">
        <v>0</v>
      </c>
      <c r="J273" s="96">
        <v>0</v>
      </c>
      <c r="K273" s="96">
        <v>0</v>
      </c>
      <c r="L273" s="96">
        <v>0</v>
      </c>
      <c r="M273" s="96">
        <v>0</v>
      </c>
      <c r="N273" s="96">
        <v>0</v>
      </c>
      <c r="O273" s="96">
        <v>0</v>
      </c>
      <c r="P273" s="96">
        <v>0</v>
      </c>
      <c r="Q273" s="96">
        <v>0</v>
      </c>
      <c r="R273" s="96">
        <v>0</v>
      </c>
      <c r="S273" s="96">
        <v>0</v>
      </c>
      <c r="T273" s="96">
        <v>0</v>
      </c>
      <c r="U273" s="96">
        <v>0</v>
      </c>
      <c r="V273" s="96">
        <v>0</v>
      </c>
      <c r="W273" s="96">
        <v>0</v>
      </c>
      <c r="X273" s="96">
        <v>0</v>
      </c>
      <c r="Y273" s="96">
        <v>0</v>
      </c>
      <c r="Z273" s="96"/>
      <c r="AA273" s="19" t="s">
        <v>630</v>
      </c>
      <c r="AB273" s="19" t="s">
        <v>630</v>
      </c>
      <c r="AC273" s="19" t="s">
        <v>630</v>
      </c>
      <c r="AD273" s="19" t="s">
        <v>630</v>
      </c>
      <c r="AE273" s="13"/>
      <c r="AF273" s="15" t="s">
        <v>631</v>
      </c>
      <c r="AG273" t="str">
        <f>VLOOKUP(OfficeForms.Table[[#This Row],[Nama Proyek]],'Nama Proyek'!$D$2:$G$29,4,0)</f>
        <v>-6.80675464,106.785366</v>
      </c>
      <c r="AH273" s="5"/>
      <c r="AI273" s="5"/>
      <c r="AJ273" s="5"/>
      <c r="AK273" s="5" t="s">
        <v>632</v>
      </c>
    </row>
    <row r="274" spans="1:37" ht="15" hidden="1" customHeight="1">
      <c r="A274" s="30">
        <v>634</v>
      </c>
      <c r="B274" s="111">
        <v>44845</v>
      </c>
      <c r="C274" s="29">
        <f>B274</f>
        <v>44845</v>
      </c>
      <c r="D274" s="9" t="s">
        <v>37</v>
      </c>
      <c r="E274" s="9" t="s">
        <v>75</v>
      </c>
      <c r="F274" s="5" t="str">
        <f>E274</f>
        <v>Banyu Purwita</v>
      </c>
      <c r="G274" s="37" t="s">
        <v>76</v>
      </c>
      <c r="H274" s="104"/>
      <c r="I274" s="94">
        <v>0</v>
      </c>
      <c r="J274" s="94">
        <v>0</v>
      </c>
      <c r="K274" s="94">
        <v>0</v>
      </c>
      <c r="L274" s="94">
        <v>0</v>
      </c>
      <c r="M274" s="94">
        <v>0</v>
      </c>
      <c r="N274" s="94">
        <v>0</v>
      </c>
      <c r="O274" s="94">
        <v>0</v>
      </c>
      <c r="P274" s="94">
        <v>0</v>
      </c>
      <c r="Q274" s="94">
        <v>0</v>
      </c>
      <c r="R274" s="94">
        <v>0</v>
      </c>
      <c r="S274" s="94">
        <v>0</v>
      </c>
      <c r="T274" s="94">
        <v>0</v>
      </c>
      <c r="U274" s="94">
        <v>0</v>
      </c>
      <c r="V274" s="94">
        <v>0</v>
      </c>
      <c r="W274" s="94">
        <v>0</v>
      </c>
      <c r="X274" s="94">
        <v>0</v>
      </c>
      <c r="Y274" s="94">
        <v>0</v>
      </c>
      <c r="Z274" s="94"/>
      <c r="AA274" s="9" t="s">
        <v>633</v>
      </c>
      <c r="AB274" s="9" t="s">
        <v>633</v>
      </c>
      <c r="AC274" s="9" t="s">
        <v>633</v>
      </c>
      <c r="AD274" s="17" t="s">
        <v>633</v>
      </c>
      <c r="AE274" s="18"/>
      <c r="AF274" s="19"/>
      <c r="AG274" t="str">
        <f>VLOOKUP(OfficeForms.Table[[#This Row],[Nama Proyek]],'Nama Proyek'!$D$2:$G$29,4,0)</f>
        <v>-2.95293103,104.75455094</v>
      </c>
      <c r="AH274" s="5"/>
      <c r="AI274" s="5"/>
      <c r="AJ274" s="5"/>
      <c r="AK274" s="5" t="s">
        <v>634</v>
      </c>
    </row>
    <row r="275" spans="1:37" ht="15" hidden="1" customHeight="1">
      <c r="A275" s="31">
        <v>336</v>
      </c>
      <c r="B275" s="111">
        <v>44854</v>
      </c>
      <c r="C275" s="29">
        <f>B275</f>
        <v>44854</v>
      </c>
      <c r="D275" s="8" t="s">
        <v>37</v>
      </c>
      <c r="E275" s="8" t="s">
        <v>203</v>
      </c>
      <c r="F275" s="5" t="str">
        <f>E275</f>
        <v>BUDI SUGORO</v>
      </c>
      <c r="G275" s="37" t="s">
        <v>76</v>
      </c>
      <c r="H275" s="105">
        <v>44854</v>
      </c>
      <c r="I275" s="95">
        <v>36.78</v>
      </c>
      <c r="J275" s="95">
        <v>44.24</v>
      </c>
      <c r="K275" s="95">
        <v>0</v>
      </c>
      <c r="L275" s="95">
        <v>35.093000000000004</v>
      </c>
      <c r="M275" s="95">
        <v>0</v>
      </c>
      <c r="N275" s="95">
        <v>0</v>
      </c>
      <c r="O275" s="95">
        <v>0</v>
      </c>
      <c r="P275" s="95">
        <v>0</v>
      </c>
      <c r="Q275" s="95">
        <v>0</v>
      </c>
      <c r="R275" s="95">
        <v>0.23100000000000001</v>
      </c>
      <c r="S275" s="95">
        <v>0</v>
      </c>
      <c r="T275" s="95">
        <v>0</v>
      </c>
      <c r="U275" s="95">
        <v>0</v>
      </c>
      <c r="V275" s="95">
        <v>0</v>
      </c>
      <c r="W275" s="95">
        <v>0</v>
      </c>
      <c r="X275" s="95">
        <v>0</v>
      </c>
      <c r="Y275" s="95">
        <v>0</v>
      </c>
      <c r="Z275" s="95"/>
      <c r="AA275" s="8"/>
      <c r="AB275" s="8"/>
      <c r="AC275" s="8"/>
      <c r="AD275" s="8"/>
      <c r="AE275" s="11"/>
      <c r="AF275" s="19"/>
      <c r="AG275" t="str">
        <f>VLOOKUP(OfficeForms.Table[[#This Row],[Nama Proyek]],'Nama Proyek'!$D$2:$G$29,4,0)</f>
        <v>-2.95293103,104.75455094</v>
      </c>
      <c r="AH275" s="5"/>
      <c r="AI275" s="5"/>
      <c r="AJ275" s="5"/>
      <c r="AK275" s="5" t="s">
        <v>635</v>
      </c>
    </row>
    <row r="276" spans="1:37" ht="15" hidden="1" customHeight="1">
      <c r="A276" s="50">
        <v>337</v>
      </c>
      <c r="B276" s="110">
        <v>44854</v>
      </c>
      <c r="C276" s="28">
        <f>B276</f>
        <v>44854</v>
      </c>
      <c r="D276" s="19" t="s">
        <v>37</v>
      </c>
      <c r="E276" s="19" t="s">
        <v>214</v>
      </c>
      <c r="F276" s="5" t="str">
        <f>E276</f>
        <v>BASUKI RAHMAT HAKIM</v>
      </c>
      <c r="G276" s="60" t="s">
        <v>48</v>
      </c>
      <c r="H276" s="106"/>
      <c r="I276" s="96">
        <v>0</v>
      </c>
      <c r="J276" s="96">
        <v>0</v>
      </c>
      <c r="K276" s="96">
        <v>0</v>
      </c>
      <c r="L276" s="96">
        <v>0</v>
      </c>
      <c r="M276" s="96">
        <v>0</v>
      </c>
      <c r="N276" s="96">
        <v>0</v>
      </c>
      <c r="O276" s="96">
        <v>0</v>
      </c>
      <c r="P276" s="96">
        <v>0</v>
      </c>
      <c r="Q276" s="96">
        <v>0</v>
      </c>
      <c r="R276" s="96">
        <v>0</v>
      </c>
      <c r="S276" s="96">
        <v>0</v>
      </c>
      <c r="T276" s="96">
        <v>0</v>
      </c>
      <c r="U276" s="96">
        <v>0</v>
      </c>
      <c r="V276" s="96">
        <v>0</v>
      </c>
      <c r="W276" s="96">
        <v>0</v>
      </c>
      <c r="X276" s="96">
        <v>0</v>
      </c>
      <c r="Y276" s="96">
        <v>0</v>
      </c>
      <c r="Z276" s="96"/>
      <c r="AA276" s="19" t="s">
        <v>636</v>
      </c>
      <c r="AB276" s="19" t="s">
        <v>637</v>
      </c>
      <c r="AC276" s="19" t="s">
        <v>638</v>
      </c>
      <c r="AD276" s="19" t="s">
        <v>639</v>
      </c>
      <c r="AE276" s="13"/>
      <c r="AF276" s="8" t="s">
        <v>525</v>
      </c>
      <c r="AG276" t="str">
        <f>VLOOKUP(OfficeForms.Table[[#This Row],[Nama Proyek]],'Nama Proyek'!$D$2:$G$29,4,0)</f>
        <v>3.76047575,115.89977678</v>
      </c>
      <c r="AH276" s="5"/>
      <c r="AI276" s="5"/>
      <c r="AJ276" s="5"/>
      <c r="AK276" s="5" t="s">
        <v>640</v>
      </c>
    </row>
    <row r="277" spans="1:37" ht="15" hidden="1" customHeight="1">
      <c r="A277">
        <v>338</v>
      </c>
      <c r="B277" s="111">
        <v>44854</v>
      </c>
      <c r="C277" s="29">
        <f>B277</f>
        <v>44854</v>
      </c>
      <c r="D277" s="8" t="s">
        <v>37</v>
      </c>
      <c r="E277" s="8" t="s">
        <v>214</v>
      </c>
      <c r="F277" s="5" t="str">
        <f>E277</f>
        <v>BASUKI RAHMAT HAKIM</v>
      </c>
      <c r="G277" s="60" t="s">
        <v>48</v>
      </c>
      <c r="H277" s="104"/>
      <c r="I277" s="95">
        <v>0</v>
      </c>
      <c r="J277" s="95">
        <v>0</v>
      </c>
      <c r="K277" s="95">
        <v>0</v>
      </c>
      <c r="L277" s="95">
        <v>0</v>
      </c>
      <c r="M277" s="95">
        <v>0</v>
      </c>
      <c r="N277" s="95">
        <v>0</v>
      </c>
      <c r="O277" s="95">
        <v>0</v>
      </c>
      <c r="P277" s="95">
        <v>0</v>
      </c>
      <c r="Q277" s="95">
        <v>0</v>
      </c>
      <c r="R277" s="95">
        <v>0</v>
      </c>
      <c r="S277" s="95">
        <v>0</v>
      </c>
      <c r="T277" s="95">
        <v>0</v>
      </c>
      <c r="U277" s="95">
        <v>0</v>
      </c>
      <c r="V277" s="95">
        <v>0</v>
      </c>
      <c r="W277" s="95">
        <v>0</v>
      </c>
      <c r="X277" s="95">
        <v>0</v>
      </c>
      <c r="Y277" s="95">
        <v>0</v>
      </c>
      <c r="Z277" s="95"/>
      <c r="AA277" s="8"/>
      <c r="AB277" s="8"/>
      <c r="AC277" s="8"/>
      <c r="AD277" s="8"/>
      <c r="AE277" s="11" t="s">
        <v>117</v>
      </c>
      <c r="AF277" s="19" t="s">
        <v>641</v>
      </c>
      <c r="AG277" t="str">
        <f>VLOOKUP(OfficeForms.Table[[#This Row],[Nama Proyek]],'Nama Proyek'!$D$2:$G$29,4,0)</f>
        <v>3.76047575,115.89977678</v>
      </c>
      <c r="AH277" s="5"/>
      <c r="AI277" s="5"/>
      <c r="AJ277" s="5"/>
      <c r="AK277" s="5" t="s">
        <v>642</v>
      </c>
    </row>
    <row r="278" spans="1:37" ht="15" hidden="1" customHeight="1">
      <c r="A278" s="30">
        <v>340</v>
      </c>
      <c r="B278" s="111">
        <v>44854</v>
      </c>
      <c r="C278" s="29">
        <f>B278</f>
        <v>44854</v>
      </c>
      <c r="D278" s="8" t="s">
        <v>37</v>
      </c>
      <c r="E278" s="8" t="s">
        <v>214</v>
      </c>
      <c r="F278" s="5" t="str">
        <f>E278</f>
        <v>BASUKI RAHMAT HAKIM</v>
      </c>
      <c r="G278" s="59" t="s">
        <v>48</v>
      </c>
      <c r="H278" s="104"/>
      <c r="I278" s="95">
        <v>0</v>
      </c>
      <c r="J278" s="95">
        <v>0</v>
      </c>
      <c r="K278" s="95">
        <v>0</v>
      </c>
      <c r="L278" s="95">
        <v>0</v>
      </c>
      <c r="M278" s="95">
        <v>0</v>
      </c>
      <c r="N278" s="95">
        <v>0</v>
      </c>
      <c r="O278" s="95">
        <v>0</v>
      </c>
      <c r="P278" s="95">
        <v>0</v>
      </c>
      <c r="Q278" s="95">
        <v>0</v>
      </c>
      <c r="R278" s="95">
        <v>0</v>
      </c>
      <c r="S278" s="95">
        <v>0</v>
      </c>
      <c r="T278" s="95">
        <v>0</v>
      </c>
      <c r="U278" s="95">
        <v>0</v>
      </c>
      <c r="V278" s="95">
        <v>0</v>
      </c>
      <c r="W278" s="95">
        <v>0</v>
      </c>
      <c r="X278" s="95">
        <v>0</v>
      </c>
      <c r="Y278" s="95">
        <v>0</v>
      </c>
      <c r="Z278" s="95"/>
      <c r="AA278" s="8"/>
      <c r="AB278" s="8"/>
      <c r="AC278" s="8"/>
      <c r="AD278" s="8"/>
      <c r="AE278" s="11" t="s">
        <v>117</v>
      </c>
      <c r="AF278" s="19" t="s">
        <v>536</v>
      </c>
      <c r="AG278" t="str">
        <f>VLOOKUP(OfficeForms.Table[[#This Row],[Nama Proyek]],'Nama Proyek'!$D$2:$G$29,4,0)</f>
        <v>3.76047575,115.89977678</v>
      </c>
      <c r="AH278" s="5"/>
      <c r="AI278" s="5"/>
      <c r="AJ278" s="5"/>
      <c r="AK278" s="5" t="s">
        <v>643</v>
      </c>
    </row>
    <row r="279" spans="1:37" ht="15" hidden="1" customHeight="1">
      <c r="A279">
        <v>341</v>
      </c>
      <c r="B279" s="110">
        <v>44854</v>
      </c>
      <c r="C279" s="28">
        <f>B279</f>
        <v>44854</v>
      </c>
      <c r="D279" s="19" t="s">
        <v>37</v>
      </c>
      <c r="E279" s="19" t="s">
        <v>214</v>
      </c>
      <c r="F279" s="5" t="str">
        <f>E279</f>
        <v>BASUKI RAHMAT HAKIM</v>
      </c>
      <c r="G279" s="59" t="s">
        <v>48</v>
      </c>
      <c r="H279" s="106"/>
      <c r="I279" s="96">
        <v>0</v>
      </c>
      <c r="J279" s="96">
        <v>0</v>
      </c>
      <c r="K279" s="96">
        <v>0</v>
      </c>
      <c r="L279" s="96">
        <v>0</v>
      </c>
      <c r="M279" s="96">
        <v>0</v>
      </c>
      <c r="N279" s="96">
        <v>0</v>
      </c>
      <c r="O279" s="96">
        <v>0</v>
      </c>
      <c r="P279" s="96">
        <v>0</v>
      </c>
      <c r="Q279" s="96">
        <v>0</v>
      </c>
      <c r="R279" s="96">
        <v>0</v>
      </c>
      <c r="S279" s="96">
        <v>0</v>
      </c>
      <c r="T279" s="96">
        <v>0</v>
      </c>
      <c r="U279" s="96">
        <v>0</v>
      </c>
      <c r="V279" s="96">
        <v>0</v>
      </c>
      <c r="W279" s="96">
        <v>0</v>
      </c>
      <c r="X279" s="96">
        <v>0</v>
      </c>
      <c r="Y279" s="96">
        <v>0</v>
      </c>
      <c r="Z279" s="96"/>
      <c r="AA279" s="19"/>
      <c r="AB279" s="19"/>
      <c r="AC279" s="19"/>
      <c r="AD279" s="19"/>
      <c r="AE279" s="13" t="s">
        <v>117</v>
      </c>
      <c r="AF279" s="8"/>
      <c r="AG279" t="str">
        <f>VLOOKUP(OfficeForms.Table[[#This Row],[Nama Proyek]],'Nama Proyek'!$D$2:$G$29,4,0)</f>
        <v>3.76047575,115.89977678</v>
      </c>
      <c r="AH279" s="5"/>
      <c r="AI279" s="5"/>
      <c r="AJ279" s="5"/>
      <c r="AK279" s="5" t="s">
        <v>644</v>
      </c>
    </row>
    <row r="280" spans="1:37" ht="15" hidden="1" customHeight="1">
      <c r="A280">
        <v>343</v>
      </c>
      <c r="B280" s="110">
        <v>44858</v>
      </c>
      <c r="C280" s="28">
        <f>B280</f>
        <v>44858</v>
      </c>
      <c r="D280" s="19" t="s">
        <v>37</v>
      </c>
      <c r="E280" s="19" t="s">
        <v>57</v>
      </c>
      <c r="F280" s="5" t="str">
        <f>E280</f>
        <v>Alfian Budi Prasetya</v>
      </c>
      <c r="G280" s="42" t="s">
        <v>58</v>
      </c>
      <c r="H280" s="106">
        <v>44857</v>
      </c>
      <c r="I280" s="96">
        <v>20.968</v>
      </c>
      <c r="J280" s="96">
        <v>40.112000000000002</v>
      </c>
      <c r="K280" s="96">
        <v>0</v>
      </c>
      <c r="L280" s="96">
        <v>0.36667830000000001</v>
      </c>
      <c r="M280" s="96">
        <v>0.27643733999999998</v>
      </c>
      <c r="N280" s="96">
        <v>12.82086357</v>
      </c>
      <c r="O280" s="96">
        <v>4.6587450800000001</v>
      </c>
      <c r="P280" s="96">
        <v>0.21693304999999999</v>
      </c>
      <c r="Q280" s="96">
        <v>0.48210088000000001</v>
      </c>
      <c r="R280" s="96">
        <v>0.28169577000000001</v>
      </c>
      <c r="S280" s="96">
        <v>0</v>
      </c>
      <c r="T280" s="96">
        <v>0.25392506999999997</v>
      </c>
      <c r="U280" s="96">
        <v>0</v>
      </c>
      <c r="V280" s="96">
        <v>0</v>
      </c>
      <c r="W280" s="96">
        <v>0</v>
      </c>
      <c r="X280" s="96">
        <v>0</v>
      </c>
      <c r="Y280" s="96">
        <v>0</v>
      </c>
      <c r="Z280" s="96"/>
      <c r="AA280" s="19"/>
      <c r="AB280" s="19"/>
      <c r="AC280" s="19"/>
      <c r="AD280" s="19"/>
      <c r="AE280" s="13"/>
      <c r="AF280" s="8"/>
      <c r="AG280" t="str">
        <f>VLOOKUP(OfficeForms.Table[[#This Row],[Nama Proyek]],'Nama Proyek'!$D$2:$G$29,4,0)</f>
        <v>-6.12967558,107.07321308</v>
      </c>
      <c r="AH280" s="5"/>
      <c r="AI280" s="5"/>
      <c r="AJ280" s="5"/>
      <c r="AK280" s="5" t="s">
        <v>645</v>
      </c>
    </row>
    <row r="281" spans="1:37" ht="15" hidden="1" customHeight="1">
      <c r="A281" s="31">
        <v>339</v>
      </c>
      <c r="B281" s="110">
        <v>44858</v>
      </c>
      <c r="C281" s="28">
        <f>B281</f>
        <v>44858</v>
      </c>
      <c r="D281" s="19" t="s">
        <v>37</v>
      </c>
      <c r="E281" s="19" t="s">
        <v>57</v>
      </c>
      <c r="F281" s="5" t="str">
        <f>E281</f>
        <v>Alfian Budi Prasetya</v>
      </c>
      <c r="G281" s="42" t="s">
        <v>58</v>
      </c>
      <c r="H281" s="106"/>
      <c r="I281" s="96">
        <v>0</v>
      </c>
      <c r="J281" s="96">
        <v>0</v>
      </c>
      <c r="K281" s="96">
        <v>0</v>
      </c>
      <c r="L281" s="96">
        <v>0</v>
      </c>
      <c r="M281" s="96">
        <v>0</v>
      </c>
      <c r="N281" s="96">
        <v>0</v>
      </c>
      <c r="O281" s="96">
        <v>0</v>
      </c>
      <c r="P281" s="96">
        <v>0</v>
      </c>
      <c r="Q281" s="96">
        <v>0</v>
      </c>
      <c r="R281" s="96">
        <v>0</v>
      </c>
      <c r="S281" s="96">
        <v>0</v>
      </c>
      <c r="T281" s="96">
        <v>0</v>
      </c>
      <c r="U281" s="96">
        <v>0</v>
      </c>
      <c r="V281" s="96">
        <v>0</v>
      </c>
      <c r="W281" s="96">
        <v>0</v>
      </c>
      <c r="X281" s="96">
        <v>0</v>
      </c>
      <c r="Y281" s="96">
        <v>0</v>
      </c>
      <c r="Z281" s="96"/>
      <c r="AA281" s="19"/>
      <c r="AB281" s="19"/>
      <c r="AC281" s="19"/>
      <c r="AD281" s="19"/>
      <c r="AE281" s="13" t="s">
        <v>114</v>
      </c>
      <c r="AF281" s="8" t="s">
        <v>646</v>
      </c>
      <c r="AG281" t="str">
        <f>VLOOKUP(OfficeForms.Table[[#This Row],[Nama Proyek]],'Nama Proyek'!$D$2:$G$29,4,0)</f>
        <v>-6.12967558,107.07321308</v>
      </c>
      <c r="AH281" s="5"/>
      <c r="AI281" s="5"/>
      <c r="AJ281" s="5"/>
      <c r="AK281" s="5" t="s">
        <v>647</v>
      </c>
    </row>
    <row r="282" spans="1:37" ht="15" hidden="1" customHeight="1">
      <c r="A282" s="30">
        <v>342</v>
      </c>
      <c r="B282" s="111">
        <v>44858</v>
      </c>
      <c r="C282" s="29">
        <f>B282</f>
        <v>44858</v>
      </c>
      <c r="D282" s="8" t="s">
        <v>37</v>
      </c>
      <c r="E282" s="8" t="s">
        <v>57</v>
      </c>
      <c r="F282" s="5" t="str">
        <f>E282</f>
        <v>Alfian Budi Prasetya</v>
      </c>
      <c r="G282" s="15" t="s">
        <v>58</v>
      </c>
      <c r="H282" s="104"/>
      <c r="I282" s="95">
        <v>0</v>
      </c>
      <c r="J282" s="95">
        <v>0</v>
      </c>
      <c r="K282" s="95">
        <v>0</v>
      </c>
      <c r="L282" s="95">
        <v>0</v>
      </c>
      <c r="M282" s="95">
        <v>0</v>
      </c>
      <c r="N282" s="95">
        <v>0</v>
      </c>
      <c r="O282" s="95">
        <v>0</v>
      </c>
      <c r="P282" s="95">
        <v>0</v>
      </c>
      <c r="Q282" s="95">
        <v>0</v>
      </c>
      <c r="R282" s="95">
        <v>0</v>
      </c>
      <c r="S282" s="95">
        <v>0</v>
      </c>
      <c r="T282" s="95">
        <v>0</v>
      </c>
      <c r="U282" s="95">
        <v>0</v>
      </c>
      <c r="V282" s="95">
        <v>0</v>
      </c>
      <c r="W282" s="95">
        <v>0</v>
      </c>
      <c r="X282" s="95">
        <v>0</v>
      </c>
      <c r="Y282" s="95">
        <v>0</v>
      </c>
      <c r="Z282" s="95"/>
      <c r="AA282" s="8" t="s">
        <v>648</v>
      </c>
      <c r="AB282" s="8"/>
      <c r="AC282" s="8" t="s">
        <v>649</v>
      </c>
      <c r="AD282" s="8" t="s">
        <v>649</v>
      </c>
      <c r="AE282" s="11"/>
      <c r="AF282" s="19"/>
      <c r="AG282" t="str">
        <f>VLOOKUP(OfficeForms.Table[[#This Row],[Nama Proyek]],'Nama Proyek'!$D$2:$G$29,4,0)</f>
        <v>-6.12967558,107.07321308</v>
      </c>
      <c r="AH282" s="5"/>
      <c r="AI282" s="5"/>
      <c r="AJ282" s="5"/>
      <c r="AK282" s="5" t="s">
        <v>650</v>
      </c>
    </row>
    <row r="283" spans="1:37" ht="15" hidden="1" customHeight="1">
      <c r="A283" s="31">
        <v>344</v>
      </c>
      <c r="B283" s="111">
        <v>44861</v>
      </c>
      <c r="C283" s="29">
        <f>B283</f>
        <v>44861</v>
      </c>
      <c r="D283" s="8" t="s">
        <v>37</v>
      </c>
      <c r="E283" s="8" t="s">
        <v>278</v>
      </c>
      <c r="F283" s="5" t="str">
        <f>E283</f>
        <v>Teddy Pradana</v>
      </c>
      <c r="G283" s="9" t="s">
        <v>167</v>
      </c>
      <c r="H283" s="104"/>
      <c r="I283" s="95">
        <v>0</v>
      </c>
      <c r="J283" s="95">
        <v>0</v>
      </c>
      <c r="K283" s="95">
        <v>0</v>
      </c>
      <c r="L283" s="95">
        <v>0</v>
      </c>
      <c r="M283" s="95">
        <v>0</v>
      </c>
      <c r="N283" s="95">
        <v>0</v>
      </c>
      <c r="O283" s="95">
        <v>0</v>
      </c>
      <c r="P283" s="95">
        <v>0</v>
      </c>
      <c r="Q283" s="95">
        <v>0</v>
      </c>
      <c r="R283" s="95">
        <v>0</v>
      </c>
      <c r="S283" s="95">
        <v>0</v>
      </c>
      <c r="T283" s="95">
        <v>0</v>
      </c>
      <c r="U283" s="95">
        <v>0</v>
      </c>
      <c r="V283" s="95">
        <v>0</v>
      </c>
      <c r="W283" s="95">
        <v>0</v>
      </c>
      <c r="X283" s="95">
        <v>0</v>
      </c>
      <c r="Y283" s="95">
        <v>0</v>
      </c>
      <c r="Z283" s="95"/>
      <c r="AA283" s="8"/>
      <c r="AB283" s="8"/>
      <c r="AC283" s="63" t="s">
        <v>651</v>
      </c>
      <c r="AD283" s="8"/>
      <c r="AE283" s="11"/>
      <c r="AF283" s="19"/>
      <c r="AG283" t="str">
        <f>VLOOKUP(OfficeForms.Table[[#This Row],[Nama Proyek]],'Nama Proyek'!$D$2:$G$29,4,0)</f>
        <v>2.426249030,128.29766314</v>
      </c>
      <c r="AH283" s="5"/>
      <c r="AI283" s="5"/>
      <c r="AJ283" s="5"/>
      <c r="AK283" s="5" t="s">
        <v>652</v>
      </c>
    </row>
    <row r="284" spans="1:37" ht="15" hidden="1" customHeight="1">
      <c r="A284" s="50">
        <v>345</v>
      </c>
      <c r="B284" s="110">
        <v>44861</v>
      </c>
      <c r="C284" s="28">
        <f>B284</f>
        <v>44861</v>
      </c>
      <c r="D284" s="19" t="s">
        <v>37</v>
      </c>
      <c r="E284" s="19" t="s">
        <v>278</v>
      </c>
      <c r="F284" s="5" t="str">
        <f>E284</f>
        <v>Teddy Pradana</v>
      </c>
      <c r="G284" s="9" t="s">
        <v>167</v>
      </c>
      <c r="H284" s="106"/>
      <c r="I284" s="96">
        <v>0</v>
      </c>
      <c r="J284" s="96">
        <v>0</v>
      </c>
      <c r="K284" s="96">
        <v>0</v>
      </c>
      <c r="L284" s="96">
        <v>0</v>
      </c>
      <c r="M284" s="96">
        <v>0</v>
      </c>
      <c r="N284" s="96">
        <v>0</v>
      </c>
      <c r="O284" s="96">
        <v>0</v>
      </c>
      <c r="P284" s="96">
        <v>0</v>
      </c>
      <c r="Q284" s="96">
        <v>0</v>
      </c>
      <c r="R284" s="96">
        <v>0</v>
      </c>
      <c r="S284" s="96">
        <v>0</v>
      </c>
      <c r="T284" s="96">
        <v>0</v>
      </c>
      <c r="U284" s="96">
        <v>0</v>
      </c>
      <c r="V284" s="96">
        <v>0</v>
      </c>
      <c r="W284" s="96">
        <v>0</v>
      </c>
      <c r="X284" s="96">
        <v>0</v>
      </c>
      <c r="Y284" s="96">
        <v>0</v>
      </c>
      <c r="Z284" s="96"/>
      <c r="AA284" s="19"/>
      <c r="AB284" s="75" t="s">
        <v>653</v>
      </c>
      <c r="AC284" s="19"/>
      <c r="AD284" s="19"/>
      <c r="AE284" s="13"/>
      <c r="AF284" s="8"/>
      <c r="AG284" t="str">
        <f>VLOOKUP(OfficeForms.Table[[#This Row],[Nama Proyek]],'Nama Proyek'!$D$2:$G$29,4,0)</f>
        <v>2.426249030,128.29766314</v>
      </c>
      <c r="AH284" s="5"/>
      <c r="AI284" s="5"/>
      <c r="AJ284" s="5"/>
      <c r="AK284" s="5" t="s">
        <v>654</v>
      </c>
    </row>
    <row r="285" spans="1:37" ht="15" hidden="1" customHeight="1">
      <c r="A285">
        <v>346</v>
      </c>
      <c r="B285" s="111">
        <v>44864</v>
      </c>
      <c r="C285" s="29">
        <f>B285</f>
        <v>44864</v>
      </c>
      <c r="D285" s="8" t="s">
        <v>37</v>
      </c>
      <c r="E285" s="8" t="s">
        <v>166</v>
      </c>
      <c r="F285" s="5" t="s">
        <v>166</v>
      </c>
      <c r="G285" s="9" t="s">
        <v>167</v>
      </c>
      <c r="H285" s="105">
        <v>44857</v>
      </c>
      <c r="I285" s="95">
        <v>85.11</v>
      </c>
      <c r="J285" s="95">
        <v>84.68</v>
      </c>
      <c r="K285" s="95">
        <v>81.27</v>
      </c>
      <c r="L285" s="95">
        <v>86.09</v>
      </c>
      <c r="M285" s="95">
        <v>0</v>
      </c>
      <c r="N285" s="95">
        <v>100</v>
      </c>
      <c r="O285" s="95">
        <v>0</v>
      </c>
      <c r="P285" s="95">
        <v>47.64</v>
      </c>
      <c r="Q285" s="95">
        <v>0</v>
      </c>
      <c r="R285" s="95">
        <v>0</v>
      </c>
      <c r="S285" s="95">
        <v>0</v>
      </c>
      <c r="T285" s="95">
        <v>0</v>
      </c>
      <c r="U285" s="95">
        <v>0</v>
      </c>
      <c r="V285" s="95">
        <v>0</v>
      </c>
      <c r="W285" s="95">
        <v>0</v>
      </c>
      <c r="X285" s="95">
        <v>0</v>
      </c>
      <c r="Y285" s="95">
        <v>0</v>
      </c>
      <c r="Z285" s="95"/>
      <c r="AA285" s="8"/>
      <c r="AB285" s="8"/>
      <c r="AC285" s="8"/>
      <c r="AD285" s="8"/>
      <c r="AE285" s="11"/>
      <c r="AF285" s="19" t="s">
        <v>655</v>
      </c>
      <c r="AG285" t="str">
        <f>VLOOKUP(OfficeForms.Table[[#This Row],[Nama Proyek]],'Nama Proyek'!$D$2:$G$29,4,0)</f>
        <v>2.426249030,128.29766314</v>
      </c>
      <c r="AH285" s="5"/>
      <c r="AI285" s="5"/>
      <c r="AJ285" s="5"/>
      <c r="AK285" s="5" t="s">
        <v>656</v>
      </c>
    </row>
    <row r="286" spans="1:37" ht="15" hidden="1" customHeight="1">
      <c r="A286" s="31">
        <v>347</v>
      </c>
      <c r="B286" s="110">
        <v>44864</v>
      </c>
      <c r="C286" s="28">
        <f>B286</f>
        <v>44864</v>
      </c>
      <c r="D286" s="19" t="s">
        <v>37</v>
      </c>
      <c r="E286" s="19" t="s">
        <v>166</v>
      </c>
      <c r="F286" s="5" t="s">
        <v>166</v>
      </c>
      <c r="G286" s="9" t="s">
        <v>167</v>
      </c>
      <c r="H286" s="106"/>
      <c r="I286" s="96">
        <v>0</v>
      </c>
      <c r="J286" s="96">
        <v>0</v>
      </c>
      <c r="K286" s="96">
        <v>0</v>
      </c>
      <c r="L286" s="96">
        <v>0</v>
      </c>
      <c r="M286" s="96">
        <v>0</v>
      </c>
      <c r="N286" s="96">
        <v>0</v>
      </c>
      <c r="O286" s="96">
        <v>0</v>
      </c>
      <c r="P286" s="96">
        <v>0</v>
      </c>
      <c r="Q286" s="96">
        <v>0</v>
      </c>
      <c r="R286" s="96">
        <v>0</v>
      </c>
      <c r="S286" s="96">
        <v>0</v>
      </c>
      <c r="T286" s="96">
        <v>0</v>
      </c>
      <c r="U286" s="96">
        <v>0</v>
      </c>
      <c r="V286" s="96">
        <v>0</v>
      </c>
      <c r="W286" s="96">
        <v>0</v>
      </c>
      <c r="X286" s="96">
        <v>0</v>
      </c>
      <c r="Y286" s="96">
        <v>0</v>
      </c>
      <c r="Z286" s="96"/>
      <c r="AA286" s="19"/>
      <c r="AB286" s="19"/>
      <c r="AC286" s="19"/>
      <c r="AD286" s="19"/>
      <c r="AE286" s="13" t="s">
        <v>657</v>
      </c>
      <c r="AF286" s="8"/>
      <c r="AG286" t="str">
        <f>VLOOKUP(OfficeForms.Table[[#This Row],[Nama Proyek]],'Nama Proyek'!$D$2:$G$29,4,0)</f>
        <v>2.426249030,128.29766314</v>
      </c>
      <c r="AH286" s="5"/>
      <c r="AI286" s="5"/>
      <c r="AJ286" s="5"/>
      <c r="AK286" s="5" t="s">
        <v>658</v>
      </c>
    </row>
    <row r="287" spans="1:37" ht="15" hidden="1" customHeight="1">
      <c r="A287" s="31">
        <v>978</v>
      </c>
      <c r="B287" s="111">
        <v>44865</v>
      </c>
      <c r="C287" s="29">
        <f>B287</f>
        <v>44865</v>
      </c>
      <c r="D287" s="8" t="s">
        <v>37</v>
      </c>
      <c r="E287" s="8" t="s">
        <v>504</v>
      </c>
      <c r="F287" s="5" t="str">
        <f>E287</f>
        <v>Fathan Zul Waskito</v>
      </c>
      <c r="G287" s="9" t="s">
        <v>472</v>
      </c>
      <c r="H287" s="105">
        <v>44862</v>
      </c>
      <c r="I287" s="95">
        <v>39.933999999999997</v>
      </c>
      <c r="J287" s="95">
        <v>32.395000000000003</v>
      </c>
      <c r="K287" s="95">
        <v>0.19400000000000001</v>
      </c>
      <c r="L287" s="95">
        <v>37.658999999999999</v>
      </c>
      <c r="M287" s="95">
        <v>0</v>
      </c>
      <c r="N287" s="95">
        <v>0</v>
      </c>
      <c r="O287" s="95">
        <v>0</v>
      </c>
      <c r="P287" s="95">
        <v>0.751</v>
      </c>
      <c r="Q287" s="95">
        <v>0</v>
      </c>
      <c r="R287" s="95">
        <v>0</v>
      </c>
      <c r="S287" s="95">
        <v>0</v>
      </c>
      <c r="T287" s="95">
        <v>0</v>
      </c>
      <c r="U287" s="95">
        <v>0</v>
      </c>
      <c r="V287" s="95">
        <v>0</v>
      </c>
      <c r="W287" s="95">
        <v>0</v>
      </c>
      <c r="X287" s="95">
        <v>0</v>
      </c>
      <c r="Y287" s="95">
        <v>0</v>
      </c>
      <c r="Z287" s="95"/>
      <c r="AA287" s="8"/>
      <c r="AB287" s="8"/>
      <c r="AC287" s="8"/>
      <c r="AD287" s="8"/>
      <c r="AE287" s="11"/>
      <c r="AF287" s="19"/>
      <c r="AG287" t="str">
        <f>VLOOKUP(OfficeForms.Table[[#This Row],[Nama Proyek]],'Nama Proyek'!$D$2:$G$29,4,0)</f>
        <v>-8.29394978,112.00545006</v>
      </c>
      <c r="AH287" s="5"/>
      <c r="AI287" s="5"/>
      <c r="AJ287" s="5"/>
      <c r="AK287" s="5" t="s">
        <v>659</v>
      </c>
    </row>
    <row r="288" spans="1:37" ht="15" hidden="1" customHeight="1">
      <c r="A288" s="30">
        <v>350</v>
      </c>
      <c r="B288" s="111">
        <v>44865</v>
      </c>
      <c r="C288" s="29">
        <f>B288</f>
        <v>44865</v>
      </c>
      <c r="D288" s="8" t="s">
        <v>37</v>
      </c>
      <c r="E288" s="8" t="s">
        <v>82</v>
      </c>
      <c r="F288" s="5" t="str">
        <f>E288</f>
        <v>Ajik Prastiyo</v>
      </c>
      <c r="G288" s="36" t="s">
        <v>80</v>
      </c>
      <c r="H288" s="105">
        <v>44864</v>
      </c>
      <c r="I288" s="95">
        <v>69.211620049999993</v>
      </c>
      <c r="J288" s="95">
        <v>74.440873460000006</v>
      </c>
      <c r="K288" s="95">
        <v>0.40100447</v>
      </c>
      <c r="L288" s="95">
        <v>0.12314761</v>
      </c>
      <c r="M288" s="95">
        <v>30.122846689999999</v>
      </c>
      <c r="N288" s="95">
        <v>0.53471208999999997</v>
      </c>
      <c r="O288" s="95">
        <v>2.1517989000000002</v>
      </c>
      <c r="P288" s="95">
        <v>0.16840424000000001</v>
      </c>
      <c r="Q288" s="95">
        <v>2.5818109999999998E-2</v>
      </c>
      <c r="R288" s="95">
        <v>6.0015440099999999</v>
      </c>
      <c r="S288" s="95">
        <v>27.198686769999998</v>
      </c>
      <c r="T288" s="95">
        <v>0</v>
      </c>
      <c r="U288" s="95">
        <v>1.7627862599999999</v>
      </c>
      <c r="V288" s="95">
        <v>1.5564349999999999E-2</v>
      </c>
      <c r="W288" s="95">
        <v>0.11402648</v>
      </c>
      <c r="X288" s="95">
        <v>0.16301879</v>
      </c>
      <c r="Y288" s="95">
        <v>0</v>
      </c>
      <c r="Z288" s="95"/>
      <c r="AA288" s="8"/>
      <c r="AB288" s="8"/>
      <c r="AC288" s="8"/>
      <c r="AD288" s="8"/>
      <c r="AE288" s="11"/>
      <c r="AF288" s="19" t="s">
        <v>660</v>
      </c>
      <c r="AG288" t="str">
        <f>VLOOKUP(OfficeForms.Table[[#This Row],[Nama Proyek]],'Nama Proyek'!$D$2:$G$29,4,0)</f>
        <v>-7.82225167,113.29968319</v>
      </c>
      <c r="AH288" s="5"/>
      <c r="AI288" s="5"/>
      <c r="AJ288" s="5"/>
      <c r="AK288" s="5" t="s">
        <v>661</v>
      </c>
    </row>
    <row r="289" spans="1:37" ht="15" hidden="1" customHeight="1">
      <c r="A289">
        <v>722</v>
      </c>
      <c r="B289" s="111">
        <v>44865</v>
      </c>
      <c r="C289" s="29">
        <f>B289</f>
        <v>44865</v>
      </c>
      <c r="D289" s="9" t="s">
        <v>37</v>
      </c>
      <c r="E289" s="9" t="s">
        <v>64</v>
      </c>
      <c r="F289" s="5" t="str">
        <f>E289</f>
        <v>Nizar Zulkarnain</v>
      </c>
      <c r="G289" s="17" t="s">
        <v>65</v>
      </c>
      <c r="H289" s="104">
        <v>44864</v>
      </c>
      <c r="I289" s="94">
        <v>72.97</v>
      </c>
      <c r="J289" s="94">
        <v>76.63</v>
      </c>
      <c r="K289" s="94">
        <v>58.87</v>
      </c>
      <c r="L289" s="94">
        <v>57.14</v>
      </c>
      <c r="M289" s="94">
        <v>81.33</v>
      </c>
      <c r="N289" s="94">
        <v>82.87</v>
      </c>
      <c r="O289" s="94">
        <v>49.96</v>
      </c>
      <c r="P289" s="94">
        <v>60.09</v>
      </c>
      <c r="Q289" s="94">
        <v>56.87</v>
      </c>
      <c r="R289" s="94">
        <v>55.3</v>
      </c>
      <c r="S289" s="94">
        <v>82.89</v>
      </c>
      <c r="T289" s="94">
        <v>79.88</v>
      </c>
      <c r="U289" s="94">
        <v>33.270000000000003</v>
      </c>
      <c r="V289" s="94">
        <v>21.46</v>
      </c>
      <c r="W289" s="94">
        <v>0</v>
      </c>
      <c r="X289" s="94">
        <v>98.36</v>
      </c>
      <c r="Y289" s="94">
        <v>41.02</v>
      </c>
      <c r="Z289" s="94"/>
      <c r="AA289" s="9"/>
      <c r="AB289" s="9"/>
      <c r="AC289" s="9"/>
      <c r="AD289" s="9"/>
      <c r="AE289" s="12"/>
      <c r="AF289" s="8"/>
      <c r="AG289" t="str">
        <f>VLOOKUP(OfficeForms.Table[[#This Row],[Nama Proyek]],'Nama Proyek'!$D$2:$G$29,4,0)</f>
        <v>-6.35008011,107.02324233</v>
      </c>
      <c r="AH289" s="5"/>
      <c r="AI289" s="5"/>
      <c r="AJ289" s="5"/>
      <c r="AK289" s="5" t="s">
        <v>662</v>
      </c>
    </row>
    <row r="290" spans="1:37" ht="15" hidden="1" customHeight="1">
      <c r="A290" s="50">
        <v>212</v>
      </c>
      <c r="B290" s="111">
        <v>44865</v>
      </c>
      <c r="C290" s="29">
        <f>B290</f>
        <v>44865</v>
      </c>
      <c r="D290" s="8" t="s">
        <v>37</v>
      </c>
      <c r="E290" s="8" t="s">
        <v>136</v>
      </c>
      <c r="F290" s="5" t="str">
        <f>E290</f>
        <v>Utomo Aryowibowo</v>
      </c>
      <c r="G290" s="15" t="s">
        <v>52</v>
      </c>
      <c r="H290" s="105">
        <v>44865</v>
      </c>
      <c r="I290" s="95">
        <v>83</v>
      </c>
      <c r="J290" s="95">
        <v>83.515000000000001</v>
      </c>
      <c r="K290" s="95">
        <v>0</v>
      </c>
      <c r="L290" s="95">
        <v>0</v>
      </c>
      <c r="M290" s="95">
        <v>0</v>
      </c>
      <c r="N290" s="95">
        <v>0</v>
      </c>
      <c r="O290" s="95">
        <v>0</v>
      </c>
      <c r="P290" s="95">
        <v>0</v>
      </c>
      <c r="Q290" s="95">
        <v>0</v>
      </c>
      <c r="R290" s="95">
        <v>0.152</v>
      </c>
      <c r="S290" s="95">
        <v>1.5209999999999999</v>
      </c>
      <c r="T290" s="95">
        <v>0</v>
      </c>
      <c r="U290" s="95">
        <v>0</v>
      </c>
      <c r="V290" s="95">
        <v>3.2000000000000001E-2</v>
      </c>
      <c r="W290" s="95">
        <v>0</v>
      </c>
      <c r="X290" s="95">
        <v>0</v>
      </c>
      <c r="Y290" s="95">
        <v>0</v>
      </c>
      <c r="Z290" s="95"/>
      <c r="AA290" s="8"/>
      <c r="AB290" s="8"/>
      <c r="AC290" s="8"/>
      <c r="AD290" s="8"/>
      <c r="AE290" s="11"/>
      <c r="AF290" s="41" t="s">
        <v>663</v>
      </c>
      <c r="AG290" t="str">
        <f>VLOOKUP(OfficeForms.Table[[#This Row],[Nama Proyek]],'Nama Proyek'!$D$2:$G$29,4,0)</f>
        <v>-6.13491053,106.93675986</v>
      </c>
      <c r="AH290" s="5"/>
      <c r="AI290" s="5"/>
      <c r="AJ290" s="5"/>
      <c r="AK290" s="5" t="s">
        <v>664</v>
      </c>
    </row>
    <row r="291" spans="1:37" ht="15" hidden="1" customHeight="1">
      <c r="A291" s="30">
        <v>202</v>
      </c>
      <c r="B291" s="111">
        <v>44865</v>
      </c>
      <c r="C291" s="29">
        <f>B291</f>
        <v>44865</v>
      </c>
      <c r="D291" s="8" t="s">
        <v>37</v>
      </c>
      <c r="E291" s="8" t="s">
        <v>64</v>
      </c>
      <c r="F291" s="5" t="str">
        <f>E291</f>
        <v>Nizar Zulkarnain</v>
      </c>
      <c r="G291" s="9" t="s">
        <v>65</v>
      </c>
      <c r="H291" s="105"/>
      <c r="I291" s="95">
        <v>0</v>
      </c>
      <c r="J291" s="95">
        <v>0</v>
      </c>
      <c r="K291" s="95">
        <v>0</v>
      </c>
      <c r="L291" s="95">
        <v>0</v>
      </c>
      <c r="M291" s="95">
        <v>0</v>
      </c>
      <c r="N291" s="95">
        <v>0</v>
      </c>
      <c r="O291" s="95">
        <v>0</v>
      </c>
      <c r="P291" s="95">
        <v>0</v>
      </c>
      <c r="Q291" s="95">
        <v>0</v>
      </c>
      <c r="R291" s="95">
        <v>0</v>
      </c>
      <c r="S291" s="95">
        <v>0</v>
      </c>
      <c r="T291" s="95">
        <v>0</v>
      </c>
      <c r="U291" s="95">
        <v>0</v>
      </c>
      <c r="V291" s="95">
        <v>0</v>
      </c>
      <c r="W291" s="95">
        <v>0</v>
      </c>
      <c r="X291" s="95">
        <v>0</v>
      </c>
      <c r="Y291" s="95">
        <v>0</v>
      </c>
      <c r="Z291" s="95"/>
      <c r="AA291" s="8"/>
      <c r="AB291" s="8"/>
      <c r="AC291" s="8"/>
      <c r="AD291" s="8"/>
      <c r="AE291" s="11" t="s">
        <v>114</v>
      </c>
      <c r="AF291" s="8"/>
      <c r="AG291" t="str">
        <f>VLOOKUP(OfficeForms.Table[[#This Row],[Nama Proyek]],'Nama Proyek'!$D$2:$G$29,4,0)</f>
        <v>-6.35008011,107.02324233</v>
      </c>
      <c r="AH291" s="5"/>
      <c r="AI291" s="5"/>
      <c r="AJ291" s="5"/>
      <c r="AK291" s="5" t="s">
        <v>665</v>
      </c>
    </row>
    <row r="292" spans="1:37" ht="15" hidden="1" customHeight="1">
      <c r="A292" s="31">
        <v>205</v>
      </c>
      <c r="B292" s="110">
        <v>44865</v>
      </c>
      <c r="C292" s="28">
        <f>B292</f>
        <v>44865</v>
      </c>
      <c r="D292" s="8" t="s">
        <v>37</v>
      </c>
      <c r="E292" s="8" t="s">
        <v>64</v>
      </c>
      <c r="F292" s="5" t="str">
        <f>E292</f>
        <v>Nizar Zulkarnain</v>
      </c>
      <c r="G292" s="19" t="s">
        <v>65</v>
      </c>
      <c r="H292" s="105"/>
      <c r="I292" s="95">
        <v>0</v>
      </c>
      <c r="J292" s="95">
        <v>0</v>
      </c>
      <c r="K292" s="95">
        <v>0</v>
      </c>
      <c r="L292" s="95">
        <v>0</v>
      </c>
      <c r="M292" s="95">
        <v>0</v>
      </c>
      <c r="N292" s="95">
        <v>0</v>
      </c>
      <c r="O292" s="95">
        <v>0</v>
      </c>
      <c r="P292" s="95">
        <v>0</v>
      </c>
      <c r="Q292" s="95">
        <v>0</v>
      </c>
      <c r="R292" s="95">
        <v>0</v>
      </c>
      <c r="S292" s="95">
        <v>0</v>
      </c>
      <c r="T292" s="95">
        <v>0</v>
      </c>
      <c r="U292" s="95">
        <v>0</v>
      </c>
      <c r="V292" s="95">
        <v>0</v>
      </c>
      <c r="W292" s="95">
        <v>0</v>
      </c>
      <c r="X292" s="95">
        <v>0</v>
      </c>
      <c r="Y292" s="95">
        <v>0</v>
      </c>
      <c r="Z292" s="95"/>
      <c r="AA292" s="8" t="s">
        <v>666</v>
      </c>
      <c r="AB292" s="8" t="s">
        <v>133</v>
      </c>
      <c r="AC292" s="8" t="s">
        <v>667</v>
      </c>
      <c r="AD292" s="8"/>
      <c r="AE292" s="11"/>
      <c r="AF292" s="9"/>
      <c r="AG292" t="str">
        <f>VLOOKUP(OfficeForms.Table[[#This Row],[Nama Proyek]],'Nama Proyek'!$D$2:$G$29,4,0)</f>
        <v>-6.35008011,107.02324233</v>
      </c>
      <c r="AH292" s="5"/>
      <c r="AI292" s="5"/>
      <c r="AJ292" s="5"/>
      <c r="AK292" s="5" t="s">
        <v>668</v>
      </c>
    </row>
    <row r="293" spans="1:37" ht="15" hidden="1" customHeight="1">
      <c r="A293" s="31">
        <v>247</v>
      </c>
      <c r="B293" s="110">
        <v>44865</v>
      </c>
      <c r="C293" s="28">
        <f>B293</f>
        <v>44865</v>
      </c>
      <c r="D293" s="19" t="s">
        <v>37</v>
      </c>
      <c r="E293" s="19" t="s">
        <v>109</v>
      </c>
      <c r="F293" s="5" t="str">
        <f>E293</f>
        <v>Muhamad Saifudin Ashari</v>
      </c>
      <c r="G293" s="42" t="s">
        <v>39</v>
      </c>
      <c r="H293" s="106"/>
      <c r="I293" s="96">
        <v>0</v>
      </c>
      <c r="J293" s="96">
        <v>0</v>
      </c>
      <c r="K293" s="96">
        <v>0</v>
      </c>
      <c r="L293" s="96">
        <v>0</v>
      </c>
      <c r="M293" s="96">
        <v>0</v>
      </c>
      <c r="N293" s="96">
        <v>0</v>
      </c>
      <c r="O293" s="96">
        <v>0</v>
      </c>
      <c r="P293" s="96">
        <v>0</v>
      </c>
      <c r="Q293" s="96">
        <v>0</v>
      </c>
      <c r="R293" s="96">
        <v>0</v>
      </c>
      <c r="S293" s="96">
        <v>0</v>
      </c>
      <c r="T293" s="96">
        <v>0</v>
      </c>
      <c r="U293" s="96">
        <v>0</v>
      </c>
      <c r="V293" s="96">
        <v>0</v>
      </c>
      <c r="W293" s="96">
        <v>0</v>
      </c>
      <c r="X293" s="96">
        <v>0</v>
      </c>
      <c r="Y293" s="96">
        <v>0</v>
      </c>
      <c r="Z293" s="96"/>
      <c r="AA293" s="19" t="s">
        <v>469</v>
      </c>
      <c r="AB293" s="19" t="s">
        <v>469</v>
      </c>
      <c r="AC293" s="19" t="s">
        <v>469</v>
      </c>
      <c r="AD293" s="19" t="s">
        <v>469</v>
      </c>
      <c r="AE293" s="13"/>
      <c r="AF293" s="8" t="s">
        <v>669</v>
      </c>
      <c r="AG293" t="str">
        <f>VLOOKUP(OfficeForms.Table[[#This Row],[Nama Proyek]],'Nama Proyek'!$D$2:$G$29,4,0)</f>
        <v>-6.80675464,106.785366</v>
      </c>
      <c r="AH293" s="5"/>
      <c r="AI293" s="5"/>
      <c r="AJ293" s="5"/>
      <c r="AK293" s="5" t="s">
        <v>670</v>
      </c>
    </row>
    <row r="294" spans="1:37" ht="15" hidden="1" customHeight="1">
      <c r="A294">
        <v>316</v>
      </c>
      <c r="B294" s="111">
        <v>44865</v>
      </c>
      <c r="C294" s="29">
        <f>B294</f>
        <v>44865</v>
      </c>
      <c r="D294" s="9" t="s">
        <v>37</v>
      </c>
      <c r="E294" s="9" t="s">
        <v>504</v>
      </c>
      <c r="F294" s="5" t="str">
        <f>E294</f>
        <v>Fathan Zul Waskito</v>
      </c>
      <c r="G294" s="9" t="s">
        <v>472</v>
      </c>
      <c r="H294" s="104"/>
      <c r="I294" s="94">
        <v>0</v>
      </c>
      <c r="J294" s="94">
        <v>0</v>
      </c>
      <c r="K294" s="94">
        <v>0</v>
      </c>
      <c r="L294" s="94">
        <v>0</v>
      </c>
      <c r="M294" s="94">
        <v>0</v>
      </c>
      <c r="N294" s="94">
        <v>0</v>
      </c>
      <c r="O294" s="94">
        <v>0</v>
      </c>
      <c r="P294" s="94">
        <v>0</v>
      </c>
      <c r="Q294" s="94">
        <v>0</v>
      </c>
      <c r="R294" s="94">
        <v>0</v>
      </c>
      <c r="S294" s="94">
        <v>0</v>
      </c>
      <c r="T294" s="94">
        <v>0</v>
      </c>
      <c r="U294" s="94">
        <v>0</v>
      </c>
      <c r="V294" s="94">
        <v>0</v>
      </c>
      <c r="W294" s="94">
        <v>0</v>
      </c>
      <c r="X294" s="94">
        <v>0</v>
      </c>
      <c r="Y294" s="94">
        <v>0</v>
      </c>
      <c r="Z294" s="94"/>
      <c r="AA294" s="9"/>
      <c r="AB294" s="9"/>
      <c r="AC294" s="9"/>
      <c r="AD294" s="9"/>
      <c r="AE294" s="12" t="s">
        <v>671</v>
      </c>
      <c r="AF294" s="8"/>
      <c r="AG294" t="str">
        <f>VLOOKUP(OfficeForms.Table[[#This Row],[Nama Proyek]],'Nama Proyek'!$D$2:$G$29,4,0)</f>
        <v>-8.29394978,112.00545006</v>
      </c>
      <c r="AH294" s="5"/>
      <c r="AI294" s="5"/>
      <c r="AJ294" s="5"/>
      <c r="AK294" s="5" t="s">
        <v>672</v>
      </c>
    </row>
    <row r="295" spans="1:37" ht="15" hidden="1" customHeight="1">
      <c r="A295">
        <v>318</v>
      </c>
      <c r="B295" s="111">
        <v>44865</v>
      </c>
      <c r="C295" s="29">
        <f>B295</f>
        <v>44865</v>
      </c>
      <c r="D295" s="9" t="s">
        <v>37</v>
      </c>
      <c r="E295" s="9" t="s">
        <v>504</v>
      </c>
      <c r="F295" s="5" t="str">
        <f>E295</f>
        <v>Fathan Zul Waskito</v>
      </c>
      <c r="G295" s="9" t="s">
        <v>472</v>
      </c>
      <c r="H295" s="104"/>
      <c r="I295" s="94">
        <v>0</v>
      </c>
      <c r="J295" s="94">
        <v>0</v>
      </c>
      <c r="K295" s="94">
        <v>0</v>
      </c>
      <c r="L295" s="94">
        <v>0</v>
      </c>
      <c r="M295" s="94">
        <v>0</v>
      </c>
      <c r="N295" s="94">
        <v>0</v>
      </c>
      <c r="O295" s="94">
        <v>0</v>
      </c>
      <c r="P295" s="94">
        <v>0</v>
      </c>
      <c r="Q295" s="94">
        <v>0</v>
      </c>
      <c r="R295" s="94">
        <v>0</v>
      </c>
      <c r="S295" s="94">
        <v>0</v>
      </c>
      <c r="T295" s="94">
        <v>0</v>
      </c>
      <c r="U295" s="94">
        <v>0</v>
      </c>
      <c r="V295" s="94">
        <v>0</v>
      </c>
      <c r="W295" s="94">
        <v>0</v>
      </c>
      <c r="X295" s="94">
        <v>0</v>
      </c>
      <c r="Y295" s="94">
        <v>0</v>
      </c>
      <c r="Z295" s="94"/>
      <c r="AA295" s="9" t="s">
        <v>673</v>
      </c>
      <c r="AB295" s="9" t="s">
        <v>624</v>
      </c>
      <c r="AC295" s="9" t="s">
        <v>625</v>
      </c>
      <c r="AD295" s="9" t="s">
        <v>674</v>
      </c>
      <c r="AE295" s="12"/>
      <c r="AF295" s="19"/>
      <c r="AG295" t="str">
        <f>VLOOKUP(OfficeForms.Table[[#This Row],[Nama Proyek]],'Nama Proyek'!$D$2:$G$29,4,0)</f>
        <v>-8.29394978,112.00545006</v>
      </c>
      <c r="AH295" s="5"/>
      <c r="AI295" s="5"/>
      <c r="AJ295" s="5"/>
      <c r="AK295" s="5" t="s">
        <v>675</v>
      </c>
    </row>
    <row r="296" spans="1:37" ht="15" hidden="1" customHeight="1">
      <c r="A296" s="31">
        <v>351</v>
      </c>
      <c r="B296" s="110">
        <v>44865</v>
      </c>
      <c r="C296" s="28">
        <f>B296</f>
        <v>44865</v>
      </c>
      <c r="D296" s="19" t="s">
        <v>37</v>
      </c>
      <c r="E296" s="19" t="s">
        <v>82</v>
      </c>
      <c r="F296" s="5" t="str">
        <f>E296</f>
        <v>Ajik Prastiyo</v>
      </c>
      <c r="G296" s="35" t="s">
        <v>80</v>
      </c>
      <c r="H296" s="106"/>
      <c r="I296" s="96">
        <v>0</v>
      </c>
      <c r="J296" s="96">
        <v>0</v>
      </c>
      <c r="K296" s="96">
        <v>0</v>
      </c>
      <c r="L296" s="96">
        <v>0</v>
      </c>
      <c r="M296" s="96">
        <v>0</v>
      </c>
      <c r="N296" s="96">
        <v>0</v>
      </c>
      <c r="O296" s="96">
        <v>0</v>
      </c>
      <c r="P296" s="96">
        <v>0</v>
      </c>
      <c r="Q296" s="96">
        <v>0</v>
      </c>
      <c r="R296" s="96">
        <v>0</v>
      </c>
      <c r="S296" s="96">
        <v>0</v>
      </c>
      <c r="T296" s="96">
        <v>0</v>
      </c>
      <c r="U296" s="96">
        <v>0</v>
      </c>
      <c r="V296" s="96">
        <v>0</v>
      </c>
      <c r="W296" s="96">
        <v>0</v>
      </c>
      <c r="X296" s="96">
        <v>0</v>
      </c>
      <c r="Y296" s="96">
        <v>0</v>
      </c>
      <c r="Z296" s="96"/>
      <c r="AA296" s="19"/>
      <c r="AB296" s="19"/>
      <c r="AC296" s="19"/>
      <c r="AD296" s="19"/>
      <c r="AE296" s="13" t="s">
        <v>671</v>
      </c>
      <c r="AF296" s="26" t="s">
        <v>676</v>
      </c>
      <c r="AG296" t="str">
        <f>VLOOKUP(OfficeForms.Table[[#This Row],[Nama Proyek]],'Nama Proyek'!$D$2:$G$29,4,0)</f>
        <v>-7.82225167,113.29968319</v>
      </c>
      <c r="AH296" s="5"/>
      <c r="AI296" s="5"/>
      <c r="AJ296" s="5"/>
      <c r="AK296" s="5" t="s">
        <v>677</v>
      </c>
    </row>
    <row r="297" spans="1:37" ht="15" hidden="1" customHeight="1">
      <c r="A297" s="31">
        <v>352</v>
      </c>
      <c r="B297" s="111">
        <v>44865</v>
      </c>
      <c r="C297" s="29">
        <f>B297</f>
        <v>44865</v>
      </c>
      <c r="D297" s="8" t="s">
        <v>37</v>
      </c>
      <c r="E297" s="8" t="s">
        <v>82</v>
      </c>
      <c r="F297" s="5" t="str">
        <f>E297</f>
        <v>Ajik Prastiyo</v>
      </c>
      <c r="G297" s="33" t="s">
        <v>80</v>
      </c>
      <c r="H297" s="104"/>
      <c r="I297" s="95">
        <v>0</v>
      </c>
      <c r="J297" s="95">
        <v>0</v>
      </c>
      <c r="K297" s="95">
        <v>0</v>
      </c>
      <c r="L297" s="95">
        <v>0</v>
      </c>
      <c r="M297" s="95">
        <v>0</v>
      </c>
      <c r="N297" s="95">
        <v>0</v>
      </c>
      <c r="O297" s="95">
        <v>0</v>
      </c>
      <c r="P297" s="95">
        <v>0</v>
      </c>
      <c r="Q297" s="95">
        <v>0</v>
      </c>
      <c r="R297" s="95">
        <v>0</v>
      </c>
      <c r="S297" s="95">
        <v>0</v>
      </c>
      <c r="T297" s="95">
        <v>0</v>
      </c>
      <c r="U297" s="95">
        <v>0</v>
      </c>
      <c r="V297" s="95">
        <v>0</v>
      </c>
      <c r="W297" s="95">
        <v>0</v>
      </c>
      <c r="X297" s="95">
        <v>0</v>
      </c>
      <c r="Y297" s="95">
        <v>0</v>
      </c>
      <c r="Z297" s="95"/>
      <c r="AA297" s="8"/>
      <c r="AB297" s="15"/>
      <c r="AC297" s="8"/>
      <c r="AD297" s="8"/>
      <c r="AE297" s="16" t="s">
        <v>657</v>
      </c>
      <c r="AF297" s="19" t="s">
        <v>678</v>
      </c>
      <c r="AG297" t="str">
        <f>VLOOKUP(OfficeForms.Table[[#This Row],[Nama Proyek]],'Nama Proyek'!$D$2:$G$29,4,0)</f>
        <v>-7.82225167,113.29968319</v>
      </c>
      <c r="AH297" s="5"/>
      <c r="AI297" s="5"/>
      <c r="AJ297" s="5"/>
      <c r="AK297" s="5" t="s">
        <v>679</v>
      </c>
    </row>
    <row r="298" spans="1:37" ht="15" hidden="1" customHeight="1">
      <c r="A298" s="30">
        <v>353</v>
      </c>
      <c r="B298" s="110">
        <v>44865</v>
      </c>
      <c r="C298" s="28">
        <f>B298</f>
        <v>44865</v>
      </c>
      <c r="D298" s="19" t="s">
        <v>37</v>
      </c>
      <c r="E298" s="19" t="s">
        <v>82</v>
      </c>
      <c r="F298" s="5" t="str">
        <f>E298</f>
        <v>Ajik Prastiyo</v>
      </c>
      <c r="G298" s="38" t="s">
        <v>80</v>
      </c>
      <c r="H298" s="106"/>
      <c r="I298" s="96">
        <v>0</v>
      </c>
      <c r="J298" s="96">
        <v>0</v>
      </c>
      <c r="K298" s="96">
        <v>0</v>
      </c>
      <c r="L298" s="96">
        <v>0</v>
      </c>
      <c r="M298" s="96">
        <v>0</v>
      </c>
      <c r="N298" s="96">
        <v>0</v>
      </c>
      <c r="O298" s="96">
        <v>0</v>
      </c>
      <c r="P298" s="96">
        <v>0</v>
      </c>
      <c r="Q298" s="96">
        <v>0</v>
      </c>
      <c r="R298" s="96">
        <v>0</v>
      </c>
      <c r="S298" s="96">
        <v>0</v>
      </c>
      <c r="T298" s="96">
        <v>0</v>
      </c>
      <c r="U298" s="96">
        <v>0</v>
      </c>
      <c r="V298" s="96">
        <v>0</v>
      </c>
      <c r="W298" s="96">
        <v>0</v>
      </c>
      <c r="X298" s="96">
        <v>0</v>
      </c>
      <c r="Y298" s="96">
        <v>0</v>
      </c>
      <c r="Z298" s="96"/>
      <c r="AA298" s="19"/>
      <c r="AB298" s="19"/>
      <c r="AC298" s="19"/>
      <c r="AD298" s="19"/>
      <c r="AE298" s="13" t="s">
        <v>657</v>
      </c>
      <c r="AF298" s="26" t="s">
        <v>680</v>
      </c>
      <c r="AG298" t="str">
        <f>VLOOKUP(OfficeForms.Table[[#This Row],[Nama Proyek]],'Nama Proyek'!$D$2:$G$29,4,0)</f>
        <v>-7.82225167,113.29968319</v>
      </c>
      <c r="AH298" s="5"/>
      <c r="AI298" s="5"/>
      <c r="AJ298" s="5"/>
      <c r="AK298" s="5" t="s">
        <v>681</v>
      </c>
    </row>
    <row r="299" spans="1:37" ht="15" hidden="1" customHeight="1">
      <c r="A299">
        <v>354</v>
      </c>
      <c r="B299" s="111">
        <v>44865</v>
      </c>
      <c r="C299" s="29">
        <f>B299</f>
        <v>44865</v>
      </c>
      <c r="D299" s="8" t="s">
        <v>37</v>
      </c>
      <c r="E299" s="8" t="s">
        <v>82</v>
      </c>
      <c r="F299" s="5" t="str">
        <f>E299</f>
        <v>Ajik Prastiyo</v>
      </c>
      <c r="G299" s="36" t="s">
        <v>80</v>
      </c>
      <c r="H299" s="104"/>
      <c r="I299" s="95">
        <v>0</v>
      </c>
      <c r="J299" s="95">
        <v>0</v>
      </c>
      <c r="K299" s="95">
        <v>0</v>
      </c>
      <c r="L299" s="95">
        <v>0</v>
      </c>
      <c r="M299" s="95">
        <v>0</v>
      </c>
      <c r="N299" s="95">
        <v>0</v>
      </c>
      <c r="O299" s="95">
        <v>0</v>
      </c>
      <c r="P299" s="95">
        <v>0</v>
      </c>
      <c r="Q299" s="95">
        <v>0</v>
      </c>
      <c r="R299" s="95">
        <v>0</v>
      </c>
      <c r="S299" s="95">
        <v>0</v>
      </c>
      <c r="T299" s="95">
        <v>0</v>
      </c>
      <c r="U299" s="95">
        <v>0</v>
      </c>
      <c r="V299" s="95">
        <v>0</v>
      </c>
      <c r="W299" s="95">
        <v>0</v>
      </c>
      <c r="X299" s="95">
        <v>0</v>
      </c>
      <c r="Y299" s="95">
        <v>0</v>
      </c>
      <c r="Z299" s="95"/>
      <c r="AA299" s="8"/>
      <c r="AB299" s="8"/>
      <c r="AC299" s="8"/>
      <c r="AD299" s="8"/>
      <c r="AE299" s="16" t="s">
        <v>657</v>
      </c>
      <c r="AF299" s="43" t="s">
        <v>682</v>
      </c>
      <c r="AG299" t="str">
        <f>VLOOKUP(OfficeForms.Table[[#This Row],[Nama Proyek]],'Nama Proyek'!$D$2:$G$29,4,0)</f>
        <v>-7.82225167,113.29968319</v>
      </c>
      <c r="AH299" s="5"/>
      <c r="AI299" s="5"/>
      <c r="AJ299" s="5"/>
      <c r="AK299" s="5" t="s">
        <v>683</v>
      </c>
    </row>
    <row r="300" spans="1:37" ht="15" hidden="1" customHeight="1">
      <c r="A300" s="50">
        <v>355</v>
      </c>
      <c r="B300" s="110">
        <v>44865</v>
      </c>
      <c r="C300" s="28">
        <f>B300</f>
        <v>44865</v>
      </c>
      <c r="D300" s="19" t="s">
        <v>37</v>
      </c>
      <c r="E300" s="19" t="s">
        <v>82</v>
      </c>
      <c r="F300" s="5" t="str">
        <f>E300</f>
        <v>Ajik Prastiyo</v>
      </c>
      <c r="G300" s="38" t="s">
        <v>80</v>
      </c>
      <c r="H300" s="106"/>
      <c r="I300" s="96">
        <v>0</v>
      </c>
      <c r="J300" s="96">
        <v>0</v>
      </c>
      <c r="K300" s="96">
        <v>0</v>
      </c>
      <c r="L300" s="96">
        <v>0</v>
      </c>
      <c r="M300" s="96">
        <v>0</v>
      </c>
      <c r="N300" s="96">
        <v>0</v>
      </c>
      <c r="O300" s="96">
        <v>0</v>
      </c>
      <c r="P300" s="96">
        <v>0</v>
      </c>
      <c r="Q300" s="96">
        <v>0</v>
      </c>
      <c r="R300" s="96">
        <v>0</v>
      </c>
      <c r="S300" s="96">
        <v>0</v>
      </c>
      <c r="T300" s="96">
        <v>0</v>
      </c>
      <c r="U300" s="96">
        <v>0</v>
      </c>
      <c r="V300" s="96">
        <v>0</v>
      </c>
      <c r="W300" s="96">
        <v>0</v>
      </c>
      <c r="X300" s="96">
        <v>0</v>
      </c>
      <c r="Y300" s="96">
        <v>0</v>
      </c>
      <c r="Z300" s="96"/>
      <c r="AA300" s="19"/>
      <c r="AB300" s="19"/>
      <c r="AC300" s="19"/>
      <c r="AD300" s="19"/>
      <c r="AE300" s="13" t="s">
        <v>671</v>
      </c>
      <c r="AF300" s="8"/>
      <c r="AG300" t="str">
        <f>VLOOKUP(OfficeForms.Table[[#This Row],[Nama Proyek]],'Nama Proyek'!$D$2:$G$29,4,0)</f>
        <v>-7.82225167,113.29968319</v>
      </c>
      <c r="AH300" s="5"/>
      <c r="AI300" s="5"/>
      <c r="AJ300" s="5"/>
      <c r="AK300" s="5" t="s">
        <v>684</v>
      </c>
    </row>
    <row r="301" spans="1:37" ht="15" hidden="1" customHeight="1">
      <c r="A301" s="31">
        <v>356</v>
      </c>
      <c r="B301" s="111">
        <v>44865</v>
      </c>
      <c r="C301" s="29">
        <f>B301</f>
        <v>44865</v>
      </c>
      <c r="D301" s="8" t="s">
        <v>37</v>
      </c>
      <c r="E301" s="8" t="s">
        <v>79</v>
      </c>
      <c r="F301" s="5" t="str">
        <f>E301</f>
        <v>Fajar Sodiq Febriansyah</v>
      </c>
      <c r="G301" s="33" t="s">
        <v>80</v>
      </c>
      <c r="H301" s="104"/>
      <c r="I301" s="95">
        <v>0</v>
      </c>
      <c r="J301" s="95">
        <v>0</v>
      </c>
      <c r="K301" s="95">
        <v>0</v>
      </c>
      <c r="L301" s="95">
        <v>0</v>
      </c>
      <c r="M301" s="95">
        <v>0</v>
      </c>
      <c r="N301" s="95">
        <v>0</v>
      </c>
      <c r="O301" s="95">
        <v>0</v>
      </c>
      <c r="P301" s="95">
        <v>0</v>
      </c>
      <c r="Q301" s="95">
        <v>0</v>
      </c>
      <c r="R301" s="95">
        <v>0</v>
      </c>
      <c r="S301" s="95">
        <v>0</v>
      </c>
      <c r="T301" s="95">
        <v>0</v>
      </c>
      <c r="U301" s="95">
        <v>0</v>
      </c>
      <c r="V301" s="95">
        <v>0</v>
      </c>
      <c r="W301" s="95">
        <v>0</v>
      </c>
      <c r="X301" s="95">
        <v>0</v>
      </c>
      <c r="Y301" s="95">
        <v>0</v>
      </c>
      <c r="Z301" s="95"/>
      <c r="AA301" s="8" t="s">
        <v>421</v>
      </c>
      <c r="AB301" s="8" t="s">
        <v>261</v>
      </c>
      <c r="AC301" s="8" t="s">
        <v>422</v>
      </c>
      <c r="AD301" s="8" t="s">
        <v>423</v>
      </c>
      <c r="AE301" s="11"/>
      <c r="AF301" s="8" t="s">
        <v>685</v>
      </c>
      <c r="AG301" t="str">
        <f>VLOOKUP(OfficeForms.Table[[#This Row],[Nama Proyek]],'Nama Proyek'!$D$2:$G$29,4,0)</f>
        <v>-7.82225167,113.29968319</v>
      </c>
      <c r="AH301" s="5"/>
      <c r="AI301" s="5"/>
      <c r="AJ301" s="5"/>
      <c r="AK301" s="5" t="s">
        <v>686</v>
      </c>
    </row>
    <row r="302" spans="1:37" ht="15" hidden="1" customHeight="1">
      <c r="A302">
        <v>479</v>
      </c>
      <c r="B302" s="110">
        <v>44865</v>
      </c>
      <c r="C302" s="28">
        <f>B302</f>
        <v>44865</v>
      </c>
      <c r="D302" s="8" t="s">
        <v>37</v>
      </c>
      <c r="E302" s="8" t="s">
        <v>687</v>
      </c>
      <c r="F302" s="5" t="str">
        <f>E302</f>
        <v>Andri Julio Hermawan</v>
      </c>
      <c r="G302" s="19" t="s">
        <v>55</v>
      </c>
      <c r="H302" s="106"/>
      <c r="I302" s="95">
        <v>0</v>
      </c>
      <c r="J302" s="95">
        <v>0</v>
      </c>
      <c r="K302" s="95">
        <v>0</v>
      </c>
      <c r="L302" s="95">
        <v>0</v>
      </c>
      <c r="M302" s="95">
        <v>0</v>
      </c>
      <c r="N302" s="95">
        <v>0</v>
      </c>
      <c r="O302" s="95">
        <v>0</v>
      </c>
      <c r="P302" s="95">
        <v>0</v>
      </c>
      <c r="Q302" s="95">
        <v>0</v>
      </c>
      <c r="R302" s="95">
        <v>0</v>
      </c>
      <c r="S302" s="95">
        <v>0</v>
      </c>
      <c r="T302" s="95">
        <v>0</v>
      </c>
      <c r="U302" s="95">
        <v>0</v>
      </c>
      <c r="V302" s="95">
        <v>0</v>
      </c>
      <c r="W302" s="95">
        <v>0</v>
      </c>
      <c r="X302" s="95">
        <v>0</v>
      </c>
      <c r="Y302" s="95">
        <v>0</v>
      </c>
      <c r="Z302" s="95"/>
      <c r="AA302" s="8"/>
      <c r="AB302" s="8"/>
      <c r="AC302" s="8"/>
      <c r="AD302" s="8" t="s">
        <v>688</v>
      </c>
      <c r="AE302" s="11"/>
      <c r="AF302" s="40" t="s">
        <v>689</v>
      </c>
      <c r="AG302" t="str">
        <f>VLOOKUP(OfficeForms.Table[[#This Row],[Nama Proyek]],'Nama Proyek'!$D$2:$G$29,4,0)</f>
        <v>-6.42873464,107.19897003</v>
      </c>
      <c r="AH302" s="5"/>
      <c r="AI302" s="5"/>
      <c r="AJ302" s="5"/>
      <c r="AK302" s="5" t="s">
        <v>690</v>
      </c>
    </row>
    <row r="303" spans="1:37" ht="15" hidden="1" customHeight="1">
      <c r="A303">
        <v>750</v>
      </c>
      <c r="B303" s="111">
        <v>44865</v>
      </c>
      <c r="C303" s="29">
        <f>B303</f>
        <v>44865</v>
      </c>
      <c r="D303" s="9" t="s">
        <v>37</v>
      </c>
      <c r="E303" s="9" t="s">
        <v>136</v>
      </c>
      <c r="F303" s="5" t="str">
        <f>E303</f>
        <v>Utomo Aryowibowo</v>
      </c>
      <c r="G303" s="8" t="s">
        <v>52</v>
      </c>
      <c r="H303" s="104"/>
      <c r="I303" s="94">
        <v>0</v>
      </c>
      <c r="J303" s="94">
        <v>0</v>
      </c>
      <c r="K303" s="94">
        <v>0</v>
      </c>
      <c r="L303" s="94">
        <v>0</v>
      </c>
      <c r="M303" s="94">
        <v>0</v>
      </c>
      <c r="N303" s="94">
        <v>0</v>
      </c>
      <c r="O303" s="94">
        <v>0</v>
      </c>
      <c r="P303" s="94">
        <v>0</v>
      </c>
      <c r="Q303" s="94">
        <v>0</v>
      </c>
      <c r="R303" s="94">
        <v>0</v>
      </c>
      <c r="S303" s="94">
        <v>0</v>
      </c>
      <c r="T303" s="94">
        <v>0</v>
      </c>
      <c r="U303" s="94">
        <v>0</v>
      </c>
      <c r="V303" s="94">
        <v>0</v>
      </c>
      <c r="W303" s="94">
        <v>0</v>
      </c>
      <c r="X303" s="94">
        <v>0</v>
      </c>
      <c r="Y303" s="94">
        <v>0</v>
      </c>
      <c r="Z303" s="94"/>
      <c r="AA303" s="9" t="s">
        <v>691</v>
      </c>
      <c r="AB303" s="9" t="s">
        <v>691</v>
      </c>
      <c r="AC303" s="9" t="s">
        <v>692</v>
      </c>
      <c r="AD303" s="9" t="s">
        <v>692</v>
      </c>
      <c r="AE303" s="12"/>
      <c r="AF303" s="43" t="s">
        <v>693</v>
      </c>
      <c r="AG303" t="str">
        <f>VLOOKUP(OfficeForms.Table[[#This Row],[Nama Proyek]],'Nama Proyek'!$D$2:$G$29,4,0)</f>
        <v>-6.13491053,106.93675986</v>
      </c>
      <c r="AH303" s="5"/>
      <c r="AI303" s="5"/>
      <c r="AJ303" s="5"/>
      <c r="AK303" s="5" t="s">
        <v>694</v>
      </c>
    </row>
    <row r="304" spans="1:37" ht="15" hidden="1" customHeight="1">
      <c r="A304" s="31">
        <v>377</v>
      </c>
      <c r="B304" s="110">
        <v>44883</v>
      </c>
      <c r="C304" s="28">
        <f>B304</f>
        <v>44883</v>
      </c>
      <c r="D304" s="19" t="s">
        <v>37</v>
      </c>
      <c r="E304" s="19" t="s">
        <v>203</v>
      </c>
      <c r="F304" s="5" t="str">
        <f>E304</f>
        <v>BUDI SUGORO</v>
      </c>
      <c r="G304" s="37" t="s">
        <v>76</v>
      </c>
      <c r="H304" s="106">
        <v>44884</v>
      </c>
      <c r="I304" s="96">
        <v>42</v>
      </c>
      <c r="J304" s="96">
        <v>44.6</v>
      </c>
      <c r="K304" s="96">
        <v>0</v>
      </c>
      <c r="L304" s="96">
        <v>40.317</v>
      </c>
      <c r="M304" s="96">
        <v>0</v>
      </c>
      <c r="N304" s="96">
        <v>0</v>
      </c>
      <c r="O304" s="96">
        <v>0</v>
      </c>
      <c r="P304" s="96">
        <v>0</v>
      </c>
      <c r="Q304" s="96">
        <v>0</v>
      </c>
      <c r="R304" s="96">
        <v>0.23100000000000001</v>
      </c>
      <c r="S304" s="96">
        <v>0</v>
      </c>
      <c r="T304" s="96">
        <v>0</v>
      </c>
      <c r="U304" s="96">
        <v>0</v>
      </c>
      <c r="V304" s="96">
        <v>0</v>
      </c>
      <c r="W304" s="96">
        <v>0</v>
      </c>
      <c r="X304" s="96">
        <v>0</v>
      </c>
      <c r="Y304" s="96">
        <v>0</v>
      </c>
      <c r="Z304" s="96"/>
      <c r="AA304" s="19"/>
      <c r="AB304" s="19"/>
      <c r="AC304" s="19"/>
      <c r="AD304" s="19"/>
      <c r="AE304" s="13"/>
      <c r="AF304" s="17"/>
      <c r="AG304" t="str">
        <f>VLOOKUP(OfficeForms.Table[[#This Row],[Nama Proyek]],'Nama Proyek'!$D$2:$G$29,4,0)</f>
        <v>-2.95293103,104.75455094</v>
      </c>
      <c r="AH304" s="5"/>
      <c r="AI304" s="5"/>
      <c r="AJ304" s="5"/>
      <c r="AK304" s="5" t="s">
        <v>695</v>
      </c>
    </row>
    <row r="305" spans="1:37" ht="15" hidden="1" customHeight="1">
      <c r="A305" s="30">
        <v>381</v>
      </c>
      <c r="B305" s="110">
        <v>44883</v>
      </c>
      <c r="C305" s="28">
        <f>B305</f>
        <v>44883</v>
      </c>
      <c r="D305" s="8" t="s">
        <v>37</v>
      </c>
      <c r="E305" s="8" t="s">
        <v>214</v>
      </c>
      <c r="F305" s="5" t="str">
        <f>E305</f>
        <v>BASUKI RAHMAT HAKIM</v>
      </c>
      <c r="G305" s="59" t="s">
        <v>48</v>
      </c>
      <c r="H305" s="106"/>
      <c r="I305" s="95">
        <v>0</v>
      </c>
      <c r="J305" s="95">
        <v>0</v>
      </c>
      <c r="K305" s="95">
        <v>0</v>
      </c>
      <c r="L305" s="95">
        <v>0</v>
      </c>
      <c r="M305" s="95">
        <v>0</v>
      </c>
      <c r="N305" s="95">
        <v>0</v>
      </c>
      <c r="O305" s="95">
        <v>0</v>
      </c>
      <c r="P305" s="95">
        <v>0</v>
      </c>
      <c r="Q305" s="95">
        <v>0</v>
      </c>
      <c r="R305" s="95">
        <v>0</v>
      </c>
      <c r="S305" s="95">
        <v>0</v>
      </c>
      <c r="T305" s="95">
        <v>0</v>
      </c>
      <c r="U305" s="95">
        <v>0</v>
      </c>
      <c r="V305" s="95">
        <v>0</v>
      </c>
      <c r="W305" s="95">
        <v>0</v>
      </c>
      <c r="X305" s="95">
        <v>0</v>
      </c>
      <c r="Y305" s="95">
        <v>0</v>
      </c>
      <c r="Z305" s="95"/>
      <c r="AA305" s="63" t="s">
        <v>696</v>
      </c>
      <c r="AB305" s="8" t="s">
        <v>697</v>
      </c>
      <c r="AC305" s="8" t="s">
        <v>698</v>
      </c>
      <c r="AD305" s="15"/>
      <c r="AE305" s="16"/>
      <c r="AF305" s="40" t="s">
        <v>699</v>
      </c>
      <c r="AG305" t="str">
        <f>VLOOKUP(OfficeForms.Table[[#This Row],[Nama Proyek]],'Nama Proyek'!$D$2:$G$29,4,0)</f>
        <v>3.76047575,115.89977678</v>
      </c>
      <c r="AH305" s="5"/>
      <c r="AI305" s="5"/>
      <c r="AJ305" s="5"/>
      <c r="AK305" s="5" t="s">
        <v>700</v>
      </c>
    </row>
    <row r="306" spans="1:37" ht="15" hidden="1" customHeight="1">
      <c r="A306" s="31">
        <v>382</v>
      </c>
      <c r="B306" s="111">
        <v>44883</v>
      </c>
      <c r="C306" s="29">
        <f>B306</f>
        <v>44883</v>
      </c>
      <c r="D306" s="9" t="s">
        <v>37</v>
      </c>
      <c r="E306" s="9" t="s">
        <v>214</v>
      </c>
      <c r="F306" s="5" t="str">
        <f>E306</f>
        <v>BASUKI RAHMAT HAKIM</v>
      </c>
      <c r="G306" s="59" t="s">
        <v>48</v>
      </c>
      <c r="H306" s="104"/>
      <c r="I306" s="94">
        <v>0</v>
      </c>
      <c r="J306" s="94">
        <v>0</v>
      </c>
      <c r="K306" s="94">
        <v>0</v>
      </c>
      <c r="L306" s="94">
        <v>0</v>
      </c>
      <c r="M306" s="94">
        <v>0</v>
      </c>
      <c r="N306" s="94">
        <v>0</v>
      </c>
      <c r="O306" s="94">
        <v>0</v>
      </c>
      <c r="P306" s="94">
        <v>0</v>
      </c>
      <c r="Q306" s="94">
        <v>0</v>
      </c>
      <c r="R306" s="94">
        <v>0</v>
      </c>
      <c r="S306" s="94">
        <v>0</v>
      </c>
      <c r="T306" s="94">
        <v>0</v>
      </c>
      <c r="U306" s="94">
        <v>0</v>
      </c>
      <c r="V306" s="94">
        <v>0</v>
      </c>
      <c r="W306" s="94">
        <v>0</v>
      </c>
      <c r="X306" s="94">
        <v>0</v>
      </c>
      <c r="Y306" s="94">
        <v>0</v>
      </c>
      <c r="Z306" s="94"/>
      <c r="AA306" s="9"/>
      <c r="AB306" s="9"/>
      <c r="AC306" s="9"/>
      <c r="AD306" s="9"/>
      <c r="AE306" s="12" t="s">
        <v>701</v>
      </c>
      <c r="AF306" s="8" t="s">
        <v>702</v>
      </c>
      <c r="AG306" t="str">
        <f>VLOOKUP(OfficeForms.Table[[#This Row],[Nama Proyek]],'Nama Proyek'!$D$2:$G$29,4,0)</f>
        <v>3.76047575,115.89977678</v>
      </c>
      <c r="AH306" s="5"/>
      <c r="AI306" s="5"/>
      <c r="AJ306" s="5"/>
      <c r="AK306" s="5" t="s">
        <v>703</v>
      </c>
    </row>
    <row r="307" spans="1:37" ht="15" hidden="1" customHeight="1">
      <c r="A307" s="50">
        <v>383</v>
      </c>
      <c r="B307" s="110">
        <v>44883</v>
      </c>
      <c r="C307" s="28">
        <f>B307</f>
        <v>44883</v>
      </c>
      <c r="D307" s="8" t="s">
        <v>37</v>
      </c>
      <c r="E307" s="8" t="s">
        <v>214</v>
      </c>
      <c r="F307" s="5" t="str">
        <f>E307</f>
        <v>BASUKI RAHMAT HAKIM</v>
      </c>
      <c r="G307" s="59" t="s">
        <v>48</v>
      </c>
      <c r="H307" s="106"/>
      <c r="I307" s="95">
        <v>0</v>
      </c>
      <c r="J307" s="95">
        <v>0</v>
      </c>
      <c r="K307" s="95">
        <v>0</v>
      </c>
      <c r="L307" s="95">
        <v>0</v>
      </c>
      <c r="M307" s="95">
        <v>0</v>
      </c>
      <c r="N307" s="95">
        <v>0</v>
      </c>
      <c r="O307" s="95">
        <v>0</v>
      </c>
      <c r="P307" s="95">
        <v>0</v>
      </c>
      <c r="Q307" s="95">
        <v>0</v>
      </c>
      <c r="R307" s="95">
        <v>0</v>
      </c>
      <c r="S307" s="95">
        <v>0</v>
      </c>
      <c r="T307" s="95">
        <v>0</v>
      </c>
      <c r="U307" s="95">
        <v>0</v>
      </c>
      <c r="V307" s="95">
        <v>0</v>
      </c>
      <c r="W307" s="95">
        <v>0</v>
      </c>
      <c r="X307" s="95">
        <v>0</v>
      </c>
      <c r="Y307" s="95">
        <v>0</v>
      </c>
      <c r="Z307" s="95"/>
      <c r="AA307" s="8"/>
      <c r="AB307" s="8"/>
      <c r="AC307" s="8"/>
      <c r="AD307" s="8"/>
      <c r="AE307" s="11">
        <v>44784</v>
      </c>
      <c r="AF307" s="17"/>
      <c r="AG307" t="str">
        <f>VLOOKUP(OfficeForms.Table[[#This Row],[Nama Proyek]],'Nama Proyek'!$D$2:$G$29,4,0)</f>
        <v>3.76047575,115.89977678</v>
      </c>
      <c r="AH307" s="5"/>
      <c r="AI307" s="5"/>
      <c r="AJ307" s="5"/>
      <c r="AK307" s="5" t="s">
        <v>704</v>
      </c>
    </row>
    <row r="308" spans="1:37" ht="15" hidden="1" customHeight="1">
      <c r="A308">
        <v>635</v>
      </c>
      <c r="B308" s="110">
        <v>44883</v>
      </c>
      <c r="C308" s="28">
        <f>B308</f>
        <v>44883</v>
      </c>
      <c r="D308" s="19" t="s">
        <v>37</v>
      </c>
      <c r="E308" s="19" t="s">
        <v>75</v>
      </c>
      <c r="F308" s="5" t="str">
        <f>E308</f>
        <v>Banyu Purwita</v>
      </c>
      <c r="G308" s="34" t="s">
        <v>76</v>
      </c>
      <c r="H308" s="106"/>
      <c r="I308" s="96">
        <v>0</v>
      </c>
      <c r="J308" s="96">
        <v>0</v>
      </c>
      <c r="K308" s="96">
        <v>0</v>
      </c>
      <c r="L308" s="96">
        <v>0</v>
      </c>
      <c r="M308" s="96">
        <v>0</v>
      </c>
      <c r="N308" s="96">
        <v>0</v>
      </c>
      <c r="O308" s="96">
        <v>0</v>
      </c>
      <c r="P308" s="96">
        <v>0</v>
      </c>
      <c r="Q308" s="96">
        <v>0</v>
      </c>
      <c r="R308" s="96">
        <v>0</v>
      </c>
      <c r="S308" s="96">
        <v>0</v>
      </c>
      <c r="T308" s="96">
        <v>0</v>
      </c>
      <c r="U308" s="96">
        <v>0</v>
      </c>
      <c r="V308" s="96">
        <v>0</v>
      </c>
      <c r="W308" s="96">
        <v>0</v>
      </c>
      <c r="X308" s="96">
        <v>0</v>
      </c>
      <c r="Y308" s="96">
        <v>0</v>
      </c>
      <c r="Z308" s="96"/>
      <c r="AA308" s="19" t="s">
        <v>705</v>
      </c>
      <c r="AB308" s="19" t="s">
        <v>705</v>
      </c>
      <c r="AC308" s="19" t="s">
        <v>705</v>
      </c>
      <c r="AD308" s="19" t="s">
        <v>705</v>
      </c>
      <c r="AE308" s="24"/>
      <c r="AF308" s="15"/>
      <c r="AG308" t="str">
        <f>VLOOKUP(OfficeForms.Table[[#This Row],[Nama Proyek]],'Nama Proyek'!$D$2:$G$29,4,0)</f>
        <v>-2.95293103,104.75455094</v>
      </c>
      <c r="AH308" s="5"/>
      <c r="AI308" s="5"/>
      <c r="AJ308" s="5"/>
      <c r="AK308" s="5" t="s">
        <v>706</v>
      </c>
    </row>
    <row r="309" spans="1:37" ht="15" hidden="1" customHeight="1">
      <c r="A309" s="30">
        <v>204</v>
      </c>
      <c r="B309" s="111">
        <v>44887</v>
      </c>
      <c r="C309" s="29">
        <f>B309</f>
        <v>44887</v>
      </c>
      <c r="D309" s="9" t="s">
        <v>37</v>
      </c>
      <c r="E309" s="9" t="s">
        <v>54</v>
      </c>
      <c r="F309" s="5" t="str">
        <f>E309</f>
        <v>Haryo Widiandoko</v>
      </c>
      <c r="G309" s="17" t="s">
        <v>55</v>
      </c>
      <c r="H309" s="104">
        <v>44862</v>
      </c>
      <c r="I309" s="94">
        <v>84.578000000000003</v>
      </c>
      <c r="J309" s="94">
        <v>85.968999999999994</v>
      </c>
      <c r="K309" s="94">
        <v>27.49</v>
      </c>
      <c r="L309" s="94">
        <v>76.97</v>
      </c>
      <c r="M309" s="94">
        <v>84.51</v>
      </c>
      <c r="N309" s="94">
        <v>87.07</v>
      </c>
      <c r="O309" s="94">
        <v>43.52</v>
      </c>
      <c r="P309" s="94">
        <v>68.16</v>
      </c>
      <c r="Q309" s="94">
        <v>83.55</v>
      </c>
      <c r="R309" s="94">
        <v>81.3</v>
      </c>
      <c r="S309" s="94">
        <v>103.41</v>
      </c>
      <c r="T309" s="94">
        <v>0</v>
      </c>
      <c r="U309" s="94">
        <v>31.76</v>
      </c>
      <c r="V309" s="94">
        <v>6.3</v>
      </c>
      <c r="W309" s="94">
        <v>0</v>
      </c>
      <c r="X309" s="94">
        <v>78.489999999999995</v>
      </c>
      <c r="Y309" s="94">
        <v>0</v>
      </c>
      <c r="Z309" s="94"/>
      <c r="AA309" s="9"/>
      <c r="AB309" s="9"/>
      <c r="AC309" s="9"/>
      <c r="AD309" s="9"/>
      <c r="AE309" s="18"/>
      <c r="AF309" s="15"/>
      <c r="AG309" t="str">
        <f>VLOOKUP(OfficeForms.Table[[#This Row],[Nama Proyek]],'Nama Proyek'!$D$2:$G$29,4,0)</f>
        <v>-6.42873464,107.19897003</v>
      </c>
      <c r="AH309" s="5"/>
      <c r="AI309" s="5"/>
      <c r="AJ309" s="5"/>
      <c r="AK309" s="5" t="s">
        <v>707</v>
      </c>
    </row>
    <row r="310" spans="1:37" ht="15" hidden="1" customHeight="1">
      <c r="A310" s="31">
        <v>400</v>
      </c>
      <c r="B310" s="111">
        <v>44887</v>
      </c>
      <c r="C310" s="29">
        <f>B310</f>
        <v>44887</v>
      </c>
      <c r="D310" s="8" t="s">
        <v>37</v>
      </c>
      <c r="E310" s="8" t="s">
        <v>166</v>
      </c>
      <c r="F310" s="5" t="str">
        <f>E310</f>
        <v>Ganis Satria Pratama</v>
      </c>
      <c r="G310" s="17" t="s">
        <v>167</v>
      </c>
      <c r="H310" s="105">
        <v>44878</v>
      </c>
      <c r="I310" s="95">
        <v>90.29</v>
      </c>
      <c r="J310" s="95">
        <v>90.16</v>
      </c>
      <c r="K310" s="95">
        <v>100</v>
      </c>
      <c r="L310" s="95">
        <v>91.08</v>
      </c>
      <c r="M310" s="95">
        <v>0</v>
      </c>
      <c r="N310" s="95">
        <v>99.8</v>
      </c>
      <c r="O310" s="95">
        <v>0</v>
      </c>
      <c r="P310" s="95">
        <v>63.83</v>
      </c>
      <c r="Q310" s="95">
        <v>0</v>
      </c>
      <c r="R310" s="95">
        <v>0</v>
      </c>
      <c r="S310" s="95">
        <v>0</v>
      </c>
      <c r="T310" s="95">
        <v>0</v>
      </c>
      <c r="U310" s="95">
        <v>0</v>
      </c>
      <c r="V310" s="95">
        <v>0</v>
      </c>
      <c r="W310" s="95">
        <v>0</v>
      </c>
      <c r="X310" s="95">
        <v>0</v>
      </c>
      <c r="Y310" s="95">
        <v>0</v>
      </c>
      <c r="Z310" s="95"/>
      <c r="AA310" s="8"/>
      <c r="AB310" s="8"/>
      <c r="AC310" s="8"/>
      <c r="AD310" s="8"/>
      <c r="AE310" s="16"/>
      <c r="AF310" s="42"/>
      <c r="AG310" t="str">
        <f>VLOOKUP(OfficeForms.Table[[#This Row],[Nama Proyek]],'Nama Proyek'!$D$2:$G$29,4,0)</f>
        <v>2.426249030,128.29766314</v>
      </c>
      <c r="AH310" s="5"/>
      <c r="AI310" s="5"/>
      <c r="AJ310" s="5"/>
      <c r="AK310" s="5" t="s">
        <v>708</v>
      </c>
    </row>
    <row r="311" spans="1:37" ht="15" hidden="1" customHeight="1">
      <c r="A311" s="31">
        <v>385</v>
      </c>
      <c r="B311" s="110">
        <v>44887</v>
      </c>
      <c r="C311" s="28">
        <f>B311</f>
        <v>44887</v>
      </c>
      <c r="D311" s="8" t="s">
        <v>37</v>
      </c>
      <c r="E311" s="8" t="s">
        <v>79</v>
      </c>
      <c r="F311" s="5" t="str">
        <f>E311</f>
        <v>Fajar Sodiq Febriansyah</v>
      </c>
      <c r="G311" s="35" t="s">
        <v>80</v>
      </c>
      <c r="H311" s="105">
        <v>44885</v>
      </c>
      <c r="I311" s="95">
        <v>75.073300000000003</v>
      </c>
      <c r="J311" s="95">
        <v>85.683199999999999</v>
      </c>
      <c r="K311" s="95">
        <v>97</v>
      </c>
      <c r="L311" s="95">
        <v>78</v>
      </c>
      <c r="M311" s="95">
        <v>97</v>
      </c>
      <c r="N311" s="95">
        <v>99</v>
      </c>
      <c r="O311" s="95">
        <v>80</v>
      </c>
      <c r="P311" s="95">
        <v>89</v>
      </c>
      <c r="Q311" s="95">
        <v>27</v>
      </c>
      <c r="R311" s="95">
        <v>42</v>
      </c>
      <c r="S311" s="95">
        <v>90</v>
      </c>
      <c r="T311" s="95">
        <v>0</v>
      </c>
      <c r="U311" s="95">
        <v>35</v>
      </c>
      <c r="V311" s="95">
        <v>1</v>
      </c>
      <c r="W311" s="95">
        <v>75</v>
      </c>
      <c r="X311" s="95">
        <v>65</v>
      </c>
      <c r="Y311" s="95">
        <v>4</v>
      </c>
      <c r="Z311" s="95"/>
      <c r="AA311" s="8"/>
      <c r="AB311" s="8"/>
      <c r="AC311" s="8"/>
      <c r="AD311" s="8"/>
      <c r="AE311" s="16"/>
      <c r="AF311" s="17"/>
      <c r="AG311" t="str">
        <f>VLOOKUP(OfficeForms.Table[[#This Row],[Nama Proyek]],'Nama Proyek'!$D$2:$G$29,4,0)</f>
        <v>-7.82225167,113.29968319</v>
      </c>
      <c r="AH311" s="5"/>
      <c r="AI311" s="5"/>
      <c r="AJ311" s="5"/>
      <c r="AK311" s="5" t="s">
        <v>709</v>
      </c>
    </row>
    <row r="312" spans="1:37" ht="15" hidden="1" customHeight="1">
      <c r="A312">
        <v>403</v>
      </c>
      <c r="B312" s="110">
        <v>44887</v>
      </c>
      <c r="C312" s="28">
        <f>B312</f>
        <v>44887</v>
      </c>
      <c r="D312" s="19" t="s">
        <v>37</v>
      </c>
      <c r="E312" s="19" t="s">
        <v>710</v>
      </c>
      <c r="F312" s="5" t="str">
        <f>E312</f>
        <v>Nico Nakmofa</v>
      </c>
      <c r="G312" s="35" t="s">
        <v>80</v>
      </c>
      <c r="H312" s="106">
        <v>44885</v>
      </c>
      <c r="I312" s="96">
        <v>75.073300000000003</v>
      </c>
      <c r="J312" s="96">
        <v>85.683199999999999</v>
      </c>
      <c r="K312" s="96">
        <v>0.41410000000000002</v>
      </c>
      <c r="L312" s="96">
        <v>0.1231</v>
      </c>
      <c r="M312" s="96">
        <v>31.426500000000001</v>
      </c>
      <c r="N312" s="96">
        <v>0.53469999999999995</v>
      </c>
      <c r="O312" s="96">
        <v>2.7643</v>
      </c>
      <c r="P312" s="96">
        <v>0.21229999999999999</v>
      </c>
      <c r="Q312" s="96">
        <v>5.91E-2</v>
      </c>
      <c r="R312" s="96">
        <v>7.2885</v>
      </c>
      <c r="S312" s="96">
        <v>27.6996</v>
      </c>
      <c r="T312" s="96">
        <v>0</v>
      </c>
      <c r="U312" s="96">
        <v>3.6916000000000002</v>
      </c>
      <c r="V312" s="96">
        <v>1.5599999999999999E-2</v>
      </c>
      <c r="W312" s="96">
        <v>0.23219999999999999</v>
      </c>
      <c r="X312" s="96">
        <v>0.16300000000000001</v>
      </c>
      <c r="Y312" s="96">
        <v>2.4799999999999999E-2</v>
      </c>
      <c r="Z312" s="96"/>
      <c r="AA312" s="19"/>
      <c r="AB312" s="19"/>
      <c r="AC312" s="19"/>
      <c r="AD312" s="19"/>
      <c r="AE312" s="24"/>
      <c r="AF312" s="9"/>
      <c r="AG312" t="str">
        <f>VLOOKUP(OfficeForms.Table[[#This Row],[Nama Proyek]],'Nama Proyek'!$D$2:$G$29,4,0)</f>
        <v>-7.82225167,113.29968319</v>
      </c>
      <c r="AH312" s="5"/>
      <c r="AI312" s="5"/>
      <c r="AJ312" s="5"/>
      <c r="AK312" s="5" t="s">
        <v>711</v>
      </c>
    </row>
    <row r="313" spans="1:37" ht="15" hidden="1" customHeight="1">
      <c r="A313" s="50">
        <v>744</v>
      </c>
      <c r="B313" s="111">
        <v>44887</v>
      </c>
      <c r="C313" s="29">
        <f>B313</f>
        <v>44887</v>
      </c>
      <c r="D313" s="9" t="s">
        <v>37</v>
      </c>
      <c r="E313" s="9" t="s">
        <v>64</v>
      </c>
      <c r="F313" s="5" t="str">
        <f>E313</f>
        <v>Nizar Zulkarnain</v>
      </c>
      <c r="G313" s="9" t="s">
        <v>65</v>
      </c>
      <c r="H313" s="104">
        <v>44885</v>
      </c>
      <c r="I313" s="94">
        <v>73.260000000000005</v>
      </c>
      <c r="J313" s="94">
        <v>77.849999999999994</v>
      </c>
      <c r="K313" s="94">
        <v>60.75</v>
      </c>
      <c r="L313" s="94">
        <v>57.51</v>
      </c>
      <c r="M313" s="94">
        <v>81.349999999999994</v>
      </c>
      <c r="N313" s="94">
        <v>83.04</v>
      </c>
      <c r="O313" s="94">
        <v>48.68</v>
      </c>
      <c r="P313" s="94">
        <v>61.07</v>
      </c>
      <c r="Q313" s="94">
        <v>57.18</v>
      </c>
      <c r="R313" s="94">
        <v>55.24</v>
      </c>
      <c r="S313" s="94">
        <v>83</v>
      </c>
      <c r="T313" s="94">
        <v>84.91</v>
      </c>
      <c r="U313" s="94">
        <v>33.69</v>
      </c>
      <c r="V313" s="94">
        <v>18.399999999999999</v>
      </c>
      <c r="W313" s="94">
        <v>0</v>
      </c>
      <c r="X313" s="94">
        <v>98.36</v>
      </c>
      <c r="Y313" s="94">
        <v>41.03</v>
      </c>
      <c r="Z313" s="94"/>
      <c r="AA313" s="9"/>
      <c r="AB313" s="9"/>
      <c r="AC313" s="9"/>
      <c r="AD313" s="9"/>
      <c r="AE313" s="12"/>
      <c r="AF313" s="15"/>
      <c r="AG313" t="str">
        <f>VLOOKUP(OfficeForms.Table[[#This Row],[Nama Proyek]],'Nama Proyek'!$D$2:$G$29,4,0)</f>
        <v>-6.35008011,107.02324233</v>
      </c>
      <c r="AH313" s="5"/>
      <c r="AI313" s="5"/>
      <c r="AJ313" s="5"/>
      <c r="AK313" s="5" t="s">
        <v>712</v>
      </c>
    </row>
    <row r="314" spans="1:37" ht="15" hidden="1" customHeight="1">
      <c r="A314" s="31">
        <v>896</v>
      </c>
      <c r="B314" s="111">
        <v>44887</v>
      </c>
      <c r="C314" s="29">
        <f>B314</f>
        <v>44887</v>
      </c>
      <c r="D314" s="8" t="s">
        <v>37</v>
      </c>
      <c r="E314" s="8" t="s">
        <v>713</v>
      </c>
      <c r="F314" s="5" t="str">
        <f>E314</f>
        <v>Nur Alfan Wisnu H</v>
      </c>
      <c r="G314" s="36" t="s">
        <v>714</v>
      </c>
      <c r="H314" s="105">
        <v>44885</v>
      </c>
      <c r="I314" s="95">
        <v>3.9039999999999999</v>
      </c>
      <c r="J314" s="95">
        <v>6.54</v>
      </c>
      <c r="K314" s="95">
        <v>0</v>
      </c>
      <c r="L314" s="95">
        <v>0</v>
      </c>
      <c r="M314" s="95">
        <v>0.11</v>
      </c>
      <c r="N314" s="95">
        <v>0</v>
      </c>
      <c r="O314" s="95">
        <v>0</v>
      </c>
      <c r="P314" s="95">
        <v>0</v>
      </c>
      <c r="Q314" s="95">
        <v>0</v>
      </c>
      <c r="R314" s="95">
        <v>0</v>
      </c>
      <c r="S314" s="95">
        <v>0</v>
      </c>
      <c r="T314" s="95">
        <v>0</v>
      </c>
      <c r="U314" s="95">
        <v>0</v>
      </c>
      <c r="V314" s="95">
        <v>0</v>
      </c>
      <c r="W314" s="95">
        <v>0</v>
      </c>
      <c r="X314" s="95">
        <v>0</v>
      </c>
      <c r="Y314" s="95">
        <v>0</v>
      </c>
      <c r="Z314" s="95"/>
      <c r="AA314" s="8"/>
      <c r="AB314" s="8"/>
      <c r="AC314" s="8"/>
      <c r="AD314" s="8"/>
      <c r="AE314" s="16"/>
      <c r="AF314" s="15"/>
      <c r="AG314" t="str">
        <f>VLOOKUP(OfficeForms.Table[[#This Row],[Nama Proyek]],'Nama Proyek'!$D$2:$G$29,4,0)</f>
        <v>-0.95259625,116.71704453</v>
      </c>
      <c r="AH314" s="5"/>
      <c r="AI314" s="5"/>
      <c r="AJ314" s="5"/>
      <c r="AK314" s="5" t="s">
        <v>715</v>
      </c>
    </row>
    <row r="315" spans="1:37" ht="15" hidden="1" customHeight="1">
      <c r="A315" s="30">
        <v>396</v>
      </c>
      <c r="B315" s="111">
        <v>44887</v>
      </c>
      <c r="C315" s="29">
        <f>B315</f>
        <v>44887</v>
      </c>
      <c r="D315" s="8" t="s">
        <v>37</v>
      </c>
      <c r="E315" s="8" t="s">
        <v>716</v>
      </c>
      <c r="F315" s="5" t="str">
        <f>E315</f>
        <v>Tri Suseno</v>
      </c>
      <c r="G315" s="15" t="s">
        <v>717</v>
      </c>
      <c r="H315" s="105">
        <v>44887</v>
      </c>
      <c r="I315" s="95">
        <v>91.322000000000003</v>
      </c>
      <c r="J315" s="95">
        <v>99.971000000000004</v>
      </c>
      <c r="K315" s="95">
        <v>0</v>
      </c>
      <c r="L315" s="95">
        <v>0</v>
      </c>
      <c r="M315" s="95">
        <v>2.7010000000000001</v>
      </c>
      <c r="N315" s="95">
        <v>0</v>
      </c>
      <c r="O315" s="95">
        <v>10.239000000000001</v>
      </c>
      <c r="P315" s="95">
        <v>0</v>
      </c>
      <c r="Q315" s="95">
        <v>13.722</v>
      </c>
      <c r="R315" s="95">
        <v>37.473999999999997</v>
      </c>
      <c r="S315" s="95">
        <v>19.681999999999999</v>
      </c>
      <c r="T315" s="95">
        <v>0</v>
      </c>
      <c r="U315" s="95">
        <v>6.5540000000000003</v>
      </c>
      <c r="V315" s="95">
        <v>0</v>
      </c>
      <c r="W315" s="95">
        <v>0</v>
      </c>
      <c r="X315" s="95">
        <v>0</v>
      </c>
      <c r="Y315" s="95">
        <v>0</v>
      </c>
      <c r="Z315" s="95"/>
      <c r="AA315" s="8"/>
      <c r="AB315" s="8"/>
      <c r="AC315" s="8"/>
      <c r="AD315" s="8"/>
      <c r="AE315" s="16"/>
      <c r="AF315" s="48" t="s">
        <v>718</v>
      </c>
      <c r="AG315" t="str">
        <f>VLOOKUP(OfficeForms.Table[[#This Row],[Nama Proyek]],'Nama Proyek'!$D$2:$G$29,4,0)</f>
        <v>3.76271056,115.88262689</v>
      </c>
      <c r="AH315" s="5"/>
      <c r="AI315" s="5"/>
      <c r="AJ315" s="5"/>
      <c r="AK315" s="5" t="s">
        <v>719</v>
      </c>
    </row>
    <row r="316" spans="1:37" ht="15" hidden="1" customHeight="1">
      <c r="A316" s="31">
        <v>784</v>
      </c>
      <c r="B316" s="111">
        <v>44887</v>
      </c>
      <c r="C316" s="29">
        <f>B316</f>
        <v>44887</v>
      </c>
      <c r="D316" s="8" t="s">
        <v>37</v>
      </c>
      <c r="E316" s="8" t="s">
        <v>64</v>
      </c>
      <c r="F316" s="5" t="str">
        <f>E316</f>
        <v>Nizar Zulkarnain</v>
      </c>
      <c r="G316" s="17" t="s">
        <v>65</v>
      </c>
      <c r="H316" s="105">
        <v>44887</v>
      </c>
      <c r="I316" s="95">
        <v>73.260000000000005</v>
      </c>
      <c r="J316" s="95">
        <v>77.849999999999994</v>
      </c>
      <c r="K316" s="95">
        <v>24.7</v>
      </c>
      <c r="L316" s="95">
        <v>75.5</v>
      </c>
      <c r="M316" s="95">
        <v>0</v>
      </c>
      <c r="N316" s="95">
        <v>0</v>
      </c>
      <c r="O316" s="95">
        <v>0</v>
      </c>
      <c r="P316" s="95">
        <v>0</v>
      </c>
      <c r="Q316" s="95">
        <v>0</v>
      </c>
      <c r="R316" s="95">
        <v>0</v>
      </c>
      <c r="S316" s="95">
        <v>0</v>
      </c>
      <c r="T316" s="95">
        <v>0</v>
      </c>
      <c r="U316" s="95">
        <v>0</v>
      </c>
      <c r="V316" s="95">
        <v>0</v>
      </c>
      <c r="W316" s="95">
        <v>0</v>
      </c>
      <c r="X316" s="95">
        <v>0</v>
      </c>
      <c r="Y316" s="95">
        <v>0</v>
      </c>
      <c r="Z316" s="95"/>
      <c r="AA316" s="8"/>
      <c r="AB316" s="8"/>
      <c r="AC316" s="8"/>
      <c r="AD316" s="8"/>
      <c r="AE316" s="16"/>
      <c r="AF316" s="15"/>
      <c r="AG316" t="str">
        <f>VLOOKUP(OfficeForms.Table[[#This Row],[Nama Proyek]],'Nama Proyek'!$D$2:$G$29,4,0)</f>
        <v>-6.35008011,107.02324233</v>
      </c>
      <c r="AH316" s="5"/>
      <c r="AI316" s="5"/>
      <c r="AJ316" s="5"/>
      <c r="AK316" s="5" t="s">
        <v>720</v>
      </c>
    </row>
    <row r="317" spans="1:37" ht="15" hidden="1" customHeight="1">
      <c r="A317" s="50">
        <v>979</v>
      </c>
      <c r="B317" s="110">
        <v>44887</v>
      </c>
      <c r="C317" s="28">
        <f>B317</f>
        <v>44887</v>
      </c>
      <c r="D317" s="19" t="s">
        <v>37</v>
      </c>
      <c r="E317" s="19" t="s">
        <v>504</v>
      </c>
      <c r="F317" s="5" t="str">
        <f>E317</f>
        <v>Fathan Zul Waskito</v>
      </c>
      <c r="G317" s="42" t="s">
        <v>472</v>
      </c>
      <c r="H317" s="106">
        <v>44887</v>
      </c>
      <c r="I317" s="96">
        <v>44.435000000000002</v>
      </c>
      <c r="J317" s="96">
        <v>41.701000000000001</v>
      </c>
      <c r="K317" s="96">
        <v>0.34599999999999997</v>
      </c>
      <c r="L317" s="96">
        <v>41.756999999999998</v>
      </c>
      <c r="M317" s="96">
        <v>0</v>
      </c>
      <c r="N317" s="96">
        <v>0</v>
      </c>
      <c r="O317" s="96">
        <v>0</v>
      </c>
      <c r="P317" s="96">
        <v>1.0489999999999999</v>
      </c>
      <c r="Q317" s="96">
        <v>0</v>
      </c>
      <c r="R317" s="96">
        <v>0</v>
      </c>
      <c r="S317" s="96">
        <v>0</v>
      </c>
      <c r="T317" s="96">
        <v>0</v>
      </c>
      <c r="U317" s="96">
        <v>0</v>
      </c>
      <c r="V317" s="96">
        <v>0</v>
      </c>
      <c r="W317" s="96">
        <v>0</v>
      </c>
      <c r="X317" s="96">
        <v>0</v>
      </c>
      <c r="Y317" s="96">
        <v>0</v>
      </c>
      <c r="Z317" s="96"/>
      <c r="AA317" s="19"/>
      <c r="AB317" s="19"/>
      <c r="AC317" s="19"/>
      <c r="AD317" s="19"/>
      <c r="AE317" s="24"/>
      <c r="AF317" s="8"/>
      <c r="AG317" t="str">
        <f>VLOOKUP(OfficeForms.Table[[#This Row],[Nama Proyek]],'Nama Proyek'!$D$2:$G$29,4,0)</f>
        <v>-8.29394978,112.00545006</v>
      </c>
      <c r="AH317" s="5"/>
      <c r="AI317" s="5"/>
      <c r="AJ317" s="5"/>
      <c r="AK317" s="5" t="s">
        <v>721</v>
      </c>
    </row>
    <row r="318" spans="1:37" ht="15" hidden="1" customHeight="1">
      <c r="A318">
        <v>223</v>
      </c>
      <c r="B318" s="110">
        <v>44887</v>
      </c>
      <c r="C318" s="28">
        <f>B318</f>
        <v>44887</v>
      </c>
      <c r="D318" s="19" t="s">
        <v>37</v>
      </c>
      <c r="E318" s="19" t="s">
        <v>64</v>
      </c>
      <c r="F318" s="5" t="str">
        <f>E318</f>
        <v>Nizar Zulkarnain</v>
      </c>
      <c r="G318" s="19" t="s">
        <v>65</v>
      </c>
      <c r="H318" s="106"/>
      <c r="I318" s="96">
        <v>0</v>
      </c>
      <c r="J318" s="96">
        <v>0</v>
      </c>
      <c r="K318" s="96">
        <v>0</v>
      </c>
      <c r="L318" s="96">
        <v>0</v>
      </c>
      <c r="M318" s="96">
        <v>0</v>
      </c>
      <c r="N318" s="96">
        <v>0</v>
      </c>
      <c r="O318" s="96">
        <v>0</v>
      </c>
      <c r="P318" s="96">
        <v>0</v>
      </c>
      <c r="Q318" s="96">
        <v>0</v>
      </c>
      <c r="R318" s="96">
        <v>0</v>
      </c>
      <c r="S318" s="96">
        <v>0</v>
      </c>
      <c r="T318" s="96">
        <v>0</v>
      </c>
      <c r="U318" s="96">
        <v>0</v>
      </c>
      <c r="V318" s="96">
        <v>0</v>
      </c>
      <c r="W318" s="96">
        <v>0</v>
      </c>
      <c r="X318" s="96">
        <v>0</v>
      </c>
      <c r="Y318" s="96">
        <v>0</v>
      </c>
      <c r="Z318" s="96"/>
      <c r="AA318" s="19"/>
      <c r="AB318" s="19"/>
      <c r="AC318" s="19"/>
      <c r="AD318" s="19"/>
      <c r="AE318" s="13" t="s">
        <v>722</v>
      </c>
      <c r="AF318" s="9"/>
      <c r="AG318" t="str">
        <f>VLOOKUP(OfficeForms.Table[[#This Row],[Nama Proyek]],'Nama Proyek'!$D$2:$G$29,4,0)</f>
        <v>-6.35008011,107.02324233</v>
      </c>
      <c r="AH318" s="5"/>
      <c r="AI318" s="5"/>
      <c r="AJ318" s="5"/>
      <c r="AK318" s="5" t="s">
        <v>723</v>
      </c>
    </row>
    <row r="319" spans="1:37" ht="15" hidden="1" customHeight="1">
      <c r="A319" s="31">
        <v>224</v>
      </c>
      <c r="B319" s="111">
        <v>44887</v>
      </c>
      <c r="C319" s="29">
        <f>B319</f>
        <v>44887</v>
      </c>
      <c r="D319" s="9" t="s">
        <v>37</v>
      </c>
      <c r="E319" s="9" t="s">
        <v>724</v>
      </c>
      <c r="F319" s="5" t="str">
        <f>E319</f>
        <v>Fikri Rifki Ghiffari</v>
      </c>
      <c r="G319" s="9" t="s">
        <v>65</v>
      </c>
      <c r="H319" s="104"/>
      <c r="I319" s="94">
        <v>0</v>
      </c>
      <c r="J319" s="94">
        <v>0</v>
      </c>
      <c r="K319" s="94">
        <v>0</v>
      </c>
      <c r="L319" s="94">
        <v>0</v>
      </c>
      <c r="M319" s="94">
        <v>0</v>
      </c>
      <c r="N319" s="94">
        <v>0</v>
      </c>
      <c r="O319" s="94">
        <v>0</v>
      </c>
      <c r="P319" s="94">
        <v>0</v>
      </c>
      <c r="Q319" s="94">
        <v>0</v>
      </c>
      <c r="R319" s="94">
        <v>0</v>
      </c>
      <c r="S319" s="94">
        <v>0</v>
      </c>
      <c r="T319" s="94">
        <v>0</v>
      </c>
      <c r="U319" s="94">
        <v>0</v>
      </c>
      <c r="V319" s="94">
        <v>0</v>
      </c>
      <c r="W319" s="94">
        <v>0</v>
      </c>
      <c r="X319" s="94">
        <v>0</v>
      </c>
      <c r="Y319" s="94">
        <v>0</v>
      </c>
      <c r="Z319" s="94"/>
      <c r="AA319" s="9" t="s">
        <v>725</v>
      </c>
      <c r="AB319" s="9"/>
      <c r="AC319" s="9" t="s">
        <v>726</v>
      </c>
      <c r="AD319" s="9"/>
      <c r="AE319" s="12"/>
      <c r="AF319" s="25" t="s">
        <v>727</v>
      </c>
      <c r="AG319" t="str">
        <f>VLOOKUP(OfficeForms.Table[[#This Row],[Nama Proyek]],'Nama Proyek'!$D$2:$G$29,4,0)</f>
        <v>-6.35008011,107.02324233</v>
      </c>
      <c r="AH319" s="5"/>
      <c r="AI319" s="5"/>
      <c r="AJ319" s="5"/>
      <c r="AK319" s="5" t="s">
        <v>728</v>
      </c>
    </row>
    <row r="320" spans="1:37" ht="15" hidden="1" customHeight="1">
      <c r="A320" s="31">
        <v>333</v>
      </c>
      <c r="B320" s="110">
        <v>44887</v>
      </c>
      <c r="C320" s="28">
        <f>B320</f>
        <v>44887</v>
      </c>
      <c r="D320" s="19" t="s">
        <v>37</v>
      </c>
      <c r="E320" s="19" t="s">
        <v>51</v>
      </c>
      <c r="F320" s="5" t="str">
        <f>E320</f>
        <v>Riezky Ibnu Prasetyo</v>
      </c>
      <c r="G320" s="8" t="s">
        <v>52</v>
      </c>
      <c r="H320" s="106"/>
      <c r="I320" s="96">
        <v>0</v>
      </c>
      <c r="J320" s="96">
        <v>0</v>
      </c>
      <c r="K320" s="96">
        <v>0</v>
      </c>
      <c r="L320" s="96">
        <v>0</v>
      </c>
      <c r="M320" s="96">
        <v>0</v>
      </c>
      <c r="N320" s="96">
        <v>0</v>
      </c>
      <c r="O320" s="96">
        <v>0</v>
      </c>
      <c r="P320" s="96">
        <v>0</v>
      </c>
      <c r="Q320" s="96">
        <v>0</v>
      </c>
      <c r="R320" s="96">
        <v>0</v>
      </c>
      <c r="S320" s="96">
        <v>0</v>
      </c>
      <c r="T320" s="96">
        <v>0</v>
      </c>
      <c r="U320" s="96">
        <v>0</v>
      </c>
      <c r="V320" s="96">
        <v>0</v>
      </c>
      <c r="W320" s="96">
        <v>0</v>
      </c>
      <c r="X320" s="96">
        <v>0</v>
      </c>
      <c r="Y320" s="96">
        <v>0</v>
      </c>
      <c r="Z320" s="96"/>
      <c r="AA320" s="19" t="s">
        <v>729</v>
      </c>
      <c r="AB320" s="19" t="s">
        <v>729</v>
      </c>
      <c r="AC320" s="19" t="s">
        <v>730</v>
      </c>
      <c r="AD320" s="19"/>
      <c r="AE320" s="13"/>
      <c r="AF320" s="9"/>
      <c r="AG320" t="str">
        <f>VLOOKUP(OfficeForms.Table[[#This Row],[Nama Proyek]],'Nama Proyek'!$D$2:$G$29,4,0)</f>
        <v>-6.13491053,106.93675986</v>
      </c>
      <c r="AH320" s="5"/>
      <c r="AI320" s="5"/>
      <c r="AJ320" s="5"/>
      <c r="AK320" s="5" t="s">
        <v>731</v>
      </c>
    </row>
    <row r="321" spans="1:37" ht="15" hidden="1" customHeight="1">
      <c r="A321" s="31">
        <v>389</v>
      </c>
      <c r="B321" s="110">
        <v>44887</v>
      </c>
      <c r="C321" s="28">
        <f>B321</f>
        <v>44887</v>
      </c>
      <c r="D321" s="8" t="s">
        <v>37</v>
      </c>
      <c r="E321" s="8" t="s">
        <v>79</v>
      </c>
      <c r="F321" s="5" t="str">
        <f>E321</f>
        <v>Fajar Sodiq Febriansyah</v>
      </c>
      <c r="G321" s="38" t="s">
        <v>80</v>
      </c>
      <c r="H321" s="106"/>
      <c r="I321" s="95">
        <v>0</v>
      </c>
      <c r="J321" s="95">
        <v>0</v>
      </c>
      <c r="K321" s="95">
        <v>0</v>
      </c>
      <c r="L321" s="95">
        <v>0</v>
      </c>
      <c r="M321" s="95">
        <v>0</v>
      </c>
      <c r="N321" s="95">
        <v>0</v>
      </c>
      <c r="O321" s="95">
        <v>0</v>
      </c>
      <c r="P321" s="95">
        <v>0</v>
      </c>
      <c r="Q321" s="95">
        <v>0</v>
      </c>
      <c r="R321" s="95">
        <v>0</v>
      </c>
      <c r="S321" s="95">
        <v>0</v>
      </c>
      <c r="T321" s="95">
        <v>0</v>
      </c>
      <c r="U321" s="95">
        <v>0</v>
      </c>
      <c r="V321" s="95">
        <v>0</v>
      </c>
      <c r="W321" s="95">
        <v>0</v>
      </c>
      <c r="X321" s="95">
        <v>0</v>
      </c>
      <c r="Y321" s="95">
        <v>0</v>
      </c>
      <c r="Z321" s="95"/>
      <c r="AA321" s="8" t="s">
        <v>421</v>
      </c>
      <c r="AB321" s="8" t="s">
        <v>261</v>
      </c>
      <c r="AC321" s="8" t="s">
        <v>422</v>
      </c>
      <c r="AD321" s="8" t="s">
        <v>423</v>
      </c>
      <c r="AE321" s="11"/>
      <c r="AF321" s="40" t="s">
        <v>732</v>
      </c>
      <c r="AG321" t="str">
        <f>VLOOKUP(OfficeForms.Table[[#This Row],[Nama Proyek]],'Nama Proyek'!$D$2:$G$29,4,0)</f>
        <v>-7.82225167,113.29968319</v>
      </c>
      <c r="AH321" s="5"/>
      <c r="AI321" s="5"/>
      <c r="AJ321" s="5"/>
      <c r="AK321" s="5" t="s">
        <v>733</v>
      </c>
    </row>
    <row r="322" spans="1:37" ht="15" hidden="1" customHeight="1">
      <c r="A322" s="50">
        <v>391</v>
      </c>
      <c r="B322" s="110">
        <v>44887</v>
      </c>
      <c r="C322" s="28">
        <f>B322</f>
        <v>44887</v>
      </c>
      <c r="D322" s="8" t="s">
        <v>37</v>
      </c>
      <c r="E322" s="8" t="s">
        <v>734</v>
      </c>
      <c r="F322" s="5" t="str">
        <f>E322</f>
        <v>Aldian Winata</v>
      </c>
      <c r="G322" s="8" t="s">
        <v>735</v>
      </c>
      <c r="H322" s="106"/>
      <c r="I322" s="95">
        <v>0</v>
      </c>
      <c r="J322" s="95">
        <v>0</v>
      </c>
      <c r="K322" s="95">
        <v>0</v>
      </c>
      <c r="L322" s="95">
        <v>0</v>
      </c>
      <c r="M322" s="95">
        <v>0</v>
      </c>
      <c r="N322" s="95">
        <v>0</v>
      </c>
      <c r="O322" s="95">
        <v>0</v>
      </c>
      <c r="P322" s="95">
        <v>0</v>
      </c>
      <c r="Q322" s="95">
        <v>0</v>
      </c>
      <c r="R322" s="95">
        <v>0</v>
      </c>
      <c r="S322" s="95">
        <v>0</v>
      </c>
      <c r="T322" s="95">
        <v>0</v>
      </c>
      <c r="U322" s="95">
        <v>0</v>
      </c>
      <c r="V322" s="95">
        <v>0</v>
      </c>
      <c r="W322" s="95">
        <v>0</v>
      </c>
      <c r="X322" s="95">
        <v>0</v>
      </c>
      <c r="Y322" s="95">
        <v>0</v>
      </c>
      <c r="Z322" s="95"/>
      <c r="AA322" s="8"/>
      <c r="AB322" s="8"/>
      <c r="AC322" s="8"/>
      <c r="AD322" s="8"/>
      <c r="AE322" s="11">
        <v>44570</v>
      </c>
      <c r="AF322" s="17"/>
      <c r="AG322" t="str">
        <f>VLOOKUP(OfficeForms.Table[[#This Row],[Nama Proyek]],'Nama Proyek'!$D$2:$G$40,4,0)</f>
        <v>-0.88562397,119.85928375</v>
      </c>
      <c r="AH322" s="5"/>
      <c r="AI322" s="5"/>
      <c r="AJ322" s="5"/>
      <c r="AK322" s="5" t="s">
        <v>736</v>
      </c>
    </row>
    <row r="323" spans="1:37" ht="15" hidden="1" customHeight="1">
      <c r="A323" s="50">
        <v>401</v>
      </c>
      <c r="B323" s="110">
        <v>44887</v>
      </c>
      <c r="C323" s="28">
        <f>B323</f>
        <v>44887</v>
      </c>
      <c r="D323" s="19" t="s">
        <v>37</v>
      </c>
      <c r="E323" s="19" t="s">
        <v>734</v>
      </c>
      <c r="F323" s="5" t="str">
        <f>E323</f>
        <v>Aldian Winata</v>
      </c>
      <c r="G323" s="19" t="s">
        <v>735</v>
      </c>
      <c r="H323" s="106"/>
      <c r="I323" s="96">
        <v>0</v>
      </c>
      <c r="J323" s="96">
        <v>0</v>
      </c>
      <c r="K323" s="96">
        <v>0</v>
      </c>
      <c r="L323" s="96">
        <v>0</v>
      </c>
      <c r="M323" s="96">
        <v>0</v>
      </c>
      <c r="N323" s="96">
        <v>0</v>
      </c>
      <c r="O323" s="96">
        <v>0</v>
      </c>
      <c r="P323" s="96">
        <v>0</v>
      </c>
      <c r="Q323" s="96">
        <v>0</v>
      </c>
      <c r="R323" s="96">
        <v>0</v>
      </c>
      <c r="S323" s="96">
        <v>0</v>
      </c>
      <c r="T323" s="96">
        <v>0</v>
      </c>
      <c r="U323" s="96">
        <v>0</v>
      </c>
      <c r="V323" s="96">
        <v>0</v>
      </c>
      <c r="W323" s="96">
        <v>0</v>
      </c>
      <c r="X323" s="96">
        <v>0</v>
      </c>
      <c r="Y323" s="96">
        <v>0</v>
      </c>
      <c r="Z323" s="96"/>
      <c r="AA323" s="19" t="s">
        <v>737</v>
      </c>
      <c r="AB323" s="19" t="s">
        <v>738</v>
      </c>
      <c r="AC323" s="19" t="s">
        <v>739</v>
      </c>
      <c r="AD323" s="19"/>
      <c r="AE323" s="24"/>
      <c r="AF323" s="41" t="s">
        <v>740</v>
      </c>
      <c r="AG323" t="str">
        <f>VLOOKUP(OfficeForms.Table[[#This Row],[Nama Proyek]],'Nama Proyek'!$D$2:$G$40,4,0)</f>
        <v>-0.88562397,119.85928375</v>
      </c>
      <c r="AH323" s="5"/>
      <c r="AI323" s="5"/>
      <c r="AJ323" s="5"/>
      <c r="AK323" s="5" t="s">
        <v>741</v>
      </c>
    </row>
    <row r="324" spans="1:37" ht="15" hidden="1" customHeight="1">
      <c r="A324" s="31">
        <v>402</v>
      </c>
      <c r="B324" s="111">
        <v>44887</v>
      </c>
      <c r="C324" s="29">
        <f>B324</f>
        <v>44887</v>
      </c>
      <c r="D324" s="8" t="s">
        <v>37</v>
      </c>
      <c r="E324" s="8" t="s">
        <v>716</v>
      </c>
      <c r="F324" s="5" t="str">
        <f>E324</f>
        <v>Tri Suseno</v>
      </c>
      <c r="G324" s="8" t="s">
        <v>717</v>
      </c>
      <c r="H324" s="104"/>
      <c r="I324" s="95">
        <v>0</v>
      </c>
      <c r="J324" s="95">
        <v>0</v>
      </c>
      <c r="K324" s="95">
        <v>0</v>
      </c>
      <c r="L324" s="95">
        <v>0</v>
      </c>
      <c r="M324" s="95">
        <v>0</v>
      </c>
      <c r="N324" s="95">
        <v>0</v>
      </c>
      <c r="O324" s="95">
        <v>0</v>
      </c>
      <c r="P324" s="95">
        <v>0</v>
      </c>
      <c r="Q324" s="95">
        <v>0</v>
      </c>
      <c r="R324" s="95">
        <v>0</v>
      </c>
      <c r="S324" s="95">
        <v>0</v>
      </c>
      <c r="T324" s="95">
        <v>0</v>
      </c>
      <c r="U324" s="95">
        <v>0</v>
      </c>
      <c r="V324" s="95">
        <v>0</v>
      </c>
      <c r="W324" s="95">
        <v>0</v>
      </c>
      <c r="X324" s="95">
        <v>0</v>
      </c>
      <c r="Y324" s="95">
        <v>0</v>
      </c>
      <c r="Z324" s="95"/>
      <c r="AA324" s="8"/>
      <c r="AB324" s="8"/>
      <c r="AC324" s="8"/>
      <c r="AD324" s="8"/>
      <c r="AE324" s="11" t="s">
        <v>742</v>
      </c>
      <c r="AF324" s="42"/>
      <c r="AG324" t="str">
        <f>VLOOKUP(OfficeForms.Table[[#This Row],[Nama Proyek]],'Nama Proyek'!$D$2:$G$29,4,0)</f>
        <v>3.76271056,115.88262689</v>
      </c>
      <c r="AH324" s="5"/>
      <c r="AI324" s="5"/>
      <c r="AJ324" s="5"/>
      <c r="AK324" s="5" t="s">
        <v>743</v>
      </c>
    </row>
    <row r="325" spans="1:37" ht="15" hidden="1" customHeight="1">
      <c r="A325" s="50">
        <v>480</v>
      </c>
      <c r="B325" s="111">
        <v>44887</v>
      </c>
      <c r="C325" s="29">
        <f>B325</f>
        <v>44887</v>
      </c>
      <c r="D325" s="9" t="s">
        <v>37</v>
      </c>
      <c r="E325" s="9" t="s">
        <v>54</v>
      </c>
      <c r="F325" s="5" t="str">
        <f>E325</f>
        <v>Haryo Widiandoko</v>
      </c>
      <c r="G325" s="9" t="s">
        <v>55</v>
      </c>
      <c r="H325" s="104"/>
      <c r="I325" s="94">
        <v>0</v>
      </c>
      <c r="J325" s="94">
        <v>0</v>
      </c>
      <c r="K325" s="94">
        <v>0</v>
      </c>
      <c r="L325" s="94">
        <v>0</v>
      </c>
      <c r="M325" s="94">
        <v>0</v>
      </c>
      <c r="N325" s="94">
        <v>0</v>
      </c>
      <c r="O325" s="94">
        <v>0</v>
      </c>
      <c r="P325" s="94">
        <v>0</v>
      </c>
      <c r="Q325" s="94">
        <v>0</v>
      </c>
      <c r="R325" s="94">
        <v>0</v>
      </c>
      <c r="S325" s="94">
        <v>0</v>
      </c>
      <c r="T325" s="94">
        <v>0</v>
      </c>
      <c r="U325" s="94">
        <v>0</v>
      </c>
      <c r="V325" s="94">
        <v>0</v>
      </c>
      <c r="W325" s="94">
        <v>0</v>
      </c>
      <c r="X325" s="94">
        <v>0</v>
      </c>
      <c r="Y325" s="94">
        <v>0</v>
      </c>
      <c r="Z325" s="94"/>
      <c r="AA325" s="9"/>
      <c r="AB325" s="9"/>
      <c r="AC325" s="9"/>
      <c r="AD325" s="9"/>
      <c r="AE325" s="18">
        <v>44723</v>
      </c>
      <c r="AF325" s="19"/>
      <c r="AG325" t="str">
        <f>VLOOKUP(OfficeForms.Table[[#This Row],[Nama Proyek]],'Nama Proyek'!$D$2:$G$29,4,0)</f>
        <v>-6.42873464,107.19897003</v>
      </c>
      <c r="AH325" s="5"/>
      <c r="AI325" s="5"/>
      <c r="AJ325" s="5"/>
      <c r="AK325" s="5" t="s">
        <v>744</v>
      </c>
    </row>
    <row r="326" spans="1:37" ht="15" hidden="1" customHeight="1">
      <c r="A326" s="50">
        <v>486</v>
      </c>
      <c r="B326" s="111">
        <v>44887</v>
      </c>
      <c r="C326" s="29">
        <f>B326</f>
        <v>44887</v>
      </c>
      <c r="D326" s="9" t="s">
        <v>37</v>
      </c>
      <c r="E326" s="9" t="s">
        <v>54</v>
      </c>
      <c r="F326" s="5" t="str">
        <f>E326</f>
        <v>Haryo Widiandoko</v>
      </c>
      <c r="G326" s="9" t="s">
        <v>55</v>
      </c>
      <c r="H326" s="104"/>
      <c r="I326" s="94">
        <v>0</v>
      </c>
      <c r="J326" s="94">
        <v>0</v>
      </c>
      <c r="K326" s="94">
        <v>0</v>
      </c>
      <c r="L326" s="94">
        <v>0</v>
      </c>
      <c r="M326" s="94">
        <v>0</v>
      </c>
      <c r="N326" s="94">
        <v>0</v>
      </c>
      <c r="O326" s="94">
        <v>0</v>
      </c>
      <c r="P326" s="94">
        <v>0</v>
      </c>
      <c r="Q326" s="94">
        <v>0</v>
      </c>
      <c r="R326" s="94">
        <v>0</v>
      </c>
      <c r="S326" s="94">
        <v>0</v>
      </c>
      <c r="T326" s="94">
        <v>0</v>
      </c>
      <c r="U326" s="94">
        <v>0</v>
      </c>
      <c r="V326" s="94">
        <v>0</v>
      </c>
      <c r="W326" s="94">
        <v>0</v>
      </c>
      <c r="X326" s="94">
        <v>0</v>
      </c>
      <c r="Y326" s="94">
        <v>0</v>
      </c>
      <c r="Z326" s="94"/>
      <c r="AA326" s="9"/>
      <c r="AB326" s="9"/>
      <c r="AC326" s="9"/>
      <c r="AD326" s="9"/>
      <c r="AE326" s="12">
        <v>44723</v>
      </c>
      <c r="AF326" s="8" t="s">
        <v>606</v>
      </c>
      <c r="AG326" t="str">
        <f>VLOOKUP(OfficeForms.Table[[#This Row],[Nama Proyek]],'Nama Proyek'!$D$2:$G$29,4,0)</f>
        <v>-6.42873464,107.19897003</v>
      </c>
      <c r="AH326" s="5"/>
      <c r="AI326" s="5"/>
      <c r="AJ326" s="5"/>
      <c r="AK326" s="5" t="s">
        <v>745</v>
      </c>
    </row>
    <row r="327" spans="1:37" ht="15" hidden="1" customHeight="1">
      <c r="A327" s="31">
        <v>550</v>
      </c>
      <c r="B327" s="111">
        <v>44887</v>
      </c>
      <c r="C327" s="29">
        <f>B327</f>
        <v>44887</v>
      </c>
      <c r="D327" s="9" t="s">
        <v>37</v>
      </c>
      <c r="E327" s="9" t="s">
        <v>54</v>
      </c>
      <c r="F327" s="5" t="str">
        <f>E327</f>
        <v>Haryo Widiandoko</v>
      </c>
      <c r="G327" s="17" t="s">
        <v>55</v>
      </c>
      <c r="H327" s="104"/>
      <c r="I327" s="94">
        <v>0</v>
      </c>
      <c r="J327" s="94">
        <v>0</v>
      </c>
      <c r="K327" s="94">
        <v>0</v>
      </c>
      <c r="L327" s="94">
        <v>0</v>
      </c>
      <c r="M327" s="94">
        <v>0</v>
      </c>
      <c r="N327" s="94">
        <v>0</v>
      </c>
      <c r="O327" s="94">
        <v>0</v>
      </c>
      <c r="P327" s="94">
        <v>0</v>
      </c>
      <c r="Q327" s="94">
        <v>0</v>
      </c>
      <c r="R327" s="94">
        <v>0</v>
      </c>
      <c r="S327" s="94">
        <v>0</v>
      </c>
      <c r="T327" s="94">
        <v>0</v>
      </c>
      <c r="U327" s="94">
        <v>0</v>
      </c>
      <c r="V327" s="94">
        <v>0</v>
      </c>
      <c r="W327" s="94">
        <v>0</v>
      </c>
      <c r="X327" s="94">
        <v>0</v>
      </c>
      <c r="Y327" s="94">
        <v>0</v>
      </c>
      <c r="Z327" s="94"/>
      <c r="AA327" s="9"/>
      <c r="AB327" s="9"/>
      <c r="AC327" s="9"/>
      <c r="AD327" s="9"/>
      <c r="AE327" s="12">
        <v>44723</v>
      </c>
      <c r="AF327" s="8"/>
      <c r="AG327" t="str">
        <f>VLOOKUP(OfficeForms.Table[[#This Row],[Nama Proyek]],'Nama Proyek'!$D$2:$G$29,4,0)</f>
        <v>-6.42873464,107.19897003</v>
      </c>
      <c r="AH327" s="5"/>
      <c r="AI327" s="5"/>
      <c r="AJ327" s="5"/>
      <c r="AK327" s="5" t="s">
        <v>746</v>
      </c>
    </row>
    <row r="328" spans="1:37" ht="15" hidden="1" customHeight="1">
      <c r="A328" s="30">
        <v>552</v>
      </c>
      <c r="B328" s="111">
        <v>44887</v>
      </c>
      <c r="C328" s="29">
        <f>B328</f>
        <v>44887</v>
      </c>
      <c r="D328" s="9" t="s">
        <v>37</v>
      </c>
      <c r="E328" s="9" t="s">
        <v>54</v>
      </c>
      <c r="F328" s="5" t="str">
        <f>E328</f>
        <v>Haryo Widiandoko</v>
      </c>
      <c r="G328" s="17" t="s">
        <v>55</v>
      </c>
      <c r="H328" s="104"/>
      <c r="I328" s="94">
        <v>0</v>
      </c>
      <c r="J328" s="94">
        <v>0</v>
      </c>
      <c r="K328" s="94">
        <v>0</v>
      </c>
      <c r="L328" s="94">
        <v>0</v>
      </c>
      <c r="M328" s="94">
        <v>0</v>
      </c>
      <c r="N328" s="94">
        <v>0</v>
      </c>
      <c r="O328" s="94">
        <v>0</v>
      </c>
      <c r="P328" s="94">
        <v>0</v>
      </c>
      <c r="Q328" s="94">
        <v>0</v>
      </c>
      <c r="R328" s="94">
        <v>0</v>
      </c>
      <c r="S328" s="94">
        <v>0</v>
      </c>
      <c r="T328" s="94">
        <v>0</v>
      </c>
      <c r="U328" s="94">
        <v>0</v>
      </c>
      <c r="V328" s="94">
        <v>0</v>
      </c>
      <c r="W328" s="94">
        <v>0</v>
      </c>
      <c r="X328" s="94">
        <v>0</v>
      </c>
      <c r="Y328" s="94">
        <v>0</v>
      </c>
      <c r="Z328" s="94"/>
      <c r="AA328" s="9"/>
      <c r="AB328" s="9"/>
      <c r="AC328" s="9"/>
      <c r="AD328" s="9"/>
      <c r="AE328" s="12">
        <v>44723</v>
      </c>
      <c r="AF328" s="8"/>
      <c r="AG328" t="str">
        <f>VLOOKUP(OfficeForms.Table[[#This Row],[Nama Proyek]],'Nama Proyek'!$D$2:$G$29,4,0)</f>
        <v>-6.42873464,107.19897003</v>
      </c>
      <c r="AH328" s="5"/>
      <c r="AI328" s="5"/>
      <c r="AJ328" s="5"/>
      <c r="AK328" s="5" t="s">
        <v>747</v>
      </c>
    </row>
    <row r="329" spans="1:37" ht="15" hidden="1" customHeight="1">
      <c r="A329" s="30">
        <v>406</v>
      </c>
      <c r="B329" s="111">
        <v>44889</v>
      </c>
      <c r="C329" s="29">
        <f>B329</f>
        <v>44889</v>
      </c>
      <c r="D329" s="8" t="s">
        <v>37</v>
      </c>
      <c r="E329" s="8" t="s">
        <v>748</v>
      </c>
      <c r="F329" s="5" t="str">
        <f>E329</f>
        <v>Alfian Budi PRasetya</v>
      </c>
      <c r="G329" s="15" t="s">
        <v>58</v>
      </c>
      <c r="H329" s="105">
        <v>44885</v>
      </c>
      <c r="I329" s="95">
        <v>24.016999999999999</v>
      </c>
      <c r="J329" s="95">
        <v>46.284999999999997</v>
      </c>
      <c r="K329" s="95">
        <v>0</v>
      </c>
      <c r="L329" s="95">
        <v>0.36699999999999999</v>
      </c>
      <c r="M329" s="95">
        <v>0.27600000000000002</v>
      </c>
      <c r="N329" s="95">
        <v>13.368</v>
      </c>
      <c r="O329" s="95">
        <v>5.85</v>
      </c>
      <c r="P329" s="95">
        <v>0.217</v>
      </c>
      <c r="Q329" s="95">
        <v>0.76100000000000001</v>
      </c>
      <c r="R329" s="95">
        <v>0.28199999999999997</v>
      </c>
      <c r="S329" s="95">
        <v>0</v>
      </c>
      <c r="T329" s="95">
        <v>0.254</v>
      </c>
      <c r="U329" s="95">
        <v>0</v>
      </c>
      <c r="V329" s="95">
        <v>0</v>
      </c>
      <c r="W329" s="95">
        <v>0</v>
      </c>
      <c r="X329" s="95">
        <v>0</v>
      </c>
      <c r="Y329" s="95">
        <v>0</v>
      </c>
      <c r="Z329" s="95"/>
      <c r="AA329" s="8"/>
      <c r="AB329" s="8"/>
      <c r="AC329" s="8"/>
      <c r="AD329" s="8"/>
      <c r="AE329" s="11"/>
      <c r="AF329" s="19"/>
      <c r="AG329" t="str">
        <f>VLOOKUP(OfficeForms.Table[[#This Row],[Nama Proyek]],'Nama Proyek'!$D$2:$G$29,4,0)</f>
        <v>-6.12967558,107.07321308</v>
      </c>
      <c r="AH329" s="5"/>
      <c r="AI329" s="5"/>
      <c r="AJ329" s="5"/>
      <c r="AK329" s="5" t="s">
        <v>749</v>
      </c>
    </row>
    <row r="330" spans="1:37" ht="15" hidden="1" customHeight="1">
      <c r="A330">
        <v>364</v>
      </c>
      <c r="B330" s="111">
        <v>44889</v>
      </c>
      <c r="C330" s="29">
        <f>B330</f>
        <v>44889</v>
      </c>
      <c r="D330" s="8" t="s">
        <v>37</v>
      </c>
      <c r="E330" s="8" t="s">
        <v>687</v>
      </c>
      <c r="F330" s="5" t="str">
        <f>E330</f>
        <v>Andri Julio Hermawan</v>
      </c>
      <c r="G330" s="22" t="s">
        <v>750</v>
      </c>
      <c r="H330" s="105">
        <v>44888</v>
      </c>
      <c r="I330" s="95">
        <v>1.5</v>
      </c>
      <c r="J330" s="95">
        <v>1</v>
      </c>
      <c r="K330" s="95">
        <v>0</v>
      </c>
      <c r="L330" s="95">
        <v>0</v>
      </c>
      <c r="M330" s="95">
        <v>0</v>
      </c>
      <c r="N330" s="95">
        <v>0</v>
      </c>
      <c r="O330" s="95">
        <v>0</v>
      </c>
      <c r="P330" s="95">
        <v>0</v>
      </c>
      <c r="Q330" s="95">
        <v>0</v>
      </c>
      <c r="R330" s="95">
        <v>0</v>
      </c>
      <c r="S330" s="95">
        <v>0</v>
      </c>
      <c r="T330" s="95">
        <v>0</v>
      </c>
      <c r="U330" s="95">
        <v>0</v>
      </c>
      <c r="V330" s="95">
        <v>0</v>
      </c>
      <c r="W330" s="95">
        <v>0</v>
      </c>
      <c r="X330" s="95">
        <v>0</v>
      </c>
      <c r="Y330" s="95">
        <v>0</v>
      </c>
      <c r="Z330" s="95"/>
      <c r="AA330" s="8"/>
      <c r="AB330" s="8"/>
      <c r="AC330" s="8"/>
      <c r="AD330" s="8"/>
      <c r="AE330" s="11"/>
      <c r="AF330" s="19"/>
      <c r="AG330" t="str">
        <f>VLOOKUP(OfficeForms.Table[[#This Row],[Nama Proyek]],'Nama Proyek'!$D$2:$G$29,4,0)</f>
        <v>-1.10415341,116.73424356</v>
      </c>
      <c r="AH330" s="5"/>
      <c r="AI330" s="5"/>
      <c r="AJ330" s="5"/>
      <c r="AK330" s="5" t="s">
        <v>751</v>
      </c>
    </row>
    <row r="331" spans="1:37" ht="15" hidden="1" customHeight="1">
      <c r="A331">
        <v>407</v>
      </c>
      <c r="B331" s="110">
        <v>44889</v>
      </c>
      <c r="C331" s="28">
        <f>B331</f>
        <v>44889</v>
      </c>
      <c r="D331" s="19" t="s">
        <v>37</v>
      </c>
      <c r="E331" s="19" t="s">
        <v>687</v>
      </c>
      <c r="F331" s="5" t="str">
        <f>E331</f>
        <v>Andri Julio Hermawan</v>
      </c>
      <c r="G331" s="39" t="s">
        <v>750</v>
      </c>
      <c r="H331" s="106"/>
      <c r="I331" s="96">
        <v>0</v>
      </c>
      <c r="J331" s="96">
        <v>0</v>
      </c>
      <c r="K331" s="96">
        <v>0</v>
      </c>
      <c r="L331" s="96">
        <v>0</v>
      </c>
      <c r="M331" s="96">
        <v>0</v>
      </c>
      <c r="N331" s="96">
        <v>0</v>
      </c>
      <c r="O331" s="96">
        <v>0</v>
      </c>
      <c r="P331" s="96">
        <v>0</v>
      </c>
      <c r="Q331" s="96">
        <v>0</v>
      </c>
      <c r="R331" s="96">
        <v>0</v>
      </c>
      <c r="S331" s="96">
        <v>0</v>
      </c>
      <c r="T331" s="96">
        <v>0</v>
      </c>
      <c r="U331" s="96">
        <v>0</v>
      </c>
      <c r="V331" s="96">
        <v>0</v>
      </c>
      <c r="W331" s="96">
        <v>0</v>
      </c>
      <c r="X331" s="96">
        <v>0</v>
      </c>
      <c r="Y331" s="96">
        <v>0</v>
      </c>
      <c r="Z331" s="96"/>
      <c r="AA331" s="19" t="s">
        <v>752</v>
      </c>
      <c r="AB331" s="19" t="s">
        <v>753</v>
      </c>
      <c r="AC331" s="19" t="s">
        <v>753</v>
      </c>
      <c r="AD331" s="19" t="s">
        <v>753</v>
      </c>
      <c r="AE331" s="13"/>
      <c r="AF331" s="8"/>
      <c r="AG331" t="str">
        <f>VLOOKUP(OfficeForms.Table[[#This Row],[Nama Proyek]],'Nama Proyek'!$D$2:$G$29,4,0)</f>
        <v>-1.10415341,116.73424356</v>
      </c>
      <c r="AH331" s="5"/>
      <c r="AI331" s="5"/>
      <c r="AJ331" s="5"/>
      <c r="AK331" s="5" t="s">
        <v>754</v>
      </c>
    </row>
    <row r="332" spans="1:37" ht="15" hidden="1" customHeight="1">
      <c r="A332" s="30">
        <v>409</v>
      </c>
      <c r="B332" s="110">
        <v>44890</v>
      </c>
      <c r="C332" s="28">
        <f>B332</f>
        <v>44890</v>
      </c>
      <c r="D332" s="19" t="s">
        <v>37</v>
      </c>
      <c r="E332" s="19" t="s">
        <v>734</v>
      </c>
      <c r="F332" s="5" t="str">
        <f>E332</f>
        <v>Aldian Winata</v>
      </c>
      <c r="G332" s="19" t="s">
        <v>735</v>
      </c>
      <c r="H332" s="106">
        <v>44887</v>
      </c>
      <c r="I332" s="96">
        <v>7.91</v>
      </c>
      <c r="J332" s="96">
        <v>17.978999999999999</v>
      </c>
      <c r="K332" s="96">
        <v>100</v>
      </c>
      <c r="L332" s="96">
        <v>9.0399999999999991</v>
      </c>
      <c r="M332" s="96">
        <v>0</v>
      </c>
      <c r="N332" s="96">
        <v>0</v>
      </c>
      <c r="O332" s="96">
        <v>0</v>
      </c>
      <c r="P332" s="96">
        <v>0</v>
      </c>
      <c r="Q332" s="96">
        <v>0</v>
      </c>
      <c r="R332" s="96">
        <v>0</v>
      </c>
      <c r="S332" s="96">
        <v>0</v>
      </c>
      <c r="T332" s="96">
        <v>0</v>
      </c>
      <c r="U332" s="96">
        <v>0</v>
      </c>
      <c r="V332" s="96">
        <v>0</v>
      </c>
      <c r="W332" s="96">
        <v>0</v>
      </c>
      <c r="X332" s="96">
        <v>0</v>
      </c>
      <c r="Y332" s="96">
        <v>0</v>
      </c>
      <c r="Z332" s="96"/>
      <c r="AA332" s="19"/>
      <c r="AB332" s="19"/>
      <c r="AC332" s="19"/>
      <c r="AD332" s="19"/>
      <c r="AE332" s="13"/>
      <c r="AF332" s="8"/>
      <c r="AG332" t="str">
        <f>VLOOKUP(OfficeForms.Table[[#This Row],[Nama Proyek]],'Nama Proyek'!$D$2:$G$40,4,0)</f>
        <v>-0.88562397,119.85928375</v>
      </c>
      <c r="AH332" s="5"/>
      <c r="AI332" s="5"/>
      <c r="AJ332" s="5"/>
      <c r="AK332" s="5" t="s">
        <v>755</v>
      </c>
    </row>
    <row r="333" spans="1:37" ht="15" hidden="1" customHeight="1">
      <c r="A333" s="31">
        <v>392</v>
      </c>
      <c r="B333" s="111">
        <v>44890</v>
      </c>
      <c r="C333" s="29">
        <f>B333</f>
        <v>44890</v>
      </c>
      <c r="D333" s="9" t="s">
        <v>37</v>
      </c>
      <c r="E333" s="9" t="s">
        <v>166</v>
      </c>
      <c r="F333" s="5" t="str">
        <f>E333</f>
        <v>Ganis Satria Pratama</v>
      </c>
      <c r="G333" s="9" t="s">
        <v>167</v>
      </c>
      <c r="H333" s="104">
        <v>44890</v>
      </c>
      <c r="I333" s="94">
        <v>95.02</v>
      </c>
      <c r="J333" s="94">
        <v>93.77</v>
      </c>
      <c r="K333" s="94">
        <v>100</v>
      </c>
      <c r="L333" s="94">
        <v>95.19</v>
      </c>
      <c r="M333" s="94">
        <v>0</v>
      </c>
      <c r="N333" s="94">
        <v>100</v>
      </c>
      <c r="O333" s="94">
        <v>0</v>
      </c>
      <c r="P333" s="94">
        <v>100</v>
      </c>
      <c r="Q333" s="94">
        <v>0</v>
      </c>
      <c r="R333" s="94">
        <v>0</v>
      </c>
      <c r="S333" s="94">
        <v>0</v>
      </c>
      <c r="T333" s="94">
        <v>0</v>
      </c>
      <c r="U333" s="94">
        <v>0</v>
      </c>
      <c r="V333" s="94">
        <v>0</v>
      </c>
      <c r="W333" s="94">
        <v>0</v>
      </c>
      <c r="X333" s="94">
        <v>0</v>
      </c>
      <c r="Y333" s="94">
        <v>0</v>
      </c>
      <c r="Z333" s="94"/>
      <c r="AA333" s="9"/>
      <c r="AB333" s="9"/>
      <c r="AC333" s="9"/>
      <c r="AD333" s="9"/>
      <c r="AE333" s="12"/>
      <c r="AF333" s="19"/>
      <c r="AG333" t="str">
        <f>VLOOKUP(OfficeForms.Table[[#This Row],[Nama Proyek]],'Nama Proyek'!$D$2:$G$29,4,0)</f>
        <v>2.426249030,128.29766314</v>
      </c>
      <c r="AH333" s="5"/>
      <c r="AI333" s="5"/>
      <c r="AJ333" s="5"/>
      <c r="AK333" s="5" t="s">
        <v>756</v>
      </c>
    </row>
    <row r="334" spans="1:37" ht="15" hidden="1" customHeight="1">
      <c r="A334" s="31">
        <v>405</v>
      </c>
      <c r="B334" s="110">
        <v>44890</v>
      </c>
      <c r="C334" s="28">
        <f>B334</f>
        <v>44890</v>
      </c>
      <c r="D334" s="19" t="s">
        <v>37</v>
      </c>
      <c r="E334" s="19" t="s">
        <v>734</v>
      </c>
      <c r="F334" s="5" t="s">
        <v>734</v>
      </c>
      <c r="G334" s="19" t="s">
        <v>735</v>
      </c>
      <c r="H334" s="106">
        <v>44890</v>
      </c>
      <c r="I334" s="96">
        <v>8.4440000000000008</v>
      </c>
      <c r="J334" s="96">
        <v>20.178999999999998</v>
      </c>
      <c r="K334" s="96">
        <v>100</v>
      </c>
      <c r="L334" s="96">
        <v>10.462999999999999</v>
      </c>
      <c r="M334" s="96">
        <v>0</v>
      </c>
      <c r="N334" s="96">
        <v>0</v>
      </c>
      <c r="O334" s="96">
        <v>0</v>
      </c>
      <c r="P334" s="96">
        <v>0</v>
      </c>
      <c r="Q334" s="96">
        <v>0</v>
      </c>
      <c r="R334" s="96">
        <v>0</v>
      </c>
      <c r="S334" s="96">
        <v>0</v>
      </c>
      <c r="T334" s="96">
        <v>0</v>
      </c>
      <c r="U334" s="96">
        <v>0</v>
      </c>
      <c r="V334" s="96">
        <v>0</v>
      </c>
      <c r="W334" s="96">
        <v>0</v>
      </c>
      <c r="X334" s="96">
        <v>0</v>
      </c>
      <c r="Y334" s="96">
        <v>0</v>
      </c>
      <c r="Z334" s="96"/>
      <c r="AA334" s="19"/>
      <c r="AB334" s="19"/>
      <c r="AC334" s="19"/>
      <c r="AD334" s="19"/>
      <c r="AE334" s="13"/>
      <c r="AF334" s="15"/>
      <c r="AG334" t="str">
        <f>VLOOKUP(OfficeForms.Table[[#This Row],[Nama Proyek]],'Nama Proyek'!$D$2:$G$40,4,0)</f>
        <v>-0.88562397,119.85928375</v>
      </c>
      <c r="AH334" s="5"/>
      <c r="AI334" s="5"/>
      <c r="AJ334" s="5"/>
      <c r="AK334" s="5" t="s">
        <v>757</v>
      </c>
    </row>
    <row r="335" spans="1:37" ht="15" hidden="1" customHeight="1">
      <c r="A335" s="50">
        <v>636</v>
      </c>
      <c r="B335" s="111">
        <v>44890</v>
      </c>
      <c r="C335" s="29">
        <f>B335</f>
        <v>44890</v>
      </c>
      <c r="D335" s="8" t="s">
        <v>37</v>
      </c>
      <c r="E335" s="8" t="s">
        <v>75</v>
      </c>
      <c r="F335" s="5" t="str">
        <f>E335</f>
        <v>Banyu Purwita</v>
      </c>
      <c r="G335" s="54" t="s">
        <v>76</v>
      </c>
      <c r="H335" s="104"/>
      <c r="I335" s="95">
        <v>0</v>
      </c>
      <c r="J335" s="95">
        <v>0</v>
      </c>
      <c r="K335" s="95">
        <v>0</v>
      </c>
      <c r="L335" s="95">
        <v>0</v>
      </c>
      <c r="M335" s="95">
        <v>0</v>
      </c>
      <c r="N335" s="95">
        <v>0</v>
      </c>
      <c r="O335" s="95">
        <v>0</v>
      </c>
      <c r="P335" s="95">
        <v>0</v>
      </c>
      <c r="Q335" s="95">
        <v>0</v>
      </c>
      <c r="R335" s="95">
        <v>0</v>
      </c>
      <c r="S335" s="95">
        <v>0</v>
      </c>
      <c r="T335" s="95">
        <v>0</v>
      </c>
      <c r="U335" s="95">
        <v>0</v>
      </c>
      <c r="V335" s="95">
        <v>0</v>
      </c>
      <c r="W335" s="95">
        <v>0</v>
      </c>
      <c r="X335" s="95">
        <v>0</v>
      </c>
      <c r="Y335" s="95">
        <v>0</v>
      </c>
      <c r="Z335" s="95"/>
      <c r="AA335" s="8" t="s">
        <v>758</v>
      </c>
      <c r="AB335" s="8" t="s">
        <v>758</v>
      </c>
      <c r="AC335" s="8" t="s">
        <v>758</v>
      </c>
      <c r="AD335" s="8" t="s">
        <v>758</v>
      </c>
      <c r="AE335" s="16"/>
      <c r="AF335" s="42" t="s">
        <v>759</v>
      </c>
      <c r="AG335" t="str">
        <f>VLOOKUP(OfficeForms.Table[[#This Row],[Nama Proyek]],'Nama Proyek'!$D$2:$G$29,4,0)</f>
        <v>-2.95293103,104.75455094</v>
      </c>
      <c r="AH335" s="5"/>
      <c r="AI335" s="5"/>
      <c r="AJ335" s="5"/>
      <c r="AK335" s="5" t="s">
        <v>760</v>
      </c>
    </row>
    <row r="336" spans="1:37" ht="15" hidden="1" customHeight="1">
      <c r="A336" s="50">
        <v>79</v>
      </c>
      <c r="B336" s="110">
        <v>44893</v>
      </c>
      <c r="C336" s="28">
        <f>B336</f>
        <v>44893</v>
      </c>
      <c r="D336" s="8" t="s">
        <v>37</v>
      </c>
      <c r="E336" s="8" t="s">
        <v>75</v>
      </c>
      <c r="F336" s="5" t="str">
        <f>E336</f>
        <v>Banyu Purwita</v>
      </c>
      <c r="G336" s="55" t="s">
        <v>76</v>
      </c>
      <c r="H336" s="105">
        <v>44889</v>
      </c>
      <c r="I336" s="95">
        <v>32.856999999999999</v>
      </c>
      <c r="J336" s="95">
        <v>34.802</v>
      </c>
      <c r="K336" s="95">
        <v>0</v>
      </c>
      <c r="L336" s="95">
        <v>0</v>
      </c>
      <c r="M336" s="95">
        <v>2.1120000000000001</v>
      </c>
      <c r="N336" s="95">
        <v>0</v>
      </c>
      <c r="O336" s="95">
        <v>10.5</v>
      </c>
      <c r="P336" s="95">
        <v>0</v>
      </c>
      <c r="Q336" s="95">
        <v>0.109</v>
      </c>
      <c r="R336" s="95">
        <v>0</v>
      </c>
      <c r="S336" s="95">
        <v>18.760000000000002</v>
      </c>
      <c r="T336" s="95">
        <v>0</v>
      </c>
      <c r="U336" s="95">
        <v>0</v>
      </c>
      <c r="V336" s="95">
        <v>0</v>
      </c>
      <c r="W336" s="95">
        <v>0</v>
      </c>
      <c r="X336" s="95">
        <v>0</v>
      </c>
      <c r="Y336" s="95">
        <v>0</v>
      </c>
      <c r="Z336" s="95"/>
      <c r="AA336" s="8"/>
      <c r="AB336" s="8"/>
      <c r="AC336" s="8"/>
      <c r="AD336" s="8"/>
      <c r="AE336" s="16"/>
      <c r="AF336" s="17" t="s">
        <v>761</v>
      </c>
      <c r="AG336" t="str">
        <f>VLOOKUP(OfficeForms.Table[[#This Row],[Nama Proyek]],'Nama Proyek'!$D$2:$G$29,4,0)</f>
        <v>-2.95293103,104.75455094</v>
      </c>
      <c r="AH336" s="5"/>
      <c r="AI336" s="5"/>
      <c r="AJ336" s="5"/>
      <c r="AK336" s="5" t="s">
        <v>762</v>
      </c>
    </row>
    <row r="337" spans="1:37" ht="15" hidden="1" customHeight="1">
      <c r="A337" s="31">
        <v>206</v>
      </c>
      <c r="B337" s="111">
        <v>44893</v>
      </c>
      <c r="C337" s="29">
        <f>B337</f>
        <v>44893</v>
      </c>
      <c r="D337" s="9" t="s">
        <v>37</v>
      </c>
      <c r="E337" s="9" t="s">
        <v>54</v>
      </c>
      <c r="F337" s="5" t="str">
        <f>E337</f>
        <v>Haryo Widiandoko</v>
      </c>
      <c r="G337" s="17" t="s">
        <v>55</v>
      </c>
      <c r="H337" s="104">
        <v>44890</v>
      </c>
      <c r="I337" s="94">
        <v>69.843999999999994</v>
      </c>
      <c r="J337" s="94">
        <v>72.27</v>
      </c>
      <c r="K337" s="94">
        <v>0.112</v>
      </c>
      <c r="L337" s="94">
        <v>0.128</v>
      </c>
      <c r="M337" s="94">
        <v>20.687000000000001</v>
      </c>
      <c r="N337" s="94">
        <v>2.036</v>
      </c>
      <c r="O337" s="94">
        <v>2.355</v>
      </c>
      <c r="P337" s="94">
        <v>5.1999999999999998E-2</v>
      </c>
      <c r="Q337" s="94">
        <v>0.58499999999999996</v>
      </c>
      <c r="R337" s="94">
        <v>10.308</v>
      </c>
      <c r="S337" s="94">
        <v>30.693999999999999</v>
      </c>
      <c r="T337" s="94">
        <v>0.61199999999999999</v>
      </c>
      <c r="U337" s="94">
        <v>1.2969999999999999</v>
      </c>
      <c r="V337" s="94">
        <v>3.1E-2</v>
      </c>
      <c r="W337" s="94">
        <v>0</v>
      </c>
      <c r="X337" s="94">
        <v>0.73899999999999999</v>
      </c>
      <c r="Y337" s="94">
        <v>0</v>
      </c>
      <c r="Z337" s="94"/>
      <c r="AA337" s="9"/>
      <c r="AB337" s="9"/>
      <c r="AC337" s="9"/>
      <c r="AD337" s="9"/>
      <c r="AE337" s="18"/>
      <c r="AF337" s="8"/>
      <c r="AG337" t="str">
        <f>VLOOKUP(OfficeForms.Table[[#This Row],[Nama Proyek]],'Nama Proyek'!$D$2:$G$29,4,0)</f>
        <v>-6.42873464,107.19897003</v>
      </c>
      <c r="AH337" s="5"/>
      <c r="AI337" s="5"/>
      <c r="AJ337" s="5"/>
      <c r="AK337" s="5" t="s">
        <v>763</v>
      </c>
    </row>
    <row r="338" spans="1:37" ht="15" hidden="1" customHeight="1">
      <c r="A338" s="31">
        <v>413</v>
      </c>
      <c r="B338" s="110">
        <v>44893</v>
      </c>
      <c r="C338" s="28">
        <f>B338</f>
        <v>44893</v>
      </c>
      <c r="D338" s="19" t="s">
        <v>37</v>
      </c>
      <c r="E338" s="19" t="s">
        <v>82</v>
      </c>
      <c r="F338" s="5" t="str">
        <f>E338</f>
        <v>Ajik Prastiyo</v>
      </c>
      <c r="G338" s="35" t="s">
        <v>80</v>
      </c>
      <c r="H338" s="106">
        <v>44892</v>
      </c>
      <c r="I338" s="96">
        <v>76.433491509999996</v>
      </c>
      <c r="J338" s="96">
        <v>88.854166710000001</v>
      </c>
      <c r="K338" s="96">
        <v>0.40369513000000001</v>
      </c>
      <c r="L338" s="96">
        <v>0.15046996000000001</v>
      </c>
      <c r="M338" s="96">
        <v>31.46443674</v>
      </c>
      <c r="N338" s="96">
        <v>0.53471208999999997</v>
      </c>
      <c r="O338" s="96">
        <v>2.8134358700000002</v>
      </c>
      <c r="P338" s="96">
        <v>0.21229294000000001</v>
      </c>
      <c r="Q338" s="96">
        <v>6.4946299999999998E-2</v>
      </c>
      <c r="R338" s="96">
        <v>7.6603798000000003</v>
      </c>
      <c r="S338" s="96">
        <v>27.7511084</v>
      </c>
      <c r="T338" s="96">
        <v>0</v>
      </c>
      <c r="U338" s="96">
        <v>4.4622865100000002</v>
      </c>
      <c r="V338" s="96">
        <v>2.5003069999999999E-2</v>
      </c>
      <c r="W338" s="96">
        <v>0.23216791000000001</v>
      </c>
      <c r="X338" s="96">
        <v>0.16301879</v>
      </c>
      <c r="Y338" s="96">
        <v>4.9432499999999997E-2</v>
      </c>
      <c r="Z338" s="96"/>
      <c r="AA338" s="19"/>
      <c r="AB338" s="19"/>
      <c r="AC338" s="19"/>
      <c r="AD338" s="19"/>
      <c r="AE338" s="13"/>
      <c r="AF338" s="17" t="s">
        <v>764</v>
      </c>
      <c r="AG338" t="str">
        <f>VLOOKUP(OfficeForms.Table[[#This Row],[Nama Proyek]],'Nama Proyek'!$D$2:$G$29,4,0)</f>
        <v>-7.82225167,113.29968319</v>
      </c>
      <c r="AH338" s="5"/>
      <c r="AI338" s="5"/>
      <c r="AJ338" s="5"/>
      <c r="AK338" s="5" t="s">
        <v>765</v>
      </c>
    </row>
    <row r="339" spans="1:37" ht="15" hidden="1" customHeight="1">
      <c r="A339" s="30">
        <v>797</v>
      </c>
      <c r="B339" s="110">
        <v>44893</v>
      </c>
      <c r="C339" s="28">
        <f>B339</f>
        <v>44893</v>
      </c>
      <c r="D339" s="19" t="s">
        <v>37</v>
      </c>
      <c r="E339" s="19" t="s">
        <v>64</v>
      </c>
      <c r="F339" s="5" t="str">
        <f>E339</f>
        <v>Nizar Zulkarnain</v>
      </c>
      <c r="G339" s="42" t="s">
        <v>65</v>
      </c>
      <c r="H339" s="106">
        <v>44892</v>
      </c>
      <c r="I339" s="96">
        <v>73.543999999999997</v>
      </c>
      <c r="J339" s="96">
        <v>78.247</v>
      </c>
      <c r="K339" s="96">
        <v>64.36</v>
      </c>
      <c r="L339" s="96">
        <v>57.51</v>
      </c>
      <c r="M339" s="96">
        <v>81.34</v>
      </c>
      <c r="N339" s="96">
        <v>83.14</v>
      </c>
      <c r="O339" s="96">
        <v>48.91</v>
      </c>
      <c r="P339" s="96">
        <v>61.09</v>
      </c>
      <c r="Q339" s="96">
        <v>57.19</v>
      </c>
      <c r="R339" s="96">
        <v>55.28</v>
      </c>
      <c r="S339" s="96">
        <v>83.06</v>
      </c>
      <c r="T339" s="96">
        <v>87.41</v>
      </c>
      <c r="U339" s="96">
        <v>33.909999999999997</v>
      </c>
      <c r="V339" s="96">
        <v>18.399999999999999</v>
      </c>
      <c r="W339" s="96">
        <v>0</v>
      </c>
      <c r="X339" s="96">
        <v>98.36</v>
      </c>
      <c r="Y339" s="96">
        <v>41.02</v>
      </c>
      <c r="Z339" s="96"/>
      <c r="AA339" s="19"/>
      <c r="AB339" s="19"/>
      <c r="AC339" s="19"/>
      <c r="AD339" s="19"/>
      <c r="AE339" s="24"/>
      <c r="AF339" s="8"/>
      <c r="AG339" t="str">
        <f>VLOOKUP(OfficeForms.Table[[#This Row],[Nama Proyek]],'Nama Proyek'!$D$2:$G$29,4,0)</f>
        <v>-6.35008011,107.02324233</v>
      </c>
      <c r="AH339" s="5"/>
      <c r="AI339" s="5"/>
      <c r="AJ339" s="5"/>
      <c r="AK339" s="5" t="s">
        <v>766</v>
      </c>
    </row>
    <row r="340" spans="1:37" ht="15" hidden="1" customHeight="1">
      <c r="A340">
        <v>412</v>
      </c>
      <c r="B340" s="111">
        <v>44893</v>
      </c>
      <c r="C340" s="29">
        <f>B340</f>
        <v>44893</v>
      </c>
      <c r="D340" s="8" t="s">
        <v>37</v>
      </c>
      <c r="E340" s="8" t="s">
        <v>214</v>
      </c>
      <c r="F340" s="5" t="str">
        <f>E340</f>
        <v>BASUKI RAHMAT HAKIM</v>
      </c>
      <c r="G340" s="59" t="s">
        <v>48</v>
      </c>
      <c r="H340" s="105">
        <v>44893</v>
      </c>
      <c r="I340" s="95">
        <v>42</v>
      </c>
      <c r="J340" s="95">
        <v>47.95</v>
      </c>
      <c r="K340" s="95">
        <v>0</v>
      </c>
      <c r="L340" s="95">
        <v>40.317</v>
      </c>
      <c r="M340" s="95">
        <v>0</v>
      </c>
      <c r="N340" s="95">
        <v>0</v>
      </c>
      <c r="O340" s="95">
        <v>0</v>
      </c>
      <c r="P340" s="95">
        <v>0</v>
      </c>
      <c r="Q340" s="95">
        <v>0</v>
      </c>
      <c r="R340" s="95">
        <v>0.23100000000000001</v>
      </c>
      <c r="S340" s="95">
        <v>0</v>
      </c>
      <c r="T340" s="95">
        <v>0</v>
      </c>
      <c r="U340" s="95">
        <v>0</v>
      </c>
      <c r="V340" s="95">
        <v>0</v>
      </c>
      <c r="W340" s="95">
        <v>0</v>
      </c>
      <c r="X340" s="95">
        <v>0</v>
      </c>
      <c r="Y340" s="95">
        <v>0</v>
      </c>
      <c r="Z340" s="95"/>
      <c r="AA340" s="8"/>
      <c r="AB340" s="8"/>
      <c r="AC340" s="8"/>
      <c r="AD340" s="8"/>
      <c r="AE340" s="11"/>
      <c r="AF340" s="19"/>
      <c r="AG340" t="str">
        <f>VLOOKUP(OfficeForms.Table[[#This Row],[Nama Proyek]],'Nama Proyek'!$D$2:$G$29,4,0)</f>
        <v>3.76047575,115.89977678</v>
      </c>
      <c r="AH340" s="5"/>
      <c r="AI340" s="5"/>
      <c r="AJ340" s="5"/>
      <c r="AK340" s="5" t="s">
        <v>767</v>
      </c>
    </row>
    <row r="341" spans="1:37" ht="15" hidden="1" customHeight="1">
      <c r="A341">
        <v>443</v>
      </c>
      <c r="B341" s="110">
        <v>44893</v>
      </c>
      <c r="C341" s="28">
        <f>B341</f>
        <v>44893</v>
      </c>
      <c r="D341" s="8" t="s">
        <v>37</v>
      </c>
      <c r="E341" s="8" t="s">
        <v>687</v>
      </c>
      <c r="F341" s="5" t="str">
        <f>E341</f>
        <v>Andri Julio Hermawan</v>
      </c>
      <c r="G341" s="39" t="s">
        <v>750</v>
      </c>
      <c r="H341" s="105">
        <v>44893</v>
      </c>
      <c r="I341" s="95">
        <v>2.7555999999999998</v>
      </c>
      <c r="J341" s="95">
        <v>1.7170000000000001</v>
      </c>
      <c r="K341" s="95">
        <v>0</v>
      </c>
      <c r="L341" s="95">
        <v>2.3144999999999998</v>
      </c>
      <c r="M341" s="95">
        <v>0</v>
      </c>
      <c r="N341" s="95">
        <v>0</v>
      </c>
      <c r="O341" s="95">
        <v>0</v>
      </c>
      <c r="P341" s="95">
        <v>0.2651</v>
      </c>
      <c r="Q341" s="95">
        <v>0</v>
      </c>
      <c r="R341" s="95">
        <v>0</v>
      </c>
      <c r="S341" s="95">
        <v>0</v>
      </c>
      <c r="T341" s="95">
        <v>0</v>
      </c>
      <c r="U341" s="95">
        <v>0</v>
      </c>
      <c r="V341" s="95">
        <v>0</v>
      </c>
      <c r="W341" s="95">
        <v>0</v>
      </c>
      <c r="X341" s="95">
        <v>0</v>
      </c>
      <c r="Y341" s="95">
        <v>0</v>
      </c>
      <c r="Z341" s="95"/>
      <c r="AA341" s="8"/>
      <c r="AB341" s="8"/>
      <c r="AC341" s="8"/>
      <c r="AD341" s="8"/>
      <c r="AE341" s="11"/>
      <c r="AF341" s="9"/>
      <c r="AG341" t="str">
        <f>VLOOKUP(OfficeForms.Table[[#This Row],[Nama Proyek]],'Nama Proyek'!$D$2:$G$29,4,0)</f>
        <v>-1.10415341,116.73424356</v>
      </c>
      <c r="AH341" s="5"/>
      <c r="AI341" s="5"/>
      <c r="AJ341" s="5"/>
      <c r="AK341" s="5" t="s">
        <v>768</v>
      </c>
    </row>
    <row r="342" spans="1:37" ht="15" hidden="1" customHeight="1">
      <c r="A342" s="31">
        <v>893</v>
      </c>
      <c r="B342" s="110">
        <v>44893</v>
      </c>
      <c r="C342" s="28">
        <f>B342</f>
        <v>44893</v>
      </c>
      <c r="D342" s="19" t="s">
        <v>37</v>
      </c>
      <c r="E342" s="19" t="s">
        <v>109</v>
      </c>
      <c r="F342" s="5" t="str">
        <f>E342</f>
        <v>Muhamad Saifudin Ashari</v>
      </c>
      <c r="G342" s="86" t="s">
        <v>39</v>
      </c>
      <c r="H342" s="106">
        <v>44893</v>
      </c>
      <c r="I342" s="96">
        <v>88.287999999999997</v>
      </c>
      <c r="J342" s="96">
        <v>88.313000000000002</v>
      </c>
      <c r="K342" s="96">
        <v>0.98599999999999999</v>
      </c>
      <c r="L342" s="96">
        <v>0.876</v>
      </c>
      <c r="M342" s="96">
        <v>0.96899999999999997</v>
      </c>
      <c r="N342" s="96">
        <v>0.99099999999999999</v>
      </c>
      <c r="O342" s="96">
        <v>0.61699999999999999</v>
      </c>
      <c r="P342" s="96">
        <v>0.84199999999999997</v>
      </c>
      <c r="Q342" s="96">
        <v>0.873</v>
      </c>
      <c r="R342" s="96">
        <v>0.75900000000000001</v>
      </c>
      <c r="S342" s="96">
        <v>0.95499999999999996</v>
      </c>
      <c r="T342" s="96">
        <v>0.93500000000000005</v>
      </c>
      <c r="U342" s="96">
        <v>0.625</v>
      </c>
      <c r="V342" s="96">
        <v>0</v>
      </c>
      <c r="W342" s="96">
        <v>0</v>
      </c>
      <c r="X342" s="96">
        <v>0.31</v>
      </c>
      <c r="Y342" s="96">
        <v>0</v>
      </c>
      <c r="Z342" s="96"/>
      <c r="AA342" s="19"/>
      <c r="AB342" s="19"/>
      <c r="AC342" s="19"/>
      <c r="AD342" s="19"/>
      <c r="AE342" s="13"/>
      <c r="AF342" s="9"/>
      <c r="AG342" t="str">
        <f>VLOOKUP(OfficeForms.Table[[#This Row],[Nama Proyek]],'Nama Proyek'!$D$2:$G$29,4,0)</f>
        <v>-6.80675464,106.785366</v>
      </c>
      <c r="AH342" s="5"/>
      <c r="AI342" s="5"/>
      <c r="AJ342" s="5"/>
      <c r="AK342" s="5" t="s">
        <v>769</v>
      </c>
    </row>
    <row r="343" spans="1:37" ht="15" hidden="1" customHeight="1">
      <c r="A343" s="31">
        <v>980</v>
      </c>
      <c r="B343" s="111">
        <v>44893</v>
      </c>
      <c r="C343" s="29">
        <f>B343</f>
        <v>44893</v>
      </c>
      <c r="D343" s="8" t="s">
        <v>37</v>
      </c>
      <c r="E343" s="8" t="s">
        <v>504</v>
      </c>
      <c r="F343" s="5" t="str">
        <f>E343</f>
        <v>Fathan Zul Waskito</v>
      </c>
      <c r="G343" s="17" t="s">
        <v>472</v>
      </c>
      <c r="H343" s="105">
        <v>44893</v>
      </c>
      <c r="I343" s="95">
        <v>46.982999999999997</v>
      </c>
      <c r="J343" s="95">
        <v>44.802999999999997</v>
      </c>
      <c r="K343" s="95">
        <v>0.34599999999999997</v>
      </c>
      <c r="L343" s="95">
        <v>43.993000000000002</v>
      </c>
      <c r="M343" s="95">
        <v>0</v>
      </c>
      <c r="N343" s="95">
        <v>0</v>
      </c>
      <c r="O343" s="95">
        <v>0</v>
      </c>
      <c r="P343" s="95">
        <v>1.3460000000000001</v>
      </c>
      <c r="Q343" s="95">
        <v>0</v>
      </c>
      <c r="R343" s="95">
        <v>0</v>
      </c>
      <c r="S343" s="95">
        <v>0</v>
      </c>
      <c r="T343" s="95">
        <v>0</v>
      </c>
      <c r="U343" s="95">
        <v>0</v>
      </c>
      <c r="V343" s="95">
        <v>0</v>
      </c>
      <c r="W343" s="95">
        <v>0</v>
      </c>
      <c r="X343" s="95">
        <v>0</v>
      </c>
      <c r="Y343" s="95">
        <v>0</v>
      </c>
      <c r="Z343" s="95"/>
      <c r="AA343" s="8"/>
      <c r="AB343" s="8"/>
      <c r="AC343" s="8"/>
      <c r="AD343" s="8"/>
      <c r="AE343" s="11"/>
      <c r="AF343" s="15"/>
      <c r="AG343" t="str">
        <f>VLOOKUP(OfficeForms.Table[[#This Row],[Nama Proyek]],'Nama Proyek'!$D$2:$G$29,4,0)</f>
        <v>-8.29394978,112.00545006</v>
      </c>
      <c r="AH343" s="5"/>
      <c r="AI343" s="5"/>
      <c r="AJ343" s="5"/>
      <c r="AK343" s="5" t="s">
        <v>770</v>
      </c>
    </row>
    <row r="344" spans="1:37" ht="15" hidden="1" customHeight="1">
      <c r="A344" s="30">
        <v>445</v>
      </c>
      <c r="B344" s="110">
        <v>44893</v>
      </c>
      <c r="C344" s="28">
        <f>B344</f>
        <v>44893</v>
      </c>
      <c r="D344" s="8" t="s">
        <v>37</v>
      </c>
      <c r="E344" s="8" t="s">
        <v>734</v>
      </c>
      <c r="F344" s="5" t="s">
        <v>734</v>
      </c>
      <c r="G344" s="8" t="s">
        <v>735</v>
      </c>
      <c r="H344" s="105">
        <v>44895</v>
      </c>
      <c r="I344" s="95">
        <v>8.9710000000000001</v>
      </c>
      <c r="J344" s="95">
        <v>20.178999999999998</v>
      </c>
      <c r="K344" s="95">
        <v>2.2189999999999999</v>
      </c>
      <c r="L344" s="95">
        <v>6.4969999999999999</v>
      </c>
      <c r="M344" s="95">
        <v>0</v>
      </c>
      <c r="N344" s="95">
        <v>0</v>
      </c>
      <c r="O344" s="95">
        <v>0</v>
      </c>
      <c r="P344" s="95">
        <v>0</v>
      </c>
      <c r="Q344" s="95">
        <v>0</v>
      </c>
      <c r="R344" s="95">
        <v>0</v>
      </c>
      <c r="S344" s="95">
        <v>0</v>
      </c>
      <c r="T344" s="95">
        <v>0</v>
      </c>
      <c r="U344" s="95">
        <v>0</v>
      </c>
      <c r="V344" s="95">
        <v>0</v>
      </c>
      <c r="W344" s="95">
        <v>0</v>
      </c>
      <c r="X344" s="95">
        <v>0</v>
      </c>
      <c r="Y344" s="95">
        <v>0</v>
      </c>
      <c r="Z344" s="95"/>
      <c r="AA344" s="8"/>
      <c r="AB344" s="15"/>
      <c r="AC344" s="8"/>
      <c r="AD344" s="8"/>
      <c r="AE344" s="16"/>
      <c r="AF344" s="9" t="s">
        <v>771</v>
      </c>
      <c r="AG344" t="str">
        <f>VLOOKUP(OfficeForms.Table[[#This Row],[Nama Proyek]],'Nama Proyek'!$D$2:$G$40,4,0)</f>
        <v>-0.88562397,119.85928375</v>
      </c>
      <c r="AH344" s="5"/>
      <c r="AI344" s="5"/>
      <c r="AJ344" s="5"/>
      <c r="AK344" s="5" t="s">
        <v>772</v>
      </c>
    </row>
    <row r="345" spans="1:37" ht="15" hidden="1" customHeight="1">
      <c r="A345">
        <v>30</v>
      </c>
      <c r="B345" s="111">
        <v>44893</v>
      </c>
      <c r="C345" s="29">
        <f>B345</f>
        <v>44893</v>
      </c>
      <c r="D345" s="8" t="s">
        <v>37</v>
      </c>
      <c r="E345" s="8" t="s">
        <v>773</v>
      </c>
      <c r="F345" s="5" t="str">
        <f>E345</f>
        <v>Rasendriya Ramanda Darettamarlan</v>
      </c>
      <c r="G345" s="33" t="s">
        <v>714</v>
      </c>
      <c r="H345" s="104"/>
      <c r="I345" s="95">
        <v>0</v>
      </c>
      <c r="J345" s="95">
        <v>0</v>
      </c>
      <c r="K345" s="95">
        <v>0</v>
      </c>
      <c r="L345" s="95">
        <v>0</v>
      </c>
      <c r="M345" s="95">
        <v>0</v>
      </c>
      <c r="N345" s="95">
        <v>0</v>
      </c>
      <c r="O345" s="95">
        <v>0</v>
      </c>
      <c r="P345" s="95">
        <v>0</v>
      </c>
      <c r="Q345" s="95">
        <v>0</v>
      </c>
      <c r="R345" s="95">
        <v>0</v>
      </c>
      <c r="S345" s="95">
        <v>0</v>
      </c>
      <c r="T345" s="95">
        <v>0</v>
      </c>
      <c r="U345" s="95">
        <v>0</v>
      </c>
      <c r="V345" s="95">
        <v>0</v>
      </c>
      <c r="W345" s="95">
        <v>0</v>
      </c>
      <c r="X345" s="95">
        <v>0</v>
      </c>
      <c r="Y345" s="95">
        <v>0</v>
      </c>
      <c r="Z345" s="95"/>
      <c r="AA345" s="8" t="s">
        <v>774</v>
      </c>
      <c r="AB345" s="8" t="s">
        <v>775</v>
      </c>
      <c r="AC345" s="8" t="s">
        <v>776</v>
      </c>
      <c r="AD345" s="8" t="s">
        <v>777</v>
      </c>
      <c r="AE345" s="11"/>
      <c r="AF345" s="15"/>
      <c r="AG345" t="str">
        <f>VLOOKUP(OfficeForms.Table[[#This Row],[Nama Proyek]],'Nama Proyek'!$D$2:$G$29,4,0)</f>
        <v>-0.95259625,116.71704453</v>
      </c>
      <c r="AH345" s="5"/>
      <c r="AI345" s="5"/>
      <c r="AJ345" s="5"/>
      <c r="AK345" s="5" t="s">
        <v>778</v>
      </c>
    </row>
    <row r="346" spans="1:37" ht="15" hidden="1" customHeight="1">
      <c r="A346" s="50">
        <v>227</v>
      </c>
      <c r="B346" s="110">
        <v>44893</v>
      </c>
      <c r="C346" s="28">
        <f>B346</f>
        <v>44893</v>
      </c>
      <c r="D346" s="19" t="s">
        <v>37</v>
      </c>
      <c r="E346" s="19" t="s">
        <v>64</v>
      </c>
      <c r="F346" s="5" t="str">
        <f>E346</f>
        <v>Nizar Zulkarnain</v>
      </c>
      <c r="G346" s="19" t="s">
        <v>65</v>
      </c>
      <c r="H346" s="106"/>
      <c r="I346" s="96">
        <v>0</v>
      </c>
      <c r="J346" s="96">
        <v>0</v>
      </c>
      <c r="K346" s="96">
        <v>0</v>
      </c>
      <c r="L346" s="96">
        <v>0</v>
      </c>
      <c r="M346" s="96">
        <v>0</v>
      </c>
      <c r="N346" s="96">
        <v>0</v>
      </c>
      <c r="O346" s="96">
        <v>0</v>
      </c>
      <c r="P346" s="96">
        <v>0</v>
      </c>
      <c r="Q346" s="96">
        <v>0</v>
      </c>
      <c r="R346" s="96">
        <v>0</v>
      </c>
      <c r="S346" s="96">
        <v>0</v>
      </c>
      <c r="T346" s="96">
        <v>0</v>
      </c>
      <c r="U346" s="96">
        <v>0</v>
      </c>
      <c r="V346" s="96">
        <v>0</v>
      </c>
      <c r="W346" s="96">
        <v>0</v>
      </c>
      <c r="X346" s="96">
        <v>0</v>
      </c>
      <c r="Y346" s="96">
        <v>0</v>
      </c>
      <c r="Z346" s="96"/>
      <c r="AA346" s="19"/>
      <c r="AB346" s="19"/>
      <c r="AC346" s="19" t="s">
        <v>779</v>
      </c>
      <c r="AD346" s="42"/>
      <c r="AE346" s="24"/>
      <c r="AF346" s="17" t="s">
        <v>567</v>
      </c>
      <c r="AG346" t="str">
        <f>VLOOKUP(OfficeForms.Table[[#This Row],[Nama Proyek]],'Nama Proyek'!$D$2:$G$29,4,0)</f>
        <v>-6.35008011,107.02324233</v>
      </c>
      <c r="AH346" s="5"/>
      <c r="AI346" s="5"/>
      <c r="AJ346" s="5"/>
      <c r="AK346" s="5" t="s">
        <v>780</v>
      </c>
    </row>
    <row r="347" spans="1:37" ht="15" hidden="1" customHeight="1">
      <c r="A347" s="30">
        <v>266</v>
      </c>
      <c r="B347" s="111">
        <v>44893</v>
      </c>
      <c r="C347" s="29">
        <f>B347</f>
        <v>44893</v>
      </c>
      <c r="D347" s="8" t="s">
        <v>37</v>
      </c>
      <c r="E347" s="8" t="s">
        <v>109</v>
      </c>
      <c r="F347" s="5" t="str">
        <f>E347</f>
        <v>Muhamad Saifudin Ashari</v>
      </c>
      <c r="G347" s="9" t="s">
        <v>39</v>
      </c>
      <c r="H347" s="104"/>
      <c r="I347" s="95">
        <v>0</v>
      </c>
      <c r="J347" s="95">
        <v>0</v>
      </c>
      <c r="K347" s="95">
        <v>0</v>
      </c>
      <c r="L347" s="95">
        <v>0</v>
      </c>
      <c r="M347" s="95">
        <v>0</v>
      </c>
      <c r="N347" s="95">
        <v>0</v>
      </c>
      <c r="O347" s="95">
        <v>0</v>
      </c>
      <c r="P347" s="95">
        <v>0</v>
      </c>
      <c r="Q347" s="95">
        <v>0</v>
      </c>
      <c r="R347" s="95">
        <v>0</v>
      </c>
      <c r="S347" s="95">
        <v>0</v>
      </c>
      <c r="T347" s="95">
        <v>0</v>
      </c>
      <c r="U347" s="95">
        <v>0</v>
      </c>
      <c r="V347" s="95">
        <v>0</v>
      </c>
      <c r="W347" s="95">
        <v>0</v>
      </c>
      <c r="X347" s="95">
        <v>0</v>
      </c>
      <c r="Y347" s="95">
        <v>0</v>
      </c>
      <c r="Z347" s="95"/>
      <c r="AA347" s="8" t="s">
        <v>781</v>
      </c>
      <c r="AB347" s="8" t="s">
        <v>782</v>
      </c>
      <c r="AC347" s="15" t="s">
        <v>783</v>
      </c>
      <c r="AD347" s="15" t="s">
        <v>784</v>
      </c>
      <c r="AE347" s="16"/>
      <c r="AF347" s="19"/>
      <c r="AG347" t="str">
        <f>VLOOKUP(OfficeForms.Table[[#This Row],[Nama Proyek]],'Nama Proyek'!$D$2:$G$29,4,0)</f>
        <v>-6.80675464,106.785366</v>
      </c>
      <c r="AH347" s="5"/>
      <c r="AI347" s="5"/>
      <c r="AJ347" s="5"/>
      <c r="AK347" s="5" t="s">
        <v>785</v>
      </c>
    </row>
    <row r="348" spans="1:37" ht="15" hidden="1" customHeight="1">
      <c r="A348">
        <v>321</v>
      </c>
      <c r="B348" s="110">
        <v>44893</v>
      </c>
      <c r="C348" s="28">
        <f>B348</f>
        <v>44893</v>
      </c>
      <c r="D348" s="19" t="s">
        <v>37</v>
      </c>
      <c r="E348" s="19" t="s">
        <v>504</v>
      </c>
      <c r="F348" s="5" t="s">
        <v>504</v>
      </c>
      <c r="G348" s="19" t="s">
        <v>472</v>
      </c>
      <c r="H348" s="106"/>
      <c r="I348" s="96">
        <v>0</v>
      </c>
      <c r="J348" s="96">
        <v>0</v>
      </c>
      <c r="K348" s="96">
        <v>0</v>
      </c>
      <c r="L348" s="96">
        <v>0</v>
      </c>
      <c r="M348" s="96">
        <v>0</v>
      </c>
      <c r="N348" s="96">
        <v>0</v>
      </c>
      <c r="O348" s="96">
        <v>0</v>
      </c>
      <c r="P348" s="96">
        <v>0</v>
      </c>
      <c r="Q348" s="96">
        <v>0</v>
      </c>
      <c r="R348" s="96">
        <v>0</v>
      </c>
      <c r="S348" s="96">
        <v>0</v>
      </c>
      <c r="T348" s="96">
        <v>0</v>
      </c>
      <c r="U348" s="96">
        <v>0</v>
      </c>
      <c r="V348" s="96">
        <v>0</v>
      </c>
      <c r="W348" s="96">
        <v>0</v>
      </c>
      <c r="X348" s="96">
        <v>0</v>
      </c>
      <c r="Y348" s="96">
        <v>0</v>
      </c>
      <c r="Z348" s="96"/>
      <c r="AA348" s="19"/>
      <c r="AB348" s="19"/>
      <c r="AC348" s="19"/>
      <c r="AD348" s="19"/>
      <c r="AE348" s="13" t="s">
        <v>786</v>
      </c>
      <c r="AF348" s="8"/>
      <c r="AG348" t="str">
        <f>VLOOKUP(OfficeForms.Table[[#This Row],[Nama Proyek]],'Nama Proyek'!$D$2:$G$29,4,0)</f>
        <v>-8.29394978,112.00545006</v>
      </c>
      <c r="AH348" s="5"/>
      <c r="AI348" s="5"/>
      <c r="AJ348" s="5"/>
      <c r="AK348" s="5" t="s">
        <v>787</v>
      </c>
    </row>
    <row r="349" spans="1:37" ht="15" hidden="1" customHeight="1">
      <c r="A349">
        <v>323</v>
      </c>
      <c r="B349" s="110">
        <v>44893</v>
      </c>
      <c r="C349" s="28">
        <f>B349</f>
        <v>44893</v>
      </c>
      <c r="D349" s="19" t="s">
        <v>37</v>
      </c>
      <c r="E349" s="19" t="s">
        <v>109</v>
      </c>
      <c r="F349" s="5" t="str">
        <f>E349</f>
        <v>Muhamad Saifudin Ashari</v>
      </c>
      <c r="G349" s="19" t="s">
        <v>39</v>
      </c>
      <c r="H349" s="106"/>
      <c r="I349" s="96">
        <v>0</v>
      </c>
      <c r="J349" s="96">
        <v>0</v>
      </c>
      <c r="K349" s="96">
        <v>0</v>
      </c>
      <c r="L349" s="96">
        <v>0</v>
      </c>
      <c r="M349" s="96">
        <v>0</v>
      </c>
      <c r="N349" s="96">
        <v>0</v>
      </c>
      <c r="O349" s="96">
        <v>0</v>
      </c>
      <c r="P349" s="96">
        <v>0</v>
      </c>
      <c r="Q349" s="96">
        <v>0</v>
      </c>
      <c r="R349" s="96">
        <v>0</v>
      </c>
      <c r="S349" s="96">
        <v>0</v>
      </c>
      <c r="T349" s="96">
        <v>0</v>
      </c>
      <c r="U349" s="96">
        <v>0</v>
      </c>
      <c r="V349" s="96">
        <v>0</v>
      </c>
      <c r="W349" s="96">
        <v>0</v>
      </c>
      <c r="X349" s="96">
        <v>0</v>
      </c>
      <c r="Y349" s="96">
        <v>0</v>
      </c>
      <c r="Z349" s="96"/>
      <c r="AA349" s="19"/>
      <c r="AB349" s="19"/>
      <c r="AC349" s="19"/>
      <c r="AD349" s="19"/>
      <c r="AE349" s="13" t="s">
        <v>788</v>
      </c>
      <c r="AF349" s="8"/>
      <c r="AG349" t="str">
        <f>VLOOKUP(OfficeForms.Table[[#This Row],[Nama Proyek]],'Nama Proyek'!$D$2:$G$29,4,0)</f>
        <v>-6.80675464,106.785366</v>
      </c>
      <c r="AH349" s="5"/>
      <c r="AI349" s="5"/>
      <c r="AJ349" s="5"/>
      <c r="AK349" s="5" t="s">
        <v>789</v>
      </c>
    </row>
    <row r="350" spans="1:37" ht="15" hidden="1" customHeight="1">
      <c r="A350" s="30">
        <v>360</v>
      </c>
      <c r="B350" s="111">
        <v>44893</v>
      </c>
      <c r="C350" s="29">
        <f>B350</f>
        <v>44893</v>
      </c>
      <c r="D350" s="9" t="s">
        <v>37</v>
      </c>
      <c r="E350" s="9" t="s">
        <v>504</v>
      </c>
      <c r="F350" s="5" t="str">
        <f>E350</f>
        <v>Fathan Zul Waskito</v>
      </c>
      <c r="G350" s="9" t="s">
        <v>472</v>
      </c>
      <c r="H350" s="104"/>
      <c r="I350" s="94">
        <v>0</v>
      </c>
      <c r="J350" s="94">
        <v>0</v>
      </c>
      <c r="K350" s="94">
        <v>0</v>
      </c>
      <c r="L350" s="94">
        <v>0</v>
      </c>
      <c r="M350" s="94">
        <v>0</v>
      </c>
      <c r="N350" s="94">
        <v>0</v>
      </c>
      <c r="O350" s="94">
        <v>0</v>
      </c>
      <c r="P350" s="94">
        <v>0</v>
      </c>
      <c r="Q350" s="94">
        <v>0</v>
      </c>
      <c r="R350" s="94">
        <v>0</v>
      </c>
      <c r="S350" s="94">
        <v>0</v>
      </c>
      <c r="T350" s="94">
        <v>0</v>
      </c>
      <c r="U350" s="94">
        <v>0</v>
      </c>
      <c r="V350" s="94">
        <v>0</v>
      </c>
      <c r="W350" s="94">
        <v>0</v>
      </c>
      <c r="X350" s="94">
        <v>0</v>
      </c>
      <c r="Y350" s="94">
        <v>0</v>
      </c>
      <c r="Z350" s="94"/>
      <c r="AA350" s="9" t="s">
        <v>790</v>
      </c>
      <c r="AB350" s="9" t="s">
        <v>791</v>
      </c>
      <c r="AC350" s="9" t="s">
        <v>674</v>
      </c>
      <c r="AD350" s="9" t="s">
        <v>674</v>
      </c>
      <c r="AE350" s="12"/>
      <c r="AF350" s="42"/>
      <c r="AG350" t="str">
        <f>VLOOKUP(OfficeForms.Table[[#This Row],[Nama Proyek]],'Nama Proyek'!$D$2:$G$29,4,0)</f>
        <v>-8.29394978,112.00545006</v>
      </c>
      <c r="AH350" s="5"/>
      <c r="AI350" s="5"/>
      <c r="AJ350" s="5"/>
      <c r="AK350" s="5" t="s">
        <v>792</v>
      </c>
    </row>
    <row r="351" spans="1:37" ht="15" hidden="1" customHeight="1">
      <c r="A351" s="31">
        <v>415</v>
      </c>
      <c r="B351" s="110">
        <v>44893</v>
      </c>
      <c r="C351" s="28">
        <f>B351</f>
        <v>44893</v>
      </c>
      <c r="D351" s="19" t="s">
        <v>37</v>
      </c>
      <c r="E351" s="19" t="s">
        <v>214</v>
      </c>
      <c r="F351" s="5" t="str">
        <f>E351</f>
        <v>BASUKI RAHMAT HAKIM</v>
      </c>
      <c r="G351" s="60" t="s">
        <v>48</v>
      </c>
      <c r="H351" s="106"/>
      <c r="I351" s="96">
        <v>0</v>
      </c>
      <c r="J351" s="96">
        <v>0</v>
      </c>
      <c r="K351" s="96">
        <v>0</v>
      </c>
      <c r="L351" s="96">
        <v>0</v>
      </c>
      <c r="M351" s="96">
        <v>0</v>
      </c>
      <c r="N351" s="96">
        <v>0</v>
      </c>
      <c r="O351" s="96">
        <v>0</v>
      </c>
      <c r="P351" s="96">
        <v>0</v>
      </c>
      <c r="Q351" s="96">
        <v>0</v>
      </c>
      <c r="R351" s="96">
        <v>0</v>
      </c>
      <c r="S351" s="96">
        <v>0</v>
      </c>
      <c r="T351" s="96">
        <v>0</v>
      </c>
      <c r="U351" s="96">
        <v>0</v>
      </c>
      <c r="V351" s="96">
        <v>0</v>
      </c>
      <c r="W351" s="96">
        <v>0</v>
      </c>
      <c r="X351" s="96">
        <v>0</v>
      </c>
      <c r="Y351" s="96">
        <v>0</v>
      </c>
      <c r="Z351" s="96"/>
      <c r="AA351" s="19"/>
      <c r="AB351" s="19"/>
      <c r="AC351" s="19"/>
      <c r="AD351" s="19"/>
      <c r="AE351" s="24" t="s">
        <v>793</v>
      </c>
      <c r="AF351" s="9" t="s">
        <v>794</v>
      </c>
      <c r="AG351" t="str">
        <f>VLOOKUP(OfficeForms.Table[[#This Row],[Nama Proyek]],'Nama Proyek'!$D$2:$G$29,4,0)</f>
        <v>3.76047575,115.89977678</v>
      </c>
      <c r="AH351" s="5"/>
      <c r="AI351" s="5"/>
      <c r="AJ351" s="5"/>
      <c r="AK351" s="5" t="s">
        <v>795</v>
      </c>
    </row>
    <row r="352" spans="1:37" ht="15" hidden="1" customHeight="1">
      <c r="A352" s="30">
        <v>417</v>
      </c>
      <c r="B352" s="110">
        <v>44893</v>
      </c>
      <c r="C352" s="28">
        <f>B352</f>
        <v>44893</v>
      </c>
      <c r="D352" s="19" t="s">
        <v>37</v>
      </c>
      <c r="E352" s="19" t="s">
        <v>82</v>
      </c>
      <c r="F352" s="5" t="str">
        <f>E352</f>
        <v>Ajik Prastiyo</v>
      </c>
      <c r="G352" s="38" t="s">
        <v>80</v>
      </c>
      <c r="H352" s="106"/>
      <c r="I352" s="96">
        <v>0</v>
      </c>
      <c r="J352" s="96">
        <v>0</v>
      </c>
      <c r="K352" s="96">
        <v>0</v>
      </c>
      <c r="L352" s="96">
        <v>0</v>
      </c>
      <c r="M352" s="96">
        <v>0</v>
      </c>
      <c r="N352" s="96">
        <v>0</v>
      </c>
      <c r="O352" s="96">
        <v>0</v>
      </c>
      <c r="P352" s="96">
        <v>0</v>
      </c>
      <c r="Q352" s="96">
        <v>0</v>
      </c>
      <c r="R352" s="96">
        <v>0</v>
      </c>
      <c r="S352" s="96">
        <v>0</v>
      </c>
      <c r="T352" s="96">
        <v>0</v>
      </c>
      <c r="U352" s="96">
        <v>0</v>
      </c>
      <c r="V352" s="96">
        <v>0</v>
      </c>
      <c r="W352" s="96">
        <v>0</v>
      </c>
      <c r="X352" s="96">
        <v>0</v>
      </c>
      <c r="Y352" s="96">
        <v>0</v>
      </c>
      <c r="Z352" s="96"/>
      <c r="AA352" s="19"/>
      <c r="AB352" s="19"/>
      <c r="AC352" s="19"/>
      <c r="AD352" s="19"/>
      <c r="AE352" s="13" t="s">
        <v>786</v>
      </c>
      <c r="AF352" s="8" t="s">
        <v>796</v>
      </c>
      <c r="AG352" t="str">
        <f>VLOOKUP(OfficeForms.Table[[#This Row],[Nama Proyek]],'Nama Proyek'!$D$2:$G$29,4,0)</f>
        <v>-7.82225167,113.29968319</v>
      </c>
      <c r="AH352" s="5"/>
      <c r="AI352" s="5"/>
      <c r="AJ352" s="5"/>
      <c r="AK352" s="5" t="s">
        <v>797</v>
      </c>
    </row>
    <row r="353" spans="1:37" ht="15" hidden="1" customHeight="1">
      <c r="A353" s="50">
        <v>419</v>
      </c>
      <c r="B353" s="110">
        <v>44893</v>
      </c>
      <c r="C353" s="28">
        <f>B353</f>
        <v>44893</v>
      </c>
      <c r="D353" s="19" t="s">
        <v>37</v>
      </c>
      <c r="E353" s="19" t="s">
        <v>82</v>
      </c>
      <c r="F353" s="5" t="str">
        <f>E353</f>
        <v>Ajik Prastiyo</v>
      </c>
      <c r="G353" s="38" t="s">
        <v>80</v>
      </c>
      <c r="H353" s="106"/>
      <c r="I353" s="96">
        <v>0</v>
      </c>
      <c r="J353" s="96">
        <v>0</v>
      </c>
      <c r="K353" s="96">
        <v>0</v>
      </c>
      <c r="L353" s="96">
        <v>0</v>
      </c>
      <c r="M353" s="96">
        <v>0</v>
      </c>
      <c r="N353" s="96">
        <v>0</v>
      </c>
      <c r="O353" s="96">
        <v>0</v>
      </c>
      <c r="P353" s="96">
        <v>0</v>
      </c>
      <c r="Q353" s="96">
        <v>0</v>
      </c>
      <c r="R353" s="96">
        <v>0</v>
      </c>
      <c r="S353" s="96">
        <v>0</v>
      </c>
      <c r="T353" s="96">
        <v>0</v>
      </c>
      <c r="U353" s="96">
        <v>0</v>
      </c>
      <c r="V353" s="96">
        <v>0</v>
      </c>
      <c r="W353" s="96">
        <v>0</v>
      </c>
      <c r="X353" s="96">
        <v>0</v>
      </c>
      <c r="Y353" s="96">
        <v>0</v>
      </c>
      <c r="Z353" s="96"/>
      <c r="AA353" s="19"/>
      <c r="AB353" s="19"/>
      <c r="AC353" s="19"/>
      <c r="AD353" s="19"/>
      <c r="AE353" s="13" t="s">
        <v>786</v>
      </c>
      <c r="AF353" s="9"/>
      <c r="AG353" t="str">
        <f>VLOOKUP(OfficeForms.Table[[#This Row],[Nama Proyek]],'Nama Proyek'!$D$2:$G$29,4,0)</f>
        <v>-7.82225167,113.29968319</v>
      </c>
      <c r="AH353" s="5"/>
      <c r="AI353" s="5"/>
      <c r="AJ353" s="5"/>
      <c r="AK353" s="5" t="s">
        <v>798</v>
      </c>
    </row>
    <row r="354" spans="1:37" ht="15" hidden="1" customHeight="1">
      <c r="A354">
        <v>421</v>
      </c>
      <c r="B354" s="110">
        <v>44893</v>
      </c>
      <c r="C354" s="28">
        <f>B354</f>
        <v>44893</v>
      </c>
      <c r="D354" s="19" t="s">
        <v>37</v>
      </c>
      <c r="E354" s="19" t="s">
        <v>82</v>
      </c>
      <c r="F354" s="5" t="str">
        <f>E354</f>
        <v>Ajik Prastiyo</v>
      </c>
      <c r="G354" s="38" t="s">
        <v>80</v>
      </c>
      <c r="H354" s="106"/>
      <c r="I354" s="96">
        <v>0</v>
      </c>
      <c r="J354" s="96">
        <v>0</v>
      </c>
      <c r="K354" s="96">
        <v>0</v>
      </c>
      <c r="L354" s="96">
        <v>0</v>
      </c>
      <c r="M354" s="96">
        <v>0</v>
      </c>
      <c r="N354" s="96">
        <v>0</v>
      </c>
      <c r="O354" s="96">
        <v>0</v>
      </c>
      <c r="P354" s="96">
        <v>0</v>
      </c>
      <c r="Q354" s="96">
        <v>0</v>
      </c>
      <c r="R354" s="96">
        <v>0</v>
      </c>
      <c r="S354" s="96">
        <v>0</v>
      </c>
      <c r="T354" s="96">
        <v>0</v>
      </c>
      <c r="U354" s="96">
        <v>0</v>
      </c>
      <c r="V354" s="96">
        <v>0</v>
      </c>
      <c r="W354" s="96">
        <v>0</v>
      </c>
      <c r="X354" s="96">
        <v>0</v>
      </c>
      <c r="Y354" s="96">
        <v>0</v>
      </c>
      <c r="Z354" s="96"/>
      <c r="AA354" s="19"/>
      <c r="AB354" s="19"/>
      <c r="AC354" s="19"/>
      <c r="AD354" s="19"/>
      <c r="AE354" s="13" t="s">
        <v>786</v>
      </c>
      <c r="AF354" s="41" t="s">
        <v>799</v>
      </c>
      <c r="AG354" t="str">
        <f>VLOOKUP(OfficeForms.Table[[#This Row],[Nama Proyek]],'Nama Proyek'!$D$2:$G$29,4,0)</f>
        <v>-7.82225167,113.29968319</v>
      </c>
      <c r="AH354" s="5"/>
      <c r="AI354" s="5"/>
      <c r="AJ354" s="5"/>
      <c r="AK354" s="5" t="s">
        <v>800</v>
      </c>
    </row>
    <row r="355" spans="1:37" ht="15" hidden="1" customHeight="1">
      <c r="A355" s="30">
        <v>422</v>
      </c>
      <c r="B355" s="111">
        <v>44893</v>
      </c>
      <c r="C355" s="29">
        <f>B355</f>
        <v>44893</v>
      </c>
      <c r="D355" s="8" t="s">
        <v>37</v>
      </c>
      <c r="E355" s="8" t="s">
        <v>82</v>
      </c>
      <c r="F355" s="5" t="str">
        <f>E355</f>
        <v>Ajik Prastiyo</v>
      </c>
      <c r="G355" s="33" t="s">
        <v>80</v>
      </c>
      <c r="H355" s="104"/>
      <c r="I355" s="95">
        <v>0</v>
      </c>
      <c r="J355" s="95">
        <v>0</v>
      </c>
      <c r="K355" s="95">
        <v>0</v>
      </c>
      <c r="L355" s="95">
        <v>0</v>
      </c>
      <c r="M355" s="95">
        <v>0</v>
      </c>
      <c r="N355" s="95">
        <v>0</v>
      </c>
      <c r="O355" s="95">
        <v>0</v>
      </c>
      <c r="P355" s="95">
        <v>0</v>
      </c>
      <c r="Q355" s="95">
        <v>0</v>
      </c>
      <c r="R355" s="95">
        <v>0</v>
      </c>
      <c r="S355" s="95">
        <v>0</v>
      </c>
      <c r="T355" s="95">
        <v>0</v>
      </c>
      <c r="U355" s="95">
        <v>0</v>
      </c>
      <c r="V355" s="95">
        <v>0</v>
      </c>
      <c r="W355" s="95">
        <v>0</v>
      </c>
      <c r="X355" s="95">
        <v>0</v>
      </c>
      <c r="Y355" s="95">
        <v>0</v>
      </c>
      <c r="Z355" s="95"/>
      <c r="AA355" s="8"/>
      <c r="AB355" s="8"/>
      <c r="AC355" s="8"/>
      <c r="AD355" s="8"/>
      <c r="AE355" s="11" t="s">
        <v>786</v>
      </c>
      <c r="AF355" s="8"/>
      <c r="AG355" t="str">
        <f>VLOOKUP(OfficeForms.Table[[#This Row],[Nama Proyek]],'Nama Proyek'!$D$2:$G$29,4,0)</f>
        <v>-7.82225167,113.29968319</v>
      </c>
      <c r="AH355" s="5"/>
      <c r="AI355" s="5"/>
      <c r="AJ355" s="5"/>
      <c r="AK355" s="5" t="s">
        <v>801</v>
      </c>
    </row>
    <row r="356" spans="1:37" ht="15" hidden="1" customHeight="1">
      <c r="A356" s="30">
        <v>424</v>
      </c>
      <c r="B356" s="111">
        <v>44893</v>
      </c>
      <c r="C356" s="29">
        <f>B356</f>
        <v>44893</v>
      </c>
      <c r="D356" s="8" t="s">
        <v>37</v>
      </c>
      <c r="E356" s="8" t="s">
        <v>214</v>
      </c>
      <c r="F356" s="5" t="str">
        <f>E356</f>
        <v>BASUKI RAHMAT HAKIM</v>
      </c>
      <c r="G356" s="60" t="s">
        <v>48</v>
      </c>
      <c r="H356" s="104"/>
      <c r="I356" s="95">
        <v>0</v>
      </c>
      <c r="J356" s="95">
        <v>0</v>
      </c>
      <c r="K356" s="95">
        <v>0</v>
      </c>
      <c r="L356" s="95">
        <v>0</v>
      </c>
      <c r="M356" s="95">
        <v>0</v>
      </c>
      <c r="N356" s="95">
        <v>0</v>
      </c>
      <c r="O356" s="95">
        <v>0</v>
      </c>
      <c r="P356" s="95">
        <v>0</v>
      </c>
      <c r="Q356" s="95">
        <v>0</v>
      </c>
      <c r="R356" s="95">
        <v>0</v>
      </c>
      <c r="S356" s="95">
        <v>0</v>
      </c>
      <c r="T356" s="95">
        <v>0</v>
      </c>
      <c r="U356" s="95">
        <v>0</v>
      </c>
      <c r="V356" s="95">
        <v>0</v>
      </c>
      <c r="W356" s="95">
        <v>0</v>
      </c>
      <c r="X356" s="95">
        <v>0</v>
      </c>
      <c r="Y356" s="95">
        <v>0</v>
      </c>
      <c r="Z356" s="95"/>
      <c r="AA356" s="8" t="s">
        <v>802</v>
      </c>
      <c r="AB356" s="8" t="s">
        <v>697</v>
      </c>
      <c r="AC356" s="8" t="s">
        <v>803</v>
      </c>
      <c r="AD356" s="8"/>
      <c r="AE356" s="11"/>
      <c r="AF356" s="19" t="s">
        <v>804</v>
      </c>
      <c r="AG356" t="str">
        <f>VLOOKUP(OfficeForms.Table[[#This Row],[Nama Proyek]],'Nama Proyek'!$D$2:$G$29,4,0)</f>
        <v>3.76047575,115.89977678</v>
      </c>
      <c r="AH356" s="5"/>
      <c r="AI356" s="5"/>
      <c r="AJ356" s="5"/>
      <c r="AK356" s="5" t="s">
        <v>805</v>
      </c>
    </row>
    <row r="357" spans="1:37" ht="15" hidden="1" customHeight="1">
      <c r="A357" s="31">
        <v>425</v>
      </c>
      <c r="B357" s="110">
        <v>44893</v>
      </c>
      <c r="C357" s="28">
        <f>B357</f>
        <v>44893</v>
      </c>
      <c r="D357" s="19" t="s">
        <v>37</v>
      </c>
      <c r="E357" s="19" t="s">
        <v>166</v>
      </c>
      <c r="F357" s="5" t="s">
        <v>166</v>
      </c>
      <c r="G357" s="9" t="s">
        <v>167</v>
      </c>
      <c r="H357" s="106"/>
      <c r="I357" s="96">
        <v>0</v>
      </c>
      <c r="J357" s="96">
        <v>0</v>
      </c>
      <c r="K357" s="96">
        <v>0</v>
      </c>
      <c r="L357" s="96">
        <v>0</v>
      </c>
      <c r="M357" s="96">
        <v>0</v>
      </c>
      <c r="N357" s="96">
        <v>0</v>
      </c>
      <c r="O357" s="96">
        <v>0</v>
      </c>
      <c r="P357" s="96">
        <v>0</v>
      </c>
      <c r="Q357" s="96">
        <v>0</v>
      </c>
      <c r="R357" s="96">
        <v>0</v>
      </c>
      <c r="S357" s="96">
        <v>0</v>
      </c>
      <c r="T357" s="96">
        <v>0</v>
      </c>
      <c r="U357" s="96">
        <v>0</v>
      </c>
      <c r="V357" s="96">
        <v>0</v>
      </c>
      <c r="W357" s="96">
        <v>0</v>
      </c>
      <c r="X357" s="96">
        <v>0</v>
      </c>
      <c r="Y357" s="96">
        <v>0</v>
      </c>
      <c r="Z357" s="96"/>
      <c r="AA357" s="19"/>
      <c r="AB357" s="19"/>
      <c r="AC357" s="19"/>
      <c r="AD357" s="19"/>
      <c r="AE357" s="13" t="s">
        <v>786</v>
      </c>
      <c r="AF357" s="17"/>
      <c r="AG357" t="str">
        <f>VLOOKUP(OfficeForms.Table[[#This Row],[Nama Proyek]],'Nama Proyek'!$D$2:$G$29,4,0)</f>
        <v>2.426249030,128.29766314</v>
      </c>
      <c r="AH357" s="5"/>
      <c r="AI357" s="5"/>
      <c r="AJ357" s="5"/>
      <c r="AK357" s="5" t="s">
        <v>806</v>
      </c>
    </row>
    <row r="358" spans="1:37" ht="15" hidden="1" customHeight="1">
      <c r="A358" s="50">
        <v>427</v>
      </c>
      <c r="B358" s="110">
        <v>44893</v>
      </c>
      <c r="C358" s="28">
        <f>B358</f>
        <v>44893</v>
      </c>
      <c r="D358" s="19" t="s">
        <v>37</v>
      </c>
      <c r="E358" s="19" t="s">
        <v>57</v>
      </c>
      <c r="F358" s="5" t="s">
        <v>57</v>
      </c>
      <c r="G358" s="19" t="s">
        <v>58</v>
      </c>
      <c r="H358" s="106"/>
      <c r="I358" s="96">
        <v>0</v>
      </c>
      <c r="J358" s="96">
        <v>0</v>
      </c>
      <c r="K358" s="96">
        <v>0</v>
      </c>
      <c r="L358" s="96">
        <v>0</v>
      </c>
      <c r="M358" s="96">
        <v>0</v>
      </c>
      <c r="N358" s="96">
        <v>0</v>
      </c>
      <c r="O358" s="96">
        <v>0</v>
      </c>
      <c r="P358" s="96">
        <v>0</v>
      </c>
      <c r="Q358" s="96">
        <v>0</v>
      </c>
      <c r="R358" s="96">
        <v>0</v>
      </c>
      <c r="S358" s="96">
        <v>0</v>
      </c>
      <c r="T358" s="96">
        <v>0</v>
      </c>
      <c r="U358" s="96">
        <v>0</v>
      </c>
      <c r="V358" s="96">
        <v>0</v>
      </c>
      <c r="W358" s="96">
        <v>0</v>
      </c>
      <c r="X358" s="96">
        <v>0</v>
      </c>
      <c r="Y358" s="96">
        <v>0</v>
      </c>
      <c r="Z358" s="96"/>
      <c r="AA358" s="19"/>
      <c r="AB358" s="19"/>
      <c r="AC358" s="19"/>
      <c r="AD358" s="19"/>
      <c r="AE358" s="24" t="s">
        <v>130</v>
      </c>
      <c r="AF358" s="8"/>
      <c r="AG358" t="str">
        <f>VLOOKUP(OfficeForms.Table[[#This Row],[Nama Proyek]],'Nama Proyek'!$D$2:$G$29,4,0)</f>
        <v>-6.12967558,107.07321308</v>
      </c>
      <c r="AH358" s="5"/>
      <c r="AI358" s="5"/>
      <c r="AJ358" s="5"/>
      <c r="AK358" s="5" t="s">
        <v>807</v>
      </c>
    </row>
    <row r="359" spans="1:37" ht="15" hidden="1" customHeight="1">
      <c r="A359">
        <v>428</v>
      </c>
      <c r="B359" s="111">
        <v>44893</v>
      </c>
      <c r="C359" s="29">
        <f>B359</f>
        <v>44893</v>
      </c>
      <c r="D359" s="8" t="s">
        <v>37</v>
      </c>
      <c r="E359" s="8" t="s">
        <v>57</v>
      </c>
      <c r="F359" s="5" t="s">
        <v>57</v>
      </c>
      <c r="G359" s="8" t="s">
        <v>58</v>
      </c>
      <c r="H359" s="104"/>
      <c r="I359" s="95">
        <v>0</v>
      </c>
      <c r="J359" s="95">
        <v>0</v>
      </c>
      <c r="K359" s="95">
        <v>0</v>
      </c>
      <c r="L359" s="95">
        <v>0</v>
      </c>
      <c r="M359" s="95">
        <v>0</v>
      </c>
      <c r="N359" s="95">
        <v>0</v>
      </c>
      <c r="O359" s="95">
        <v>0</v>
      </c>
      <c r="P359" s="95">
        <v>0</v>
      </c>
      <c r="Q359" s="95">
        <v>0</v>
      </c>
      <c r="R359" s="95">
        <v>0</v>
      </c>
      <c r="S359" s="95">
        <v>0</v>
      </c>
      <c r="T359" s="95">
        <v>0</v>
      </c>
      <c r="U359" s="95">
        <v>0</v>
      </c>
      <c r="V359" s="95">
        <v>0</v>
      </c>
      <c r="W359" s="95">
        <v>0</v>
      </c>
      <c r="X359" s="95">
        <v>0</v>
      </c>
      <c r="Y359" s="95">
        <v>0</v>
      </c>
      <c r="Z359" s="95"/>
      <c r="AA359" s="8" t="s">
        <v>808</v>
      </c>
      <c r="AB359" s="8"/>
      <c r="AC359" s="8" t="s">
        <v>649</v>
      </c>
      <c r="AD359" s="8" t="s">
        <v>649</v>
      </c>
      <c r="AE359" s="11"/>
      <c r="AF359" s="19" t="s">
        <v>606</v>
      </c>
      <c r="AG359" t="str">
        <f>VLOOKUP(OfficeForms.Table[[#This Row],[Nama Proyek]],'Nama Proyek'!$D$2:$G$29,4,0)</f>
        <v>-6.12967558,107.07321308</v>
      </c>
      <c r="AH359" s="5"/>
      <c r="AI359" s="5"/>
      <c r="AJ359" s="5"/>
      <c r="AK359" s="5" t="s">
        <v>809</v>
      </c>
    </row>
    <row r="360" spans="1:37" ht="15" hidden="1" customHeight="1">
      <c r="A360" s="31">
        <v>430</v>
      </c>
      <c r="B360" s="111">
        <v>44893</v>
      </c>
      <c r="C360" s="29">
        <f>B360</f>
        <v>44893</v>
      </c>
      <c r="D360" s="8" t="s">
        <v>37</v>
      </c>
      <c r="E360" s="8" t="s">
        <v>278</v>
      </c>
      <c r="F360" s="5" t="str">
        <f>E360</f>
        <v>Teddy Pradana</v>
      </c>
      <c r="G360" s="9" t="s">
        <v>167</v>
      </c>
      <c r="H360" s="104"/>
      <c r="I360" s="95">
        <v>0</v>
      </c>
      <c r="J360" s="95">
        <v>0</v>
      </c>
      <c r="K360" s="95">
        <v>0</v>
      </c>
      <c r="L360" s="95">
        <v>0</v>
      </c>
      <c r="M360" s="95">
        <v>0</v>
      </c>
      <c r="N360" s="95">
        <v>0</v>
      </c>
      <c r="O360" s="95">
        <v>0</v>
      </c>
      <c r="P360" s="95">
        <v>0</v>
      </c>
      <c r="Q360" s="95">
        <v>0</v>
      </c>
      <c r="R360" s="95">
        <v>0</v>
      </c>
      <c r="S360" s="95">
        <v>0</v>
      </c>
      <c r="T360" s="95">
        <v>0</v>
      </c>
      <c r="U360" s="95">
        <v>0</v>
      </c>
      <c r="V360" s="95">
        <v>0</v>
      </c>
      <c r="W360" s="95">
        <v>0</v>
      </c>
      <c r="X360" s="95">
        <v>0</v>
      </c>
      <c r="Y360" s="95">
        <v>0</v>
      </c>
      <c r="Z360" s="95"/>
      <c r="AA360" s="63" t="s">
        <v>810</v>
      </c>
      <c r="AB360" s="8"/>
      <c r="AC360" s="8" t="s">
        <v>811</v>
      </c>
      <c r="AD360" s="8"/>
      <c r="AE360" s="11"/>
      <c r="AF360" s="8" t="s">
        <v>812</v>
      </c>
      <c r="AG360" t="str">
        <f>VLOOKUP(OfficeForms.Table[[#This Row],[Nama Proyek]],'Nama Proyek'!$D$2:$G$29,4,0)</f>
        <v>2.426249030,128.29766314</v>
      </c>
      <c r="AH360" s="5"/>
      <c r="AI360" s="5"/>
      <c r="AJ360" s="5"/>
      <c r="AK360" s="5" t="s">
        <v>813</v>
      </c>
    </row>
    <row r="361" spans="1:37" ht="15" hidden="1" customHeight="1">
      <c r="A361" s="31">
        <v>444</v>
      </c>
      <c r="B361" s="111">
        <v>44893</v>
      </c>
      <c r="C361" s="29">
        <f>B361</f>
        <v>44893</v>
      </c>
      <c r="D361" s="9" t="s">
        <v>37</v>
      </c>
      <c r="E361" s="9" t="s">
        <v>687</v>
      </c>
      <c r="F361" s="5" t="str">
        <f>E361</f>
        <v>Andri Julio Hermawan</v>
      </c>
      <c r="G361" s="22" t="s">
        <v>750</v>
      </c>
      <c r="H361" s="104"/>
      <c r="I361" s="94">
        <v>0</v>
      </c>
      <c r="J361" s="94">
        <v>0</v>
      </c>
      <c r="K361" s="94">
        <v>0</v>
      </c>
      <c r="L361" s="94">
        <v>0</v>
      </c>
      <c r="M361" s="94">
        <v>0</v>
      </c>
      <c r="N361" s="94">
        <v>0</v>
      </c>
      <c r="O361" s="94">
        <v>0</v>
      </c>
      <c r="P361" s="94">
        <v>0</v>
      </c>
      <c r="Q361" s="94">
        <v>0</v>
      </c>
      <c r="R361" s="94">
        <v>0</v>
      </c>
      <c r="S361" s="94">
        <v>0</v>
      </c>
      <c r="T361" s="94">
        <v>0</v>
      </c>
      <c r="U361" s="94">
        <v>0</v>
      </c>
      <c r="V361" s="94">
        <v>0</v>
      </c>
      <c r="W361" s="94">
        <v>0</v>
      </c>
      <c r="X361" s="94">
        <v>0</v>
      </c>
      <c r="Y361" s="94">
        <v>0</v>
      </c>
      <c r="Z361" s="94"/>
      <c r="AA361" s="9" t="s">
        <v>814</v>
      </c>
      <c r="AB361" s="9" t="s">
        <v>815</v>
      </c>
      <c r="AC361" s="9"/>
      <c r="AD361" s="9"/>
      <c r="AE361" s="12"/>
      <c r="AF361" s="8"/>
      <c r="AG361" t="str">
        <f>VLOOKUP(OfficeForms.Table[[#This Row],[Nama Proyek]],'Nama Proyek'!$D$2:$G$29,4,0)</f>
        <v>-1.10415341,116.73424356</v>
      </c>
      <c r="AH361" s="5"/>
      <c r="AI361" s="5"/>
      <c r="AJ361" s="5"/>
      <c r="AK361" s="5" t="s">
        <v>816</v>
      </c>
    </row>
    <row r="362" spans="1:37" ht="15" hidden="1" customHeight="1">
      <c r="A362" s="31">
        <v>553</v>
      </c>
      <c r="B362" s="110">
        <v>44893</v>
      </c>
      <c r="C362" s="28">
        <f>B362</f>
        <v>44893</v>
      </c>
      <c r="D362" s="8" t="s">
        <v>37</v>
      </c>
      <c r="E362" s="8" t="s">
        <v>54</v>
      </c>
      <c r="F362" s="5" t="str">
        <f>E362</f>
        <v>Haryo Widiandoko</v>
      </c>
      <c r="G362" s="19" t="s">
        <v>55</v>
      </c>
      <c r="H362" s="106"/>
      <c r="I362" s="95">
        <v>0</v>
      </c>
      <c r="J362" s="95">
        <v>0</v>
      </c>
      <c r="K362" s="95">
        <v>0</v>
      </c>
      <c r="L362" s="95">
        <v>0</v>
      </c>
      <c r="M362" s="95">
        <v>0</v>
      </c>
      <c r="N362" s="95">
        <v>0</v>
      </c>
      <c r="O362" s="95">
        <v>0</v>
      </c>
      <c r="P362" s="95">
        <v>0</v>
      </c>
      <c r="Q362" s="95">
        <v>0</v>
      </c>
      <c r="R362" s="95">
        <v>0</v>
      </c>
      <c r="S362" s="95">
        <v>0</v>
      </c>
      <c r="T362" s="95">
        <v>0</v>
      </c>
      <c r="U362" s="95">
        <v>0</v>
      </c>
      <c r="V362" s="95">
        <v>0</v>
      </c>
      <c r="W362" s="95">
        <v>0</v>
      </c>
      <c r="X362" s="95">
        <v>0</v>
      </c>
      <c r="Y362" s="95">
        <v>0</v>
      </c>
      <c r="Z362" s="95"/>
      <c r="AA362" s="8" t="s">
        <v>817</v>
      </c>
      <c r="AB362" s="8" t="s">
        <v>818</v>
      </c>
      <c r="AC362" s="8" t="s">
        <v>819</v>
      </c>
      <c r="AD362" s="8" t="s">
        <v>819</v>
      </c>
      <c r="AE362" s="11"/>
      <c r="AF362" s="8" t="s">
        <v>820</v>
      </c>
      <c r="AG362" t="str">
        <f>VLOOKUP(OfficeForms.Table[[#This Row],[Nama Proyek]],'Nama Proyek'!$D$2:$G$29,4,0)</f>
        <v>-6.42873464,107.19897003</v>
      </c>
      <c r="AH362" s="5"/>
      <c r="AI362" s="5"/>
      <c r="AJ362" s="5"/>
      <c r="AK362" s="5" t="s">
        <v>821</v>
      </c>
    </row>
    <row r="363" spans="1:37" ht="15" hidden="1" customHeight="1">
      <c r="A363">
        <v>554</v>
      </c>
      <c r="B363" s="111">
        <v>44893</v>
      </c>
      <c r="C363" s="29">
        <f>B363</f>
        <v>44893</v>
      </c>
      <c r="D363" s="8" t="s">
        <v>37</v>
      </c>
      <c r="E363" s="8" t="s">
        <v>54</v>
      </c>
      <c r="F363" s="5" t="str">
        <f>E363</f>
        <v>Haryo Widiandoko</v>
      </c>
      <c r="G363" s="9" t="s">
        <v>55</v>
      </c>
      <c r="H363" s="104"/>
      <c r="I363" s="95">
        <v>0</v>
      </c>
      <c r="J363" s="95">
        <v>0</v>
      </c>
      <c r="K363" s="95">
        <v>0</v>
      </c>
      <c r="L363" s="95">
        <v>0</v>
      </c>
      <c r="M363" s="95">
        <v>0</v>
      </c>
      <c r="N363" s="95">
        <v>0</v>
      </c>
      <c r="O363" s="95">
        <v>0</v>
      </c>
      <c r="P363" s="95">
        <v>0</v>
      </c>
      <c r="Q363" s="95">
        <v>0</v>
      </c>
      <c r="R363" s="95">
        <v>0</v>
      </c>
      <c r="S363" s="95">
        <v>0</v>
      </c>
      <c r="T363" s="95">
        <v>0</v>
      </c>
      <c r="U363" s="95">
        <v>0</v>
      </c>
      <c r="V363" s="95">
        <v>0</v>
      </c>
      <c r="W363" s="95">
        <v>0</v>
      </c>
      <c r="X363" s="95">
        <v>0</v>
      </c>
      <c r="Y363" s="95">
        <v>0</v>
      </c>
      <c r="Z363" s="95"/>
      <c r="AA363" s="8"/>
      <c r="AB363" s="8"/>
      <c r="AC363" s="8"/>
      <c r="AD363" s="8"/>
      <c r="AE363" s="11">
        <v>44753</v>
      </c>
      <c r="AF363" s="26" t="s">
        <v>689</v>
      </c>
      <c r="AG363" t="str">
        <f>VLOOKUP(OfficeForms.Table[[#This Row],[Nama Proyek]],'Nama Proyek'!$D$2:$G$29,4,0)</f>
        <v>-6.42873464,107.19897003</v>
      </c>
      <c r="AH363" s="5"/>
      <c r="AI363" s="5"/>
      <c r="AJ363" s="5"/>
      <c r="AK363" s="5" t="s">
        <v>822</v>
      </c>
    </row>
    <row r="364" spans="1:37" ht="15" hidden="1" customHeight="1">
      <c r="A364" s="50">
        <v>641</v>
      </c>
      <c r="B364" s="110">
        <v>44893</v>
      </c>
      <c r="C364" s="28">
        <f>B364</f>
        <v>44893</v>
      </c>
      <c r="D364" s="8" t="s">
        <v>37</v>
      </c>
      <c r="E364" s="8" t="s">
        <v>75</v>
      </c>
      <c r="F364" s="5" t="str">
        <f>E364</f>
        <v>Banyu Purwita</v>
      </c>
      <c r="G364" s="55" t="s">
        <v>76</v>
      </c>
      <c r="H364" s="106"/>
      <c r="I364" s="95">
        <v>0</v>
      </c>
      <c r="J364" s="95">
        <v>0</v>
      </c>
      <c r="K364" s="95">
        <v>0</v>
      </c>
      <c r="L364" s="95">
        <v>0</v>
      </c>
      <c r="M364" s="95">
        <v>0</v>
      </c>
      <c r="N364" s="95">
        <v>0</v>
      </c>
      <c r="O364" s="95">
        <v>0</v>
      </c>
      <c r="P364" s="95">
        <v>0</v>
      </c>
      <c r="Q364" s="95">
        <v>0</v>
      </c>
      <c r="R364" s="95">
        <v>0</v>
      </c>
      <c r="S364" s="95">
        <v>0</v>
      </c>
      <c r="T364" s="95">
        <v>0</v>
      </c>
      <c r="U364" s="95">
        <v>0</v>
      </c>
      <c r="V364" s="95">
        <v>0</v>
      </c>
      <c r="W364" s="95">
        <v>0</v>
      </c>
      <c r="X364" s="95">
        <v>0</v>
      </c>
      <c r="Y364" s="95">
        <v>0</v>
      </c>
      <c r="Z364" s="95"/>
      <c r="AA364" s="8"/>
      <c r="AB364" s="8"/>
      <c r="AC364" s="8"/>
      <c r="AD364" s="8"/>
      <c r="AE364" s="16" t="s">
        <v>788</v>
      </c>
      <c r="AF364" s="17"/>
      <c r="AG364" t="str">
        <f>VLOOKUP(OfficeForms.Table[[#This Row],[Nama Proyek]],'Nama Proyek'!$D$2:$G$29,4,0)</f>
        <v>-2.95293103,104.75455094</v>
      </c>
      <c r="AH364" s="5"/>
      <c r="AI364" s="5"/>
      <c r="AJ364" s="5"/>
      <c r="AK364" s="5" t="s">
        <v>823</v>
      </c>
    </row>
    <row r="365" spans="1:37" ht="15" hidden="1" customHeight="1">
      <c r="A365" s="31">
        <v>216</v>
      </c>
      <c r="B365" s="111">
        <v>44894</v>
      </c>
      <c r="C365" s="29">
        <f>B365</f>
        <v>44894</v>
      </c>
      <c r="D365" s="9" t="s">
        <v>37</v>
      </c>
      <c r="E365" s="9" t="s">
        <v>51</v>
      </c>
      <c r="F365" s="5" t="str">
        <f>E365</f>
        <v>Riezky Ibnu Prasetyo</v>
      </c>
      <c r="G365" s="8" t="s">
        <v>52</v>
      </c>
      <c r="H365" s="104">
        <v>44890</v>
      </c>
      <c r="I365" s="94">
        <v>86.072000000000003</v>
      </c>
      <c r="J365" s="94">
        <v>86.070999999999998</v>
      </c>
      <c r="K365" s="94">
        <v>0</v>
      </c>
      <c r="L365" s="94">
        <v>0</v>
      </c>
      <c r="M365" s="94">
        <v>0</v>
      </c>
      <c r="N365" s="94">
        <v>0</v>
      </c>
      <c r="O365" s="94">
        <v>0</v>
      </c>
      <c r="P365" s="94">
        <v>0</v>
      </c>
      <c r="Q365" s="94">
        <v>0</v>
      </c>
      <c r="R365" s="94">
        <v>0.22900000000000001</v>
      </c>
      <c r="S365" s="94">
        <v>1.883</v>
      </c>
      <c r="T365" s="94">
        <v>0</v>
      </c>
      <c r="U365" s="94">
        <v>0</v>
      </c>
      <c r="V365" s="94">
        <v>9.9000000000000005E-2</v>
      </c>
      <c r="W365" s="94">
        <v>0</v>
      </c>
      <c r="X365" s="94">
        <v>0</v>
      </c>
      <c r="Y365" s="94">
        <v>0</v>
      </c>
      <c r="Z365" s="94"/>
      <c r="AA365" s="9"/>
      <c r="AB365" s="9"/>
      <c r="AC365" s="9"/>
      <c r="AD365" s="9"/>
      <c r="AE365" s="18"/>
      <c r="AF365" s="19"/>
      <c r="AG365" t="str">
        <f>VLOOKUP(OfficeForms.Table[[#This Row],[Nama Proyek]],'Nama Proyek'!$D$2:$G$29,4,0)</f>
        <v>-6.13491053,106.93675986</v>
      </c>
      <c r="AH365" s="5"/>
      <c r="AI365" s="5"/>
      <c r="AJ365" s="5"/>
      <c r="AK365" s="5" t="s">
        <v>824</v>
      </c>
    </row>
    <row r="366" spans="1:37" ht="15" hidden="1" customHeight="1">
      <c r="A366" s="31">
        <v>436</v>
      </c>
      <c r="B366" s="111">
        <v>44894</v>
      </c>
      <c r="C366" s="29">
        <f>B366</f>
        <v>44894</v>
      </c>
      <c r="D366" s="9" t="s">
        <v>37</v>
      </c>
      <c r="E366" s="9" t="s">
        <v>214</v>
      </c>
      <c r="F366" s="5" t="str">
        <f>E366</f>
        <v>BASUKI RAHMAT HAKIM</v>
      </c>
      <c r="G366" s="60" t="s">
        <v>48</v>
      </c>
      <c r="H366" s="104">
        <v>44890</v>
      </c>
      <c r="I366" s="94">
        <v>42</v>
      </c>
      <c r="J366" s="94">
        <v>47.95</v>
      </c>
      <c r="K366" s="94">
        <v>0</v>
      </c>
      <c r="L366" s="94">
        <v>40.317</v>
      </c>
      <c r="M366" s="94">
        <v>0</v>
      </c>
      <c r="N366" s="94">
        <v>0</v>
      </c>
      <c r="O366" s="94">
        <v>0</v>
      </c>
      <c r="P366" s="94">
        <v>0</v>
      </c>
      <c r="Q366" s="94">
        <v>0</v>
      </c>
      <c r="R366" s="94">
        <v>0.23100000000000001</v>
      </c>
      <c r="S366" s="94">
        <v>0</v>
      </c>
      <c r="T366" s="94">
        <v>0</v>
      </c>
      <c r="U366" s="94">
        <v>0</v>
      </c>
      <c r="V366" s="94">
        <v>0</v>
      </c>
      <c r="W366" s="94">
        <v>0</v>
      </c>
      <c r="X366" s="94">
        <v>0</v>
      </c>
      <c r="Y366" s="94">
        <v>0</v>
      </c>
      <c r="Z366" s="94"/>
      <c r="AA366" s="9"/>
      <c r="AB366" s="9"/>
      <c r="AC366" s="9"/>
      <c r="AD366" s="9"/>
      <c r="AE366" s="12"/>
      <c r="AF366" s="15"/>
      <c r="AG366" t="str">
        <f>VLOOKUP(OfficeForms.Table[[#This Row],[Nama Proyek]],'Nama Proyek'!$D$2:$G$29,4,0)</f>
        <v>3.76047575,115.89977678</v>
      </c>
      <c r="AH366" s="5"/>
      <c r="AI366" s="5"/>
      <c r="AJ366" s="5"/>
      <c r="AK366" s="5" t="s">
        <v>825</v>
      </c>
    </row>
    <row r="367" spans="1:37" ht="15" hidden="1" customHeight="1">
      <c r="A367" s="31">
        <v>438</v>
      </c>
      <c r="B367" s="111">
        <v>44894</v>
      </c>
      <c r="C367" s="29">
        <f>B367</f>
        <v>44894</v>
      </c>
      <c r="D367" s="9" t="s">
        <v>37</v>
      </c>
      <c r="E367" s="9" t="s">
        <v>716</v>
      </c>
      <c r="F367" s="5" t="str">
        <f>E367</f>
        <v>Tri Suseno</v>
      </c>
      <c r="G367" s="8" t="s">
        <v>717</v>
      </c>
      <c r="H367" s="104">
        <v>44890</v>
      </c>
      <c r="I367" s="94">
        <v>91.733999999999995</v>
      </c>
      <c r="J367" s="94">
        <v>96.391999999999996</v>
      </c>
      <c r="K367" s="94">
        <v>0</v>
      </c>
      <c r="L367" s="94">
        <v>0</v>
      </c>
      <c r="M367" s="94">
        <v>2.6739999999999999</v>
      </c>
      <c r="N367" s="94">
        <v>0</v>
      </c>
      <c r="O367" s="94">
        <v>10.236000000000001</v>
      </c>
      <c r="P367" s="94">
        <v>0</v>
      </c>
      <c r="Q367" s="94">
        <v>13.722</v>
      </c>
      <c r="R367" s="94">
        <v>37.473999999999997</v>
      </c>
      <c r="S367" s="94">
        <v>19.850999999999999</v>
      </c>
      <c r="T367" s="94">
        <v>0</v>
      </c>
      <c r="U367" s="94">
        <v>6.7949999999999999</v>
      </c>
      <c r="V367" s="94">
        <v>0</v>
      </c>
      <c r="W367" s="94">
        <v>0</v>
      </c>
      <c r="X367" s="94">
        <v>0</v>
      </c>
      <c r="Y367" s="94">
        <v>0</v>
      </c>
      <c r="Z367" s="94"/>
      <c r="AA367" s="9"/>
      <c r="AB367" s="9"/>
      <c r="AC367" s="9"/>
      <c r="AD367" s="9"/>
      <c r="AE367" s="18"/>
      <c r="AF367" s="8" t="s">
        <v>826</v>
      </c>
      <c r="AG367" t="str">
        <f>VLOOKUP(OfficeForms.Table[[#This Row],[Nama Proyek]],'Nama Proyek'!$D$2:$G$29,4,0)</f>
        <v>3.76271056,115.88262689</v>
      </c>
      <c r="AH367" s="5"/>
      <c r="AI367" s="5"/>
      <c r="AJ367" s="5"/>
      <c r="AK367" s="5" t="s">
        <v>827</v>
      </c>
    </row>
    <row r="368" spans="1:37" ht="15" hidden="1" customHeight="1">
      <c r="A368" s="50">
        <v>897</v>
      </c>
      <c r="B368" s="110">
        <v>44894</v>
      </c>
      <c r="C368" s="28">
        <f>B368</f>
        <v>44894</v>
      </c>
      <c r="D368" s="8" t="s">
        <v>37</v>
      </c>
      <c r="E368" s="8" t="s">
        <v>773</v>
      </c>
      <c r="F368" s="5" t="str">
        <f>E368</f>
        <v>Rasendriya Ramanda Darettamarlan</v>
      </c>
      <c r="G368" s="38" t="s">
        <v>714</v>
      </c>
      <c r="H368" s="105">
        <v>44890</v>
      </c>
      <c r="I368" s="95">
        <v>4.17</v>
      </c>
      <c r="J368" s="95">
        <v>7.9119999999999999</v>
      </c>
      <c r="K368" s="95">
        <v>0</v>
      </c>
      <c r="L368" s="95">
        <v>10.3</v>
      </c>
      <c r="M368" s="95">
        <v>0</v>
      </c>
      <c r="N368" s="95">
        <v>0</v>
      </c>
      <c r="O368" s="95">
        <v>0</v>
      </c>
      <c r="P368" s="95">
        <v>0.28999999999999998</v>
      </c>
      <c r="Q368" s="95">
        <v>0</v>
      </c>
      <c r="R368" s="95">
        <v>0</v>
      </c>
      <c r="S368" s="95">
        <v>0</v>
      </c>
      <c r="T368" s="95">
        <v>0</v>
      </c>
      <c r="U368" s="95">
        <v>0</v>
      </c>
      <c r="V368" s="95">
        <v>0</v>
      </c>
      <c r="W368" s="95">
        <v>0</v>
      </c>
      <c r="X368" s="95">
        <v>0</v>
      </c>
      <c r="Y368" s="95">
        <v>0</v>
      </c>
      <c r="Z368" s="95"/>
      <c r="AA368" s="8"/>
      <c r="AB368" s="8"/>
      <c r="AC368" s="8"/>
      <c r="AD368" s="8"/>
      <c r="AE368" s="11"/>
      <c r="AF368" s="9"/>
      <c r="AG368" t="str">
        <f>VLOOKUP(OfficeForms.Table[[#This Row],[Nama Proyek]],'Nama Proyek'!$D$2:$G$29,4,0)</f>
        <v>-0.95259625,116.71704453</v>
      </c>
      <c r="AH368" s="5"/>
      <c r="AI368" s="5"/>
      <c r="AJ368" s="5"/>
      <c r="AK368" s="5" t="s">
        <v>828</v>
      </c>
    </row>
    <row r="369" spans="1:37" ht="15" hidden="1" customHeight="1">
      <c r="A369">
        <v>798</v>
      </c>
      <c r="B369" s="111">
        <v>44894</v>
      </c>
      <c r="C369" s="29">
        <f>B369</f>
        <v>44894</v>
      </c>
      <c r="D369" s="8" t="s">
        <v>37</v>
      </c>
      <c r="E369" s="8" t="s">
        <v>64</v>
      </c>
      <c r="F369" s="5" t="str">
        <f>E369</f>
        <v>Nizar Zulkarnain</v>
      </c>
      <c r="G369" s="9" t="s">
        <v>65</v>
      </c>
      <c r="H369" s="105">
        <v>44892</v>
      </c>
      <c r="I369" s="95">
        <v>73.727999999999994</v>
      </c>
      <c r="J369" s="95">
        <v>78.247</v>
      </c>
      <c r="K369" s="95">
        <v>64.36</v>
      </c>
      <c r="L369" s="95">
        <v>57.51</v>
      </c>
      <c r="M369" s="95">
        <v>81.55</v>
      </c>
      <c r="N369" s="95">
        <v>83.14</v>
      </c>
      <c r="O369" s="95">
        <v>49.16</v>
      </c>
      <c r="P369" s="95">
        <v>61.09</v>
      </c>
      <c r="Q369" s="95">
        <v>57.19</v>
      </c>
      <c r="R369" s="95">
        <v>55.29</v>
      </c>
      <c r="S369" s="95">
        <v>83.14</v>
      </c>
      <c r="T369" s="95">
        <v>89.92</v>
      </c>
      <c r="U369" s="95">
        <v>34.33</v>
      </c>
      <c r="V369" s="95">
        <v>18.399999999999999</v>
      </c>
      <c r="W369" s="95">
        <v>0</v>
      </c>
      <c r="X369" s="95">
        <v>98.36</v>
      </c>
      <c r="Y369" s="95">
        <v>41.02</v>
      </c>
      <c r="Z369" s="95"/>
      <c r="AA369" s="8"/>
      <c r="AB369" s="8"/>
      <c r="AC369" s="8"/>
      <c r="AD369" s="8"/>
      <c r="AE369" s="11"/>
      <c r="AF369" s="8"/>
      <c r="AG369" t="str">
        <f>VLOOKUP(OfficeForms.Table[[#This Row],[Nama Proyek]],'Nama Proyek'!$D$2:$G$29,4,0)</f>
        <v>-6.35008011,107.02324233</v>
      </c>
      <c r="AH369" s="5"/>
      <c r="AI369" s="5"/>
      <c r="AJ369" s="5"/>
      <c r="AK369" s="5" t="s">
        <v>829</v>
      </c>
    </row>
    <row r="370" spans="1:37" ht="15" hidden="1" customHeight="1">
      <c r="A370" s="31">
        <v>228</v>
      </c>
      <c r="B370" s="111">
        <v>44894</v>
      </c>
      <c r="C370" s="29">
        <f>B370</f>
        <v>44894</v>
      </c>
      <c r="D370" s="9" t="s">
        <v>37</v>
      </c>
      <c r="E370" s="9" t="s">
        <v>64</v>
      </c>
      <c r="F370" s="5" t="str">
        <f>E370</f>
        <v>Nizar Zulkarnain</v>
      </c>
      <c r="G370" s="9" t="s">
        <v>65</v>
      </c>
      <c r="H370" s="104"/>
      <c r="I370" s="94">
        <v>0</v>
      </c>
      <c r="J370" s="94">
        <v>0</v>
      </c>
      <c r="K370" s="94">
        <v>0</v>
      </c>
      <c r="L370" s="94">
        <v>0</v>
      </c>
      <c r="M370" s="94">
        <v>0</v>
      </c>
      <c r="N370" s="94">
        <v>0</v>
      </c>
      <c r="O370" s="94">
        <v>0</v>
      </c>
      <c r="P370" s="94">
        <v>0</v>
      </c>
      <c r="Q370" s="94">
        <v>0</v>
      </c>
      <c r="R370" s="94">
        <v>0</v>
      </c>
      <c r="S370" s="94">
        <v>0</v>
      </c>
      <c r="T370" s="94">
        <v>0</v>
      </c>
      <c r="U370" s="94">
        <v>0</v>
      </c>
      <c r="V370" s="94">
        <v>0</v>
      </c>
      <c r="W370" s="94">
        <v>0</v>
      </c>
      <c r="X370" s="94">
        <v>0</v>
      </c>
      <c r="Y370" s="94">
        <v>0</v>
      </c>
      <c r="Z370" s="94"/>
      <c r="AA370" s="9"/>
      <c r="AB370" s="9"/>
      <c r="AC370" s="9"/>
      <c r="AD370" s="9"/>
      <c r="AE370" s="12" t="s">
        <v>830</v>
      </c>
      <c r="AF370" s="19"/>
      <c r="AG370" t="str">
        <f>VLOOKUP(OfficeForms.Table[[#This Row],[Nama Proyek]],'Nama Proyek'!$D$2:$G$29,4,0)</f>
        <v>-6.35008011,107.02324233</v>
      </c>
      <c r="AH370" s="5"/>
      <c r="AI370" s="5"/>
      <c r="AJ370" s="5"/>
      <c r="AK370" s="5" t="s">
        <v>831</v>
      </c>
    </row>
    <row r="371" spans="1:37" ht="15" hidden="1" customHeight="1">
      <c r="A371" s="50">
        <v>437</v>
      </c>
      <c r="B371" s="110">
        <v>44894</v>
      </c>
      <c r="C371" s="28">
        <f>B371</f>
        <v>44894</v>
      </c>
      <c r="D371" s="8" t="s">
        <v>37</v>
      </c>
      <c r="E371" s="8" t="s">
        <v>214</v>
      </c>
      <c r="F371" s="5" t="str">
        <f>E371</f>
        <v>BASUKI RAHMAT HAKIM</v>
      </c>
      <c r="G371" s="60" t="s">
        <v>48</v>
      </c>
      <c r="H371" s="106"/>
      <c r="I371" s="95">
        <v>0</v>
      </c>
      <c r="J371" s="95">
        <v>0</v>
      </c>
      <c r="K371" s="95">
        <v>0</v>
      </c>
      <c r="L371" s="95">
        <v>0</v>
      </c>
      <c r="M371" s="95">
        <v>0</v>
      </c>
      <c r="N371" s="95">
        <v>0</v>
      </c>
      <c r="O371" s="95">
        <v>0</v>
      </c>
      <c r="P371" s="95">
        <v>0</v>
      </c>
      <c r="Q371" s="95">
        <v>0</v>
      </c>
      <c r="R371" s="95">
        <v>0</v>
      </c>
      <c r="S371" s="95">
        <v>0</v>
      </c>
      <c r="T371" s="95">
        <v>0</v>
      </c>
      <c r="U371" s="95">
        <v>0</v>
      </c>
      <c r="V371" s="95">
        <v>0</v>
      </c>
      <c r="W371" s="95">
        <v>0</v>
      </c>
      <c r="X371" s="95">
        <v>0</v>
      </c>
      <c r="Y371" s="95">
        <v>0</v>
      </c>
      <c r="Z371" s="95"/>
      <c r="AA371" s="8" t="s">
        <v>832</v>
      </c>
      <c r="AB371" s="8" t="s">
        <v>697</v>
      </c>
      <c r="AC371" s="8" t="s">
        <v>833</v>
      </c>
      <c r="AD371" s="8"/>
      <c r="AE371" s="11"/>
      <c r="AF371" s="9"/>
      <c r="AG371" t="str">
        <f>VLOOKUP(OfficeForms.Table[[#This Row],[Nama Proyek]],'Nama Proyek'!$D$2:$G$29,4,0)</f>
        <v>3.76047575,115.89977678</v>
      </c>
      <c r="AH371" s="5"/>
      <c r="AI371" s="5"/>
      <c r="AJ371" s="5"/>
      <c r="AK371" s="5" t="s">
        <v>834</v>
      </c>
    </row>
    <row r="372" spans="1:37" ht="15" hidden="1" customHeight="1">
      <c r="A372">
        <v>439</v>
      </c>
      <c r="B372" s="110">
        <v>44894</v>
      </c>
      <c r="C372" s="28">
        <f>B372</f>
        <v>44894</v>
      </c>
      <c r="D372" s="8" t="s">
        <v>37</v>
      </c>
      <c r="E372" s="8" t="s">
        <v>716</v>
      </c>
      <c r="F372" s="5" t="str">
        <f>E372</f>
        <v>Tri Suseno</v>
      </c>
      <c r="G372" s="8" t="s">
        <v>717</v>
      </c>
      <c r="H372" s="106"/>
      <c r="I372" s="95">
        <v>0</v>
      </c>
      <c r="J372" s="95">
        <v>0</v>
      </c>
      <c r="K372" s="95">
        <v>0</v>
      </c>
      <c r="L372" s="95">
        <v>0</v>
      </c>
      <c r="M372" s="95">
        <v>0</v>
      </c>
      <c r="N372" s="95">
        <v>0</v>
      </c>
      <c r="O372" s="95">
        <v>0</v>
      </c>
      <c r="P372" s="95">
        <v>0</v>
      </c>
      <c r="Q372" s="95">
        <v>0</v>
      </c>
      <c r="R372" s="95">
        <v>0</v>
      </c>
      <c r="S372" s="95">
        <v>0</v>
      </c>
      <c r="T372" s="95">
        <v>0</v>
      </c>
      <c r="U372" s="95">
        <v>0</v>
      </c>
      <c r="V372" s="95">
        <v>0</v>
      </c>
      <c r="W372" s="95">
        <v>0</v>
      </c>
      <c r="X372" s="95">
        <v>0</v>
      </c>
      <c r="Y372" s="95">
        <v>0</v>
      </c>
      <c r="Z372" s="95"/>
      <c r="AA372" s="8"/>
      <c r="AB372" s="8"/>
      <c r="AC372" s="8"/>
      <c r="AD372" s="8"/>
      <c r="AE372" s="11">
        <v>44572</v>
      </c>
      <c r="AF372" s="40" t="s">
        <v>835</v>
      </c>
      <c r="AG372" t="str">
        <f>VLOOKUP(OfficeForms.Table[[#This Row],[Nama Proyek]],'Nama Proyek'!$D$2:$G$29,4,0)</f>
        <v>3.76271056,115.88262689</v>
      </c>
      <c r="AH372" s="5"/>
      <c r="AI372" s="5"/>
      <c r="AJ372" s="5"/>
      <c r="AK372" s="5" t="s">
        <v>836</v>
      </c>
    </row>
    <row r="373" spans="1:37" ht="15" hidden="1" customHeight="1">
      <c r="A373" s="30">
        <v>440</v>
      </c>
      <c r="B373" s="111">
        <v>44894</v>
      </c>
      <c r="C373" s="29">
        <f>B373</f>
        <v>44894</v>
      </c>
      <c r="D373" s="9" t="s">
        <v>37</v>
      </c>
      <c r="E373" s="9" t="s">
        <v>716</v>
      </c>
      <c r="F373" s="5" t="str">
        <f>E373</f>
        <v>Tri Suseno</v>
      </c>
      <c r="G373" s="8" t="s">
        <v>717</v>
      </c>
      <c r="H373" s="104"/>
      <c r="I373" s="94">
        <v>0</v>
      </c>
      <c r="J373" s="94">
        <v>0</v>
      </c>
      <c r="K373" s="94">
        <v>0</v>
      </c>
      <c r="L373" s="94">
        <v>0</v>
      </c>
      <c r="M373" s="94">
        <v>0</v>
      </c>
      <c r="N373" s="94">
        <v>0</v>
      </c>
      <c r="O373" s="94">
        <v>0</v>
      </c>
      <c r="P373" s="94">
        <v>0</v>
      </c>
      <c r="Q373" s="94">
        <v>0</v>
      </c>
      <c r="R373" s="94">
        <v>0</v>
      </c>
      <c r="S373" s="94">
        <v>0</v>
      </c>
      <c r="T373" s="94">
        <v>0</v>
      </c>
      <c r="U373" s="94">
        <v>0</v>
      </c>
      <c r="V373" s="94">
        <v>0</v>
      </c>
      <c r="W373" s="94">
        <v>0</v>
      </c>
      <c r="X373" s="94">
        <v>0</v>
      </c>
      <c r="Y373" s="94">
        <v>0</v>
      </c>
      <c r="Z373" s="94"/>
      <c r="AA373" s="9"/>
      <c r="AB373" s="17"/>
      <c r="AC373" s="17"/>
      <c r="AD373" s="17"/>
      <c r="AE373" s="12" t="s">
        <v>742</v>
      </c>
      <c r="AF373" s="41" t="s">
        <v>837</v>
      </c>
      <c r="AG373" t="str">
        <f>VLOOKUP(OfficeForms.Table[[#This Row],[Nama Proyek]],'Nama Proyek'!$D$2:$G$29,4,0)</f>
        <v>3.76271056,115.88262689</v>
      </c>
      <c r="AH373" s="5"/>
      <c r="AI373" s="5"/>
      <c r="AJ373" s="5"/>
      <c r="AK373" s="5" t="s">
        <v>838</v>
      </c>
    </row>
    <row r="374" spans="1:37" ht="15" hidden="1" customHeight="1">
      <c r="A374" s="31">
        <v>441</v>
      </c>
      <c r="B374" s="110">
        <v>44894</v>
      </c>
      <c r="C374" s="28">
        <f>B374</f>
        <v>44894</v>
      </c>
      <c r="D374" s="8" t="s">
        <v>37</v>
      </c>
      <c r="E374" s="8" t="s">
        <v>716</v>
      </c>
      <c r="F374" s="5" t="str">
        <f>E374</f>
        <v>Tri Suseno</v>
      </c>
      <c r="G374" s="8" t="s">
        <v>717</v>
      </c>
      <c r="H374" s="106"/>
      <c r="I374" s="95">
        <v>0</v>
      </c>
      <c r="J374" s="95">
        <v>0</v>
      </c>
      <c r="K374" s="95">
        <v>0</v>
      </c>
      <c r="L374" s="95">
        <v>0</v>
      </c>
      <c r="M374" s="95">
        <v>0</v>
      </c>
      <c r="N374" s="95">
        <v>0</v>
      </c>
      <c r="O374" s="95">
        <v>0</v>
      </c>
      <c r="P374" s="95">
        <v>0</v>
      </c>
      <c r="Q374" s="95">
        <v>0</v>
      </c>
      <c r="R374" s="95">
        <v>0</v>
      </c>
      <c r="S374" s="95">
        <v>0</v>
      </c>
      <c r="T374" s="95">
        <v>0</v>
      </c>
      <c r="U374" s="95">
        <v>0</v>
      </c>
      <c r="V374" s="95">
        <v>0</v>
      </c>
      <c r="W374" s="95">
        <v>0</v>
      </c>
      <c r="X374" s="95">
        <v>0</v>
      </c>
      <c r="Y374" s="95">
        <v>0</v>
      </c>
      <c r="Z374" s="95"/>
      <c r="AA374" s="8"/>
      <c r="AB374" s="8"/>
      <c r="AC374" s="8"/>
      <c r="AD374" s="8"/>
      <c r="AE374" s="11">
        <v>44572</v>
      </c>
      <c r="AF374" s="17" t="s">
        <v>839</v>
      </c>
      <c r="AG374" t="str">
        <f>VLOOKUP(OfficeForms.Table[[#This Row],[Nama Proyek]],'Nama Proyek'!$D$2:$G$29,4,0)</f>
        <v>3.76271056,115.88262689</v>
      </c>
      <c r="AH374" s="5"/>
      <c r="AI374" s="5"/>
      <c r="AJ374" s="5"/>
      <c r="AK374" s="5" t="s">
        <v>840</v>
      </c>
    </row>
    <row r="375" spans="1:37" ht="15" hidden="1" customHeight="1">
      <c r="A375" s="30">
        <v>442</v>
      </c>
      <c r="B375" s="111">
        <v>44894</v>
      </c>
      <c r="C375" s="29">
        <f>B375</f>
        <v>44894</v>
      </c>
      <c r="D375" s="9" t="s">
        <v>37</v>
      </c>
      <c r="E375" s="9" t="s">
        <v>716</v>
      </c>
      <c r="F375" s="5" t="str">
        <f>E375</f>
        <v>Tri Suseno</v>
      </c>
      <c r="G375" s="8" t="s">
        <v>717</v>
      </c>
      <c r="H375" s="104"/>
      <c r="I375" s="94">
        <v>0</v>
      </c>
      <c r="J375" s="94">
        <v>0</v>
      </c>
      <c r="K375" s="94">
        <v>0</v>
      </c>
      <c r="L375" s="94">
        <v>0</v>
      </c>
      <c r="M375" s="94">
        <v>0</v>
      </c>
      <c r="N375" s="94">
        <v>0</v>
      </c>
      <c r="O375" s="94">
        <v>0</v>
      </c>
      <c r="P375" s="94">
        <v>0</v>
      </c>
      <c r="Q375" s="94">
        <v>0</v>
      </c>
      <c r="R375" s="94">
        <v>0</v>
      </c>
      <c r="S375" s="94">
        <v>0</v>
      </c>
      <c r="T375" s="94">
        <v>0</v>
      </c>
      <c r="U375" s="94">
        <v>0</v>
      </c>
      <c r="V375" s="94">
        <v>0</v>
      </c>
      <c r="W375" s="94">
        <v>0</v>
      </c>
      <c r="X375" s="94">
        <v>0</v>
      </c>
      <c r="Y375" s="94">
        <v>0</v>
      </c>
      <c r="Z375" s="94"/>
      <c r="AA375" s="9"/>
      <c r="AB375" s="9"/>
      <c r="AC375" s="17"/>
      <c r="AD375" s="17"/>
      <c r="AE375" s="18">
        <v>44572</v>
      </c>
      <c r="AF375" s="8"/>
      <c r="AG375" t="str">
        <f>VLOOKUP(OfficeForms.Table[[#This Row],[Nama Proyek]],'Nama Proyek'!$D$2:$G$29,4,0)</f>
        <v>3.76271056,115.88262689</v>
      </c>
      <c r="AH375" s="5"/>
      <c r="AI375" s="5"/>
      <c r="AJ375" s="5"/>
      <c r="AK375" s="5" t="s">
        <v>841</v>
      </c>
    </row>
    <row r="376" spans="1:37" ht="15" hidden="1" customHeight="1">
      <c r="A376">
        <v>451</v>
      </c>
      <c r="B376" s="110">
        <v>44894</v>
      </c>
      <c r="C376" s="28">
        <f>B376</f>
        <v>44894</v>
      </c>
      <c r="D376" s="19" t="s">
        <v>37</v>
      </c>
      <c r="E376" s="19" t="s">
        <v>214</v>
      </c>
      <c r="F376" s="5" t="str">
        <f>E376</f>
        <v>BASUKI RAHMAT HAKIM</v>
      </c>
      <c r="G376" s="60" t="s">
        <v>48</v>
      </c>
      <c r="H376" s="106"/>
      <c r="I376" s="96">
        <v>0</v>
      </c>
      <c r="J376" s="96">
        <v>0</v>
      </c>
      <c r="K376" s="96">
        <v>0</v>
      </c>
      <c r="L376" s="96">
        <v>0</v>
      </c>
      <c r="M376" s="96">
        <v>0</v>
      </c>
      <c r="N376" s="96">
        <v>0</v>
      </c>
      <c r="O376" s="96">
        <v>0</v>
      </c>
      <c r="P376" s="96">
        <v>0</v>
      </c>
      <c r="Q376" s="96">
        <v>0</v>
      </c>
      <c r="R376" s="96">
        <v>0</v>
      </c>
      <c r="S376" s="96">
        <v>0</v>
      </c>
      <c r="T376" s="96">
        <v>0</v>
      </c>
      <c r="U376" s="96">
        <v>0</v>
      </c>
      <c r="V376" s="96">
        <v>0</v>
      </c>
      <c r="W376" s="96">
        <v>0</v>
      </c>
      <c r="X376" s="96">
        <v>0</v>
      </c>
      <c r="Y376" s="96">
        <v>0</v>
      </c>
      <c r="Z376" s="96"/>
      <c r="AA376" s="19"/>
      <c r="AB376" s="19"/>
      <c r="AC376" s="19"/>
      <c r="AD376" s="19"/>
      <c r="AE376" s="13" t="s">
        <v>793</v>
      </c>
      <c r="AF376" s="40" t="s">
        <v>842</v>
      </c>
      <c r="AG376" t="str">
        <f>VLOOKUP(OfficeForms.Table[[#This Row],[Nama Proyek]],'Nama Proyek'!$D$2:$G$29,4,0)</f>
        <v>3.76047575,115.89977678</v>
      </c>
      <c r="AH376" s="5"/>
      <c r="AI376" s="5"/>
      <c r="AJ376" s="5"/>
      <c r="AK376" s="5" t="s">
        <v>843</v>
      </c>
    </row>
    <row r="377" spans="1:37" ht="15" hidden="1" customHeight="1">
      <c r="A377">
        <v>546</v>
      </c>
      <c r="B377" s="111">
        <v>44894</v>
      </c>
      <c r="C377" s="29">
        <f>B377</f>
        <v>44894</v>
      </c>
      <c r="D377" s="8" t="s">
        <v>37</v>
      </c>
      <c r="E377" s="8" t="s">
        <v>51</v>
      </c>
      <c r="F377" s="5" t="str">
        <f>E377</f>
        <v>Riezky Ibnu Prasetyo</v>
      </c>
      <c r="G377" s="8" t="s">
        <v>52</v>
      </c>
      <c r="H377" s="104"/>
      <c r="I377" s="95">
        <v>0</v>
      </c>
      <c r="J377" s="95">
        <v>0</v>
      </c>
      <c r="K377" s="95">
        <v>0</v>
      </c>
      <c r="L377" s="95">
        <v>0</v>
      </c>
      <c r="M377" s="95">
        <v>0</v>
      </c>
      <c r="N377" s="95">
        <v>0</v>
      </c>
      <c r="O377" s="95">
        <v>0</v>
      </c>
      <c r="P377" s="95">
        <v>0</v>
      </c>
      <c r="Q377" s="95">
        <v>0</v>
      </c>
      <c r="R377" s="95">
        <v>0</v>
      </c>
      <c r="S377" s="95">
        <v>0</v>
      </c>
      <c r="T377" s="95">
        <v>0</v>
      </c>
      <c r="U377" s="95">
        <v>0</v>
      </c>
      <c r="V377" s="95">
        <v>0</v>
      </c>
      <c r="W377" s="95">
        <v>0</v>
      </c>
      <c r="X377" s="95">
        <v>0</v>
      </c>
      <c r="Y377" s="95">
        <v>0</v>
      </c>
      <c r="Z377" s="95"/>
      <c r="AA377" s="8" t="s">
        <v>844</v>
      </c>
      <c r="AB377" s="8"/>
      <c r="AC377" s="8" t="s">
        <v>845</v>
      </c>
      <c r="AD377" s="8"/>
      <c r="AE377" s="11"/>
      <c r="AF377" s="19"/>
      <c r="AG377" t="str">
        <f>VLOOKUP(OfficeForms.Table[[#This Row],[Nama Proyek]],'Nama Proyek'!$D$2:$G$29,4,0)</f>
        <v>-6.13491053,106.93675986</v>
      </c>
      <c r="AH377" s="5"/>
      <c r="AI377" s="5"/>
      <c r="AJ377" s="5"/>
      <c r="AK377" s="5" t="s">
        <v>846</v>
      </c>
    </row>
    <row r="378" spans="1:37" ht="15" hidden="1" customHeight="1">
      <c r="A378" s="31">
        <v>592</v>
      </c>
      <c r="B378" s="111">
        <v>44894</v>
      </c>
      <c r="C378" s="29">
        <f>B378</f>
        <v>44894</v>
      </c>
      <c r="D378" s="9" t="s">
        <v>37</v>
      </c>
      <c r="E378" s="9" t="s">
        <v>136</v>
      </c>
      <c r="F378" s="5" t="str">
        <f>E378</f>
        <v>Utomo Aryowibowo</v>
      </c>
      <c r="G378" s="8" t="s">
        <v>52</v>
      </c>
      <c r="H378" s="104"/>
      <c r="I378" s="94">
        <v>0</v>
      </c>
      <c r="J378" s="94">
        <v>0</v>
      </c>
      <c r="K378" s="94">
        <v>0</v>
      </c>
      <c r="L378" s="94">
        <v>0</v>
      </c>
      <c r="M378" s="94">
        <v>0</v>
      </c>
      <c r="N378" s="94">
        <v>0</v>
      </c>
      <c r="O378" s="94">
        <v>0</v>
      </c>
      <c r="P378" s="94">
        <v>0</v>
      </c>
      <c r="Q378" s="94">
        <v>0</v>
      </c>
      <c r="R378" s="94">
        <v>0</v>
      </c>
      <c r="S378" s="94">
        <v>0</v>
      </c>
      <c r="T378" s="94">
        <v>0</v>
      </c>
      <c r="U378" s="94">
        <v>0</v>
      </c>
      <c r="V378" s="94">
        <v>0</v>
      </c>
      <c r="W378" s="94">
        <v>0</v>
      </c>
      <c r="X378" s="94">
        <v>0</v>
      </c>
      <c r="Y378" s="94">
        <v>0</v>
      </c>
      <c r="Z378" s="94"/>
      <c r="AA378" s="9"/>
      <c r="AB378" s="9"/>
      <c r="AC378" s="9"/>
      <c r="AD378" s="9"/>
      <c r="AE378" s="12" t="s">
        <v>847</v>
      </c>
      <c r="AF378" s="43" t="s">
        <v>848</v>
      </c>
      <c r="AG378" t="str">
        <f>VLOOKUP(OfficeForms.Table[[#This Row],[Nama Proyek]],'Nama Proyek'!$D$2:$G$29,4,0)</f>
        <v>-6.13491053,106.93675986</v>
      </c>
      <c r="AH378" s="5"/>
      <c r="AI378" s="5"/>
      <c r="AJ378" s="5"/>
      <c r="AK378" s="5" t="s">
        <v>849</v>
      </c>
    </row>
    <row r="379" spans="1:37" ht="15" hidden="1" customHeight="1">
      <c r="A379" s="30">
        <v>235</v>
      </c>
      <c r="B379" s="110">
        <v>44895</v>
      </c>
      <c r="C379" s="28">
        <f>B379</f>
        <v>44895</v>
      </c>
      <c r="D379" s="19" t="s">
        <v>37</v>
      </c>
      <c r="E379" s="19" t="s">
        <v>64</v>
      </c>
      <c r="F379" s="5" t="str">
        <f>E379</f>
        <v>Nizar Zulkarnain</v>
      </c>
      <c r="G379" s="19" t="s">
        <v>65</v>
      </c>
      <c r="H379" s="106"/>
      <c r="I379" s="96">
        <v>0</v>
      </c>
      <c r="J379" s="96">
        <v>0</v>
      </c>
      <c r="K379" s="96">
        <v>0</v>
      </c>
      <c r="L379" s="96">
        <v>0</v>
      </c>
      <c r="M379" s="96">
        <v>0</v>
      </c>
      <c r="N379" s="96">
        <v>0</v>
      </c>
      <c r="O379" s="96">
        <v>0</v>
      </c>
      <c r="P379" s="96">
        <v>0</v>
      </c>
      <c r="Q379" s="96">
        <v>0</v>
      </c>
      <c r="R379" s="96">
        <v>0</v>
      </c>
      <c r="S379" s="96">
        <v>0</v>
      </c>
      <c r="T379" s="96">
        <v>0</v>
      </c>
      <c r="U379" s="96">
        <v>0</v>
      </c>
      <c r="V379" s="96">
        <v>0</v>
      </c>
      <c r="W379" s="96">
        <v>0</v>
      </c>
      <c r="X379" s="96">
        <v>0</v>
      </c>
      <c r="Y379" s="96">
        <v>0</v>
      </c>
      <c r="Z379" s="96"/>
      <c r="AA379" s="19" t="s">
        <v>850</v>
      </c>
      <c r="AB379" s="19"/>
      <c r="AC379" s="19"/>
      <c r="AD379" s="19"/>
      <c r="AE379" s="13"/>
      <c r="AF379" s="15"/>
      <c r="AG379" t="str">
        <f>VLOOKUP(OfficeForms.Table[[#This Row],[Nama Proyek]],'Nama Proyek'!$D$2:$G$29,4,0)</f>
        <v>-6.35008011,107.02324233</v>
      </c>
      <c r="AH379" s="5"/>
      <c r="AI379" s="5"/>
      <c r="AJ379" s="5"/>
      <c r="AK379" s="5" t="s">
        <v>851</v>
      </c>
    </row>
    <row r="380" spans="1:37" ht="15" hidden="1" customHeight="1">
      <c r="A380" s="30">
        <v>330</v>
      </c>
      <c r="B380" s="111">
        <v>44895</v>
      </c>
      <c r="C380" s="29">
        <f>B380</f>
        <v>44895</v>
      </c>
      <c r="D380" s="9" t="s">
        <v>37</v>
      </c>
      <c r="E380" s="9" t="s">
        <v>852</v>
      </c>
      <c r="F380" s="5" t="str">
        <f>E380</f>
        <v>David</v>
      </c>
      <c r="G380" s="9" t="s">
        <v>39</v>
      </c>
      <c r="H380" s="104"/>
      <c r="I380" s="94">
        <v>0</v>
      </c>
      <c r="J380" s="94">
        <v>0</v>
      </c>
      <c r="K380" s="94">
        <v>0</v>
      </c>
      <c r="L380" s="94">
        <v>0</v>
      </c>
      <c r="M380" s="94">
        <v>0</v>
      </c>
      <c r="N380" s="94">
        <v>0</v>
      </c>
      <c r="O380" s="94">
        <v>0</v>
      </c>
      <c r="P380" s="94">
        <v>0</v>
      </c>
      <c r="Q380" s="94">
        <v>0</v>
      </c>
      <c r="R380" s="94">
        <v>0</v>
      </c>
      <c r="S380" s="94">
        <v>0</v>
      </c>
      <c r="T380" s="94">
        <v>0</v>
      </c>
      <c r="U380" s="94">
        <v>0</v>
      </c>
      <c r="V380" s="94">
        <v>0</v>
      </c>
      <c r="W380" s="94">
        <v>0</v>
      </c>
      <c r="X380" s="94">
        <v>0</v>
      </c>
      <c r="Y380" s="94">
        <v>0</v>
      </c>
      <c r="Z380" s="94"/>
      <c r="AA380" s="9"/>
      <c r="AB380" s="9"/>
      <c r="AC380" s="9" t="s">
        <v>853</v>
      </c>
      <c r="AD380" s="9"/>
      <c r="AE380" s="18"/>
      <c r="AF380" s="15"/>
      <c r="AG380" t="str">
        <f>VLOOKUP(OfficeForms.Table[[#This Row],[Nama Proyek]],'Nama Proyek'!$D$2:$G$29,4,0)</f>
        <v>-6.80675464,106.785366</v>
      </c>
      <c r="AH380" s="5"/>
      <c r="AI380" s="5"/>
      <c r="AJ380" s="5"/>
      <c r="AK380" s="5" t="s">
        <v>854</v>
      </c>
    </row>
    <row r="381" spans="1:37" ht="15" hidden="1" customHeight="1">
      <c r="A381">
        <v>454</v>
      </c>
      <c r="B381" s="111">
        <v>44895</v>
      </c>
      <c r="C381" s="29">
        <f>B381</f>
        <v>44895</v>
      </c>
      <c r="D381" s="8" t="s">
        <v>37</v>
      </c>
      <c r="E381" s="8" t="s">
        <v>855</v>
      </c>
      <c r="F381" s="5" t="str">
        <f>E381</f>
        <v>Rezky Yudhaseno</v>
      </c>
      <c r="G381" s="8" t="s">
        <v>717</v>
      </c>
      <c r="H381" s="104"/>
      <c r="I381" s="95">
        <v>0</v>
      </c>
      <c r="J381" s="95">
        <v>0</v>
      </c>
      <c r="K381" s="95">
        <v>0</v>
      </c>
      <c r="L381" s="95">
        <v>0</v>
      </c>
      <c r="M381" s="95">
        <v>0</v>
      </c>
      <c r="N381" s="95">
        <v>0</v>
      </c>
      <c r="O381" s="95">
        <v>0</v>
      </c>
      <c r="P381" s="95">
        <v>0</v>
      </c>
      <c r="Q381" s="95">
        <v>0</v>
      </c>
      <c r="R381" s="95">
        <v>0</v>
      </c>
      <c r="S381" s="95">
        <v>0</v>
      </c>
      <c r="T381" s="95">
        <v>0</v>
      </c>
      <c r="U381" s="95">
        <v>0</v>
      </c>
      <c r="V381" s="95">
        <v>0</v>
      </c>
      <c r="W381" s="95">
        <v>0</v>
      </c>
      <c r="X381" s="95">
        <v>0</v>
      </c>
      <c r="Y381" s="95">
        <v>0</v>
      </c>
      <c r="Z381" s="95"/>
      <c r="AA381" s="63" t="s">
        <v>856</v>
      </c>
      <c r="AB381" s="8"/>
      <c r="AC381" s="8"/>
      <c r="AD381" s="8"/>
      <c r="AE381" s="16"/>
      <c r="AF381" s="15"/>
      <c r="AG381" t="str">
        <f>VLOOKUP(OfficeForms.Table[[#This Row],[Nama Proyek]],'Nama Proyek'!$D$2:$G$29,4,0)</f>
        <v>3.76271056,115.88262689</v>
      </c>
      <c r="AH381" s="5"/>
      <c r="AI381" s="5"/>
      <c r="AJ381" s="5"/>
      <c r="AK381" s="5" t="s">
        <v>857</v>
      </c>
    </row>
    <row r="382" spans="1:37" ht="15" hidden="1" customHeight="1">
      <c r="A382">
        <v>456</v>
      </c>
      <c r="B382" s="111">
        <v>44895</v>
      </c>
      <c r="C382" s="29">
        <f>B382</f>
        <v>44895</v>
      </c>
      <c r="D382" s="8" t="s">
        <v>37</v>
      </c>
      <c r="E382" s="8" t="s">
        <v>278</v>
      </c>
      <c r="F382" s="5" t="str">
        <f>E382</f>
        <v>Teddy Pradana</v>
      </c>
      <c r="G382" s="9" t="s">
        <v>167</v>
      </c>
      <c r="H382" s="104"/>
      <c r="I382" s="95">
        <v>0</v>
      </c>
      <c r="J382" s="95">
        <v>0</v>
      </c>
      <c r="K382" s="95">
        <v>0</v>
      </c>
      <c r="L382" s="95">
        <v>0</v>
      </c>
      <c r="M382" s="95">
        <v>0</v>
      </c>
      <c r="N382" s="95">
        <v>0</v>
      </c>
      <c r="O382" s="95">
        <v>0</v>
      </c>
      <c r="P382" s="95">
        <v>0</v>
      </c>
      <c r="Q382" s="95">
        <v>0</v>
      </c>
      <c r="R382" s="95">
        <v>0</v>
      </c>
      <c r="S382" s="95">
        <v>0</v>
      </c>
      <c r="T382" s="95">
        <v>0</v>
      </c>
      <c r="U382" s="95">
        <v>0</v>
      </c>
      <c r="V382" s="95">
        <v>0</v>
      </c>
      <c r="W382" s="95">
        <v>0</v>
      </c>
      <c r="X382" s="95">
        <v>0</v>
      </c>
      <c r="Y382" s="95">
        <v>0</v>
      </c>
      <c r="Z382" s="95"/>
      <c r="AA382" s="8"/>
      <c r="AB382" s="8" t="s">
        <v>858</v>
      </c>
      <c r="AC382" s="8"/>
      <c r="AD382" s="8" t="s">
        <v>859</v>
      </c>
      <c r="AE382" s="16"/>
      <c r="AF382" s="42"/>
      <c r="AG382" t="str">
        <f>VLOOKUP(OfficeForms.Table[[#This Row],[Nama Proyek]],'Nama Proyek'!$D$2:$G$29,4,0)</f>
        <v>2.426249030,128.29766314</v>
      </c>
      <c r="AH382" s="5"/>
      <c r="AI382" s="5"/>
      <c r="AJ382" s="5"/>
      <c r="AK382" s="5" t="s">
        <v>860</v>
      </c>
    </row>
    <row r="383" spans="1:37" ht="15" hidden="1" customHeight="1">
      <c r="A383" s="31">
        <v>53</v>
      </c>
      <c r="B383" s="110">
        <v>44911</v>
      </c>
      <c r="C383" s="28">
        <f>B383</f>
        <v>44911</v>
      </c>
      <c r="D383" s="8" t="s">
        <v>37</v>
      </c>
      <c r="E383" s="8" t="s">
        <v>773</v>
      </c>
      <c r="F383" s="5" t="str">
        <f>E383</f>
        <v>Rasendriya Ramanda Darettamarlan</v>
      </c>
      <c r="G383" s="38" t="s">
        <v>714</v>
      </c>
      <c r="H383" s="106"/>
      <c r="I383" s="95">
        <v>0</v>
      </c>
      <c r="J383" s="95">
        <v>0</v>
      </c>
      <c r="K383" s="95">
        <v>0</v>
      </c>
      <c r="L383" s="95">
        <v>0</v>
      </c>
      <c r="M383" s="95">
        <v>0</v>
      </c>
      <c r="N383" s="95">
        <v>0</v>
      </c>
      <c r="O383" s="95">
        <v>0</v>
      </c>
      <c r="P383" s="95">
        <v>0</v>
      </c>
      <c r="Q383" s="95">
        <v>0</v>
      </c>
      <c r="R383" s="95">
        <v>0</v>
      </c>
      <c r="S383" s="95">
        <v>0</v>
      </c>
      <c r="T383" s="95">
        <v>0</v>
      </c>
      <c r="U383" s="95">
        <v>0</v>
      </c>
      <c r="V383" s="95">
        <v>0</v>
      </c>
      <c r="W383" s="95">
        <v>0</v>
      </c>
      <c r="X383" s="95">
        <v>0</v>
      </c>
      <c r="Y383" s="95">
        <v>0</v>
      </c>
      <c r="Z383" s="95"/>
      <c r="AA383" s="8" t="s">
        <v>861</v>
      </c>
      <c r="AB383" s="8" t="s">
        <v>862</v>
      </c>
      <c r="AC383" s="8" t="s">
        <v>863</v>
      </c>
      <c r="AD383" s="15" t="s">
        <v>864</v>
      </c>
      <c r="AE383" s="16"/>
      <c r="AF383" s="40" t="s">
        <v>865</v>
      </c>
      <c r="AG383" t="str">
        <f>VLOOKUP(OfficeForms.Table[[#This Row],[Nama Proyek]],'Nama Proyek'!$D$2:$G$29,4,0)</f>
        <v>-0.95259625,116.71704453</v>
      </c>
      <c r="AH383" s="5"/>
      <c r="AI383" s="5"/>
      <c r="AJ383" s="5"/>
      <c r="AK383" s="5" t="s">
        <v>866</v>
      </c>
    </row>
    <row r="384" spans="1:37" ht="15" hidden="1" customHeight="1">
      <c r="A384" s="31">
        <v>689</v>
      </c>
      <c r="B384" s="110">
        <v>44911</v>
      </c>
      <c r="C384" s="28">
        <f>B384</f>
        <v>44911</v>
      </c>
      <c r="D384" s="19" t="s">
        <v>37</v>
      </c>
      <c r="E384" s="19" t="s">
        <v>75</v>
      </c>
      <c r="F384" s="5" t="str">
        <f>E384</f>
        <v>Banyu Purwita</v>
      </c>
      <c r="G384" s="55" t="s">
        <v>76</v>
      </c>
      <c r="H384" s="106"/>
      <c r="I384" s="96">
        <v>0</v>
      </c>
      <c r="J384" s="96">
        <v>0</v>
      </c>
      <c r="K384" s="96">
        <v>0</v>
      </c>
      <c r="L384" s="96">
        <v>0</v>
      </c>
      <c r="M384" s="96">
        <v>0</v>
      </c>
      <c r="N384" s="96">
        <v>0</v>
      </c>
      <c r="O384" s="96">
        <v>0</v>
      </c>
      <c r="P384" s="96">
        <v>0</v>
      </c>
      <c r="Q384" s="96">
        <v>0</v>
      </c>
      <c r="R384" s="96">
        <v>0</v>
      </c>
      <c r="S384" s="96">
        <v>0</v>
      </c>
      <c r="T384" s="96">
        <v>0</v>
      </c>
      <c r="U384" s="96">
        <v>0</v>
      </c>
      <c r="V384" s="96">
        <v>0</v>
      </c>
      <c r="W384" s="96">
        <v>0</v>
      </c>
      <c r="X384" s="96">
        <v>0</v>
      </c>
      <c r="Y384" s="96">
        <v>0</v>
      </c>
      <c r="Z384" s="96"/>
      <c r="AA384" s="19" t="s">
        <v>867</v>
      </c>
      <c r="AB384" s="19" t="s">
        <v>867</v>
      </c>
      <c r="AC384" s="19" t="s">
        <v>867</v>
      </c>
      <c r="AD384" s="19" t="s">
        <v>867</v>
      </c>
      <c r="AE384" s="13"/>
      <c r="AF384" s="9"/>
      <c r="AG384" t="str">
        <f>VLOOKUP(OfficeForms.Table[[#This Row],[Nama Proyek]],'Nama Proyek'!$D$2:$G$29,4,0)</f>
        <v>-2.95293103,104.75455094</v>
      </c>
      <c r="AH384" s="5"/>
      <c r="AI384" s="5"/>
      <c r="AJ384" s="5"/>
      <c r="AK384" s="5" t="s">
        <v>868</v>
      </c>
    </row>
    <row r="385" spans="1:37" ht="15" hidden="1" customHeight="1">
      <c r="A385" s="31">
        <v>812</v>
      </c>
      <c r="B385" s="111">
        <v>44916</v>
      </c>
      <c r="C385" s="29">
        <f>B385</f>
        <v>44916</v>
      </c>
      <c r="D385" s="9" t="s">
        <v>37</v>
      </c>
      <c r="E385" s="9" t="s">
        <v>64</v>
      </c>
      <c r="F385" s="5" t="str">
        <f>E385</f>
        <v>Nizar Zulkarnain</v>
      </c>
      <c r="G385" s="9" t="s">
        <v>65</v>
      </c>
      <c r="H385" s="104">
        <v>44913</v>
      </c>
      <c r="I385" s="94">
        <v>74.245999999999995</v>
      </c>
      <c r="J385" s="94">
        <v>79.522999999999996</v>
      </c>
      <c r="K385" s="94">
        <v>64.36</v>
      </c>
      <c r="L385" s="94">
        <v>57.55</v>
      </c>
      <c r="M385" s="94">
        <v>81.58</v>
      </c>
      <c r="N385" s="94">
        <v>83.14</v>
      </c>
      <c r="O385" s="94">
        <v>49.77</v>
      </c>
      <c r="P385" s="94">
        <v>61.09</v>
      </c>
      <c r="Q385" s="94">
        <v>57.22</v>
      </c>
      <c r="R385" s="94">
        <v>55.51</v>
      </c>
      <c r="S385" s="94">
        <v>84.22</v>
      </c>
      <c r="T385" s="94">
        <v>89.92</v>
      </c>
      <c r="U385" s="94">
        <v>34.619999999999997</v>
      </c>
      <c r="V385" s="94">
        <v>18.399999999999999</v>
      </c>
      <c r="W385" s="94">
        <v>0</v>
      </c>
      <c r="X385" s="94">
        <v>98.36</v>
      </c>
      <c r="Y385" s="94">
        <v>41.02</v>
      </c>
      <c r="Z385" s="94"/>
      <c r="AA385" s="9"/>
      <c r="AB385" s="9"/>
      <c r="AC385" s="9"/>
      <c r="AD385" s="9"/>
      <c r="AE385" s="12"/>
      <c r="AF385" s="8"/>
      <c r="AG385" t="str">
        <f>VLOOKUP(OfficeForms.Table[[#This Row],[Nama Proyek]],'Nama Proyek'!$D$2:$G$29,4,0)</f>
        <v>-6.35008011,107.02324233</v>
      </c>
      <c r="AH385" s="5"/>
      <c r="AI385" s="5"/>
      <c r="AJ385" s="5"/>
      <c r="AK385" s="5" t="s">
        <v>869</v>
      </c>
    </row>
    <row r="386" spans="1:37" ht="15" hidden="1" customHeight="1">
      <c r="A386" s="50">
        <v>894</v>
      </c>
      <c r="B386" s="111">
        <v>44917</v>
      </c>
      <c r="C386" s="29">
        <f>B386</f>
        <v>44917</v>
      </c>
      <c r="D386" s="9" t="s">
        <v>37</v>
      </c>
      <c r="E386" s="9" t="s">
        <v>109</v>
      </c>
      <c r="F386" s="5" t="str">
        <f>E386</f>
        <v>Muhamad Saifudin Ashari</v>
      </c>
      <c r="G386" s="9" t="s">
        <v>39</v>
      </c>
      <c r="H386" s="104">
        <v>44917</v>
      </c>
      <c r="I386" s="94">
        <v>89.388999999999996</v>
      </c>
      <c r="J386" s="94">
        <v>92.570999999999998</v>
      </c>
      <c r="K386" s="94">
        <v>0.98599999999999999</v>
      </c>
      <c r="L386" s="94">
        <v>0.876</v>
      </c>
      <c r="M386" s="94">
        <v>0.97199999999999998</v>
      </c>
      <c r="N386" s="94">
        <v>0.99099999999999999</v>
      </c>
      <c r="O386" s="94">
        <v>0.623</v>
      </c>
      <c r="P386" s="94">
        <v>0.85</v>
      </c>
      <c r="Q386" s="94">
        <v>0.89</v>
      </c>
      <c r="R386" s="94">
        <v>0.8</v>
      </c>
      <c r="S386" s="94">
        <v>0.96399999999999997</v>
      </c>
      <c r="T386" s="94">
        <v>0.93500000000000005</v>
      </c>
      <c r="U386" s="94">
        <v>0.628</v>
      </c>
      <c r="V386" s="94">
        <v>0</v>
      </c>
      <c r="W386" s="94">
        <v>0</v>
      </c>
      <c r="X386" s="94">
        <v>0.31</v>
      </c>
      <c r="Y386" s="94">
        <v>0</v>
      </c>
      <c r="Z386" s="94"/>
      <c r="AA386" s="9"/>
      <c r="AB386" s="9"/>
      <c r="AC386" s="9"/>
      <c r="AD386" s="9"/>
      <c r="AE386" s="12"/>
      <c r="AF386" s="8" t="s">
        <v>579</v>
      </c>
      <c r="AG386" t="str">
        <f>VLOOKUP(OfficeForms.Table[[#This Row],[Nama Proyek]],'Nama Proyek'!$D$2:$G$29,4,0)</f>
        <v>-6.80675464,106.785366</v>
      </c>
      <c r="AH386" s="5"/>
      <c r="AI386" s="5"/>
      <c r="AJ386" s="5"/>
      <c r="AK386" s="5" t="s">
        <v>870</v>
      </c>
    </row>
    <row r="387" spans="1:37" ht="15" hidden="1" customHeight="1">
      <c r="A387" s="50">
        <v>365</v>
      </c>
      <c r="B387" s="110">
        <v>44917</v>
      </c>
      <c r="C387" s="28">
        <f>B387</f>
        <v>44917</v>
      </c>
      <c r="D387" s="19" t="s">
        <v>37</v>
      </c>
      <c r="E387" s="19" t="s">
        <v>109</v>
      </c>
      <c r="F387" s="5" t="str">
        <f>E387</f>
        <v>Muhamad Saifudin Ashari</v>
      </c>
      <c r="G387" s="19" t="s">
        <v>39</v>
      </c>
      <c r="H387" s="106"/>
      <c r="I387" s="96">
        <v>0</v>
      </c>
      <c r="J387" s="96">
        <v>0</v>
      </c>
      <c r="K387" s="96">
        <v>0</v>
      </c>
      <c r="L387" s="96">
        <v>0</v>
      </c>
      <c r="M387" s="96">
        <v>0</v>
      </c>
      <c r="N387" s="96">
        <v>0</v>
      </c>
      <c r="O387" s="96">
        <v>0</v>
      </c>
      <c r="P387" s="96">
        <v>0</v>
      </c>
      <c r="Q387" s="96">
        <v>0</v>
      </c>
      <c r="R387" s="96">
        <v>0</v>
      </c>
      <c r="S387" s="96">
        <v>0</v>
      </c>
      <c r="T387" s="96">
        <v>0</v>
      </c>
      <c r="U387" s="96">
        <v>0</v>
      </c>
      <c r="V387" s="96">
        <v>0</v>
      </c>
      <c r="W387" s="96">
        <v>0</v>
      </c>
      <c r="X387" s="96">
        <v>0</v>
      </c>
      <c r="Y387" s="96">
        <v>0</v>
      </c>
      <c r="Z387" s="96"/>
      <c r="AA387" s="19" t="s">
        <v>871</v>
      </c>
      <c r="AB387" s="19" t="s">
        <v>574</v>
      </c>
      <c r="AC387" s="19" t="s">
        <v>872</v>
      </c>
      <c r="AD387" s="19" t="s">
        <v>873</v>
      </c>
      <c r="AE387" s="13"/>
      <c r="AF387" s="46" t="s">
        <v>874</v>
      </c>
      <c r="AG387" t="str">
        <f>VLOOKUP(OfficeForms.Table[[#This Row],[Nama Proyek]],'Nama Proyek'!$D$2:$G$29,4,0)</f>
        <v>-6.80675464,106.785366</v>
      </c>
      <c r="AH387" s="5"/>
      <c r="AI387" s="5"/>
      <c r="AJ387" s="5"/>
      <c r="AK387" s="5" t="s">
        <v>875</v>
      </c>
    </row>
    <row r="388" spans="1:37" ht="15" hidden="1" customHeight="1">
      <c r="A388" s="31">
        <v>370</v>
      </c>
      <c r="B388" s="111">
        <v>44917</v>
      </c>
      <c r="C388" s="29">
        <f>B388</f>
        <v>44917</v>
      </c>
      <c r="D388" s="8" t="s">
        <v>37</v>
      </c>
      <c r="E388" s="8" t="s">
        <v>109</v>
      </c>
      <c r="F388" s="5" t="str">
        <f>E388</f>
        <v>Muhamad Saifudin Ashari</v>
      </c>
      <c r="G388" s="9" t="s">
        <v>39</v>
      </c>
      <c r="H388" s="104"/>
      <c r="I388" s="95">
        <v>0</v>
      </c>
      <c r="J388" s="95">
        <v>0</v>
      </c>
      <c r="K388" s="95">
        <v>0</v>
      </c>
      <c r="L388" s="95">
        <v>0</v>
      </c>
      <c r="M388" s="95">
        <v>0</v>
      </c>
      <c r="N388" s="95">
        <v>0</v>
      </c>
      <c r="O388" s="95">
        <v>0</v>
      </c>
      <c r="P388" s="95">
        <v>0</v>
      </c>
      <c r="Q388" s="95">
        <v>0</v>
      </c>
      <c r="R388" s="95">
        <v>0</v>
      </c>
      <c r="S388" s="95">
        <v>0</v>
      </c>
      <c r="T388" s="95">
        <v>0</v>
      </c>
      <c r="U388" s="95">
        <v>0</v>
      </c>
      <c r="V388" s="95">
        <v>0</v>
      </c>
      <c r="W388" s="95">
        <v>0</v>
      </c>
      <c r="X388" s="95">
        <v>0</v>
      </c>
      <c r="Y388" s="95">
        <v>0</v>
      </c>
      <c r="Z388" s="95"/>
      <c r="AA388" s="8"/>
      <c r="AB388" s="8"/>
      <c r="AC388" s="8"/>
      <c r="AD388" s="15"/>
      <c r="AE388" s="16" t="s">
        <v>876</v>
      </c>
      <c r="AF388" s="19"/>
      <c r="AG388" t="str">
        <f>VLOOKUP(OfficeForms.Table[[#This Row],[Nama Proyek]],'Nama Proyek'!$D$2:$G$29,4,0)</f>
        <v>-6.80675464,106.785366</v>
      </c>
      <c r="AH388" s="5"/>
      <c r="AI388" s="5"/>
      <c r="AJ388" s="5"/>
      <c r="AK388" s="5" t="s">
        <v>877</v>
      </c>
    </row>
    <row r="389" spans="1:37" ht="15" hidden="1" customHeight="1">
      <c r="A389" s="31">
        <v>466</v>
      </c>
      <c r="B389" s="111">
        <v>44917</v>
      </c>
      <c r="C389" s="29">
        <f>B389</f>
        <v>44917</v>
      </c>
      <c r="D389" s="8" t="s">
        <v>37</v>
      </c>
      <c r="E389" s="8" t="s">
        <v>214</v>
      </c>
      <c r="F389" s="5" t="str">
        <f>E389</f>
        <v>BASUKI RAHMAT HAKIM</v>
      </c>
      <c r="G389" s="60" t="s">
        <v>48</v>
      </c>
      <c r="H389" s="104"/>
      <c r="I389" s="95">
        <v>0</v>
      </c>
      <c r="J389" s="95">
        <v>0</v>
      </c>
      <c r="K389" s="95">
        <v>0</v>
      </c>
      <c r="L389" s="95">
        <v>0</v>
      </c>
      <c r="M389" s="95">
        <v>0</v>
      </c>
      <c r="N389" s="95">
        <v>0</v>
      </c>
      <c r="O389" s="95">
        <v>0</v>
      </c>
      <c r="P389" s="95">
        <v>0</v>
      </c>
      <c r="Q389" s="95">
        <v>0</v>
      </c>
      <c r="R389" s="95">
        <v>0</v>
      </c>
      <c r="S389" s="95">
        <v>0</v>
      </c>
      <c r="T389" s="95">
        <v>0</v>
      </c>
      <c r="U389" s="95">
        <v>0</v>
      </c>
      <c r="V389" s="95">
        <v>0</v>
      </c>
      <c r="W389" s="95">
        <v>0</v>
      </c>
      <c r="X389" s="95">
        <v>0</v>
      </c>
      <c r="Y389" s="95">
        <v>0</v>
      </c>
      <c r="Z389" s="95"/>
      <c r="AA389" s="8"/>
      <c r="AB389" s="8"/>
      <c r="AC389" s="8"/>
      <c r="AD389" s="8"/>
      <c r="AE389" s="11" t="s">
        <v>878</v>
      </c>
      <c r="AF389" s="19" t="s">
        <v>879</v>
      </c>
      <c r="AG389" t="str">
        <f>VLOOKUP(OfficeForms.Table[[#This Row],[Nama Proyek]],'Nama Proyek'!$D$2:$G$29,4,0)</f>
        <v>3.76047575,115.89977678</v>
      </c>
      <c r="AH389" s="5"/>
      <c r="AI389" s="5"/>
      <c r="AJ389" s="5"/>
      <c r="AK389" s="5" t="s">
        <v>880</v>
      </c>
    </row>
    <row r="390" spans="1:37" ht="15" hidden="1" customHeight="1">
      <c r="A390" s="30">
        <v>468</v>
      </c>
      <c r="B390" s="111">
        <v>44917</v>
      </c>
      <c r="C390" s="29">
        <f>B390</f>
        <v>44917</v>
      </c>
      <c r="D390" s="8" t="s">
        <v>37</v>
      </c>
      <c r="E390" s="8" t="s">
        <v>214</v>
      </c>
      <c r="F390" s="5" t="str">
        <f>E390</f>
        <v>BASUKI RAHMAT HAKIM</v>
      </c>
      <c r="G390" s="60" t="s">
        <v>48</v>
      </c>
      <c r="H390" s="104"/>
      <c r="I390" s="95">
        <v>0</v>
      </c>
      <c r="J390" s="95">
        <v>0</v>
      </c>
      <c r="K390" s="95">
        <v>0</v>
      </c>
      <c r="L390" s="95">
        <v>0</v>
      </c>
      <c r="M390" s="95">
        <v>0</v>
      </c>
      <c r="N390" s="95">
        <v>0</v>
      </c>
      <c r="O390" s="95">
        <v>0</v>
      </c>
      <c r="P390" s="95">
        <v>0</v>
      </c>
      <c r="Q390" s="95">
        <v>0</v>
      </c>
      <c r="R390" s="95">
        <v>0</v>
      </c>
      <c r="S390" s="95">
        <v>0</v>
      </c>
      <c r="T390" s="95">
        <v>0</v>
      </c>
      <c r="U390" s="95">
        <v>0</v>
      </c>
      <c r="V390" s="95">
        <v>0</v>
      </c>
      <c r="W390" s="95">
        <v>0</v>
      </c>
      <c r="X390" s="95">
        <v>0</v>
      </c>
      <c r="Y390" s="95">
        <v>0</v>
      </c>
      <c r="Z390" s="95"/>
      <c r="AA390" s="8" t="s">
        <v>881</v>
      </c>
      <c r="AB390" s="8" t="s">
        <v>882</v>
      </c>
      <c r="AC390" s="8" t="s">
        <v>883</v>
      </c>
      <c r="AD390" s="8"/>
      <c r="AE390" s="11"/>
      <c r="AF390" s="15"/>
      <c r="AG390" t="str">
        <f>VLOOKUP(OfficeForms.Table[[#This Row],[Nama Proyek]],'Nama Proyek'!$D$2:$G$29,4,0)</f>
        <v>3.76047575,115.89977678</v>
      </c>
      <c r="AH390" s="5"/>
      <c r="AI390" s="5"/>
      <c r="AJ390" s="5"/>
      <c r="AK390" s="5" t="s">
        <v>884</v>
      </c>
    </row>
    <row r="391" spans="1:37" ht="15" hidden="1" customHeight="1">
      <c r="A391" s="50">
        <v>690</v>
      </c>
      <c r="B391" s="111">
        <v>44917</v>
      </c>
      <c r="C391" s="29">
        <f>B391</f>
        <v>44917</v>
      </c>
      <c r="D391" s="9" t="s">
        <v>37</v>
      </c>
      <c r="E391" s="9" t="s">
        <v>75</v>
      </c>
      <c r="F391" s="5" t="str">
        <f>E391</f>
        <v>Banyu Purwita</v>
      </c>
      <c r="G391" s="54" t="s">
        <v>76</v>
      </c>
      <c r="H391" s="104"/>
      <c r="I391" s="94">
        <v>0</v>
      </c>
      <c r="J391" s="94">
        <v>0</v>
      </c>
      <c r="K391" s="94">
        <v>0</v>
      </c>
      <c r="L391" s="94">
        <v>0</v>
      </c>
      <c r="M391" s="94">
        <v>0</v>
      </c>
      <c r="N391" s="94">
        <v>0</v>
      </c>
      <c r="O391" s="94">
        <v>0</v>
      </c>
      <c r="P391" s="94">
        <v>0</v>
      </c>
      <c r="Q391" s="94">
        <v>0</v>
      </c>
      <c r="R391" s="94">
        <v>0</v>
      </c>
      <c r="S391" s="94">
        <v>0</v>
      </c>
      <c r="T391" s="94">
        <v>0</v>
      </c>
      <c r="U391" s="94">
        <v>0</v>
      </c>
      <c r="V391" s="94">
        <v>0</v>
      </c>
      <c r="W391" s="94">
        <v>0</v>
      </c>
      <c r="X391" s="94">
        <v>0</v>
      </c>
      <c r="Y391" s="94">
        <v>0</v>
      </c>
      <c r="Z391" s="94"/>
      <c r="AA391" s="9" t="s">
        <v>885</v>
      </c>
      <c r="AB391" s="9" t="s">
        <v>885</v>
      </c>
      <c r="AC391" s="9" t="s">
        <v>885</v>
      </c>
      <c r="AD391" s="9" t="s">
        <v>885</v>
      </c>
      <c r="AE391" s="18"/>
      <c r="AF391" s="8" t="s">
        <v>886</v>
      </c>
      <c r="AG391" t="str">
        <f>VLOOKUP(OfficeForms.Table[[#This Row],[Nama Proyek]],'Nama Proyek'!$D$2:$G$29,4,0)</f>
        <v>-2.95293103,104.75455094</v>
      </c>
      <c r="AH391" s="5"/>
      <c r="AI391" s="5"/>
      <c r="AJ391" s="5"/>
      <c r="AK391" s="5" t="s">
        <v>887</v>
      </c>
    </row>
    <row r="392" spans="1:37" ht="15" hidden="1" customHeight="1">
      <c r="A392" s="50">
        <v>473</v>
      </c>
      <c r="B392" s="110">
        <v>44921</v>
      </c>
      <c r="C392" s="28">
        <f>B392</f>
        <v>44921</v>
      </c>
      <c r="D392" s="19" t="s">
        <v>37</v>
      </c>
      <c r="E392" s="19" t="s">
        <v>687</v>
      </c>
      <c r="F392" s="5" t="str">
        <f>E392</f>
        <v>Andri Julio Hermawan</v>
      </c>
      <c r="G392" s="39" t="s">
        <v>750</v>
      </c>
      <c r="H392" s="106">
        <v>44914</v>
      </c>
      <c r="I392" s="96">
        <v>4.4829999999999997</v>
      </c>
      <c r="J392" s="96">
        <v>3.6869999999999998</v>
      </c>
      <c r="K392" s="96">
        <v>3.0000000000000001E-3</v>
      </c>
      <c r="L392" s="96">
        <v>0.51400000000000001</v>
      </c>
      <c r="M392" s="96">
        <v>0</v>
      </c>
      <c r="N392" s="96">
        <v>0</v>
      </c>
      <c r="O392" s="96">
        <v>0</v>
      </c>
      <c r="P392" s="96">
        <v>2.3690000000000002</v>
      </c>
      <c r="Q392" s="96">
        <v>0</v>
      </c>
      <c r="R392" s="96">
        <v>0</v>
      </c>
      <c r="S392" s="96">
        <v>0</v>
      </c>
      <c r="T392" s="96">
        <v>0</v>
      </c>
      <c r="U392" s="96">
        <v>0</v>
      </c>
      <c r="V392" s="96">
        <v>0</v>
      </c>
      <c r="W392" s="96">
        <v>0</v>
      </c>
      <c r="X392" s="96">
        <v>0</v>
      </c>
      <c r="Y392" s="96">
        <v>0</v>
      </c>
      <c r="Z392" s="96"/>
      <c r="AA392" s="19"/>
      <c r="AB392" s="19"/>
      <c r="AC392" s="19"/>
      <c r="AD392" s="19"/>
      <c r="AE392" s="13"/>
      <c r="AF392" s="8"/>
      <c r="AG392" t="str">
        <f>VLOOKUP(OfficeForms.Table[[#This Row],[Nama Proyek]],'Nama Proyek'!$D$2:$G$29,4,0)</f>
        <v>-1.10415341,116.73424356</v>
      </c>
      <c r="AH392" s="5"/>
      <c r="AI392" s="5"/>
      <c r="AJ392" s="5"/>
      <c r="AK392" s="5" t="s">
        <v>888</v>
      </c>
    </row>
    <row r="393" spans="1:37" ht="15" hidden="1" customHeight="1">
      <c r="A393" s="31">
        <v>472</v>
      </c>
      <c r="B393" s="111">
        <v>44921</v>
      </c>
      <c r="C393" s="29">
        <f>B393</f>
        <v>44921</v>
      </c>
      <c r="D393" s="8" t="s">
        <v>37</v>
      </c>
      <c r="E393" s="8" t="s">
        <v>278</v>
      </c>
      <c r="F393" s="5" t="str">
        <f>E393</f>
        <v>Teddy Pradana</v>
      </c>
      <c r="G393" s="9" t="s">
        <v>167</v>
      </c>
      <c r="H393" s="104"/>
      <c r="I393" s="95">
        <v>0</v>
      </c>
      <c r="J393" s="95">
        <v>0</v>
      </c>
      <c r="K393" s="95">
        <v>0</v>
      </c>
      <c r="L393" s="95">
        <v>0</v>
      </c>
      <c r="M393" s="95">
        <v>0</v>
      </c>
      <c r="N393" s="95">
        <v>0</v>
      </c>
      <c r="O393" s="95">
        <v>0</v>
      </c>
      <c r="P393" s="95">
        <v>0</v>
      </c>
      <c r="Q393" s="95">
        <v>0</v>
      </c>
      <c r="R393" s="95">
        <v>0</v>
      </c>
      <c r="S393" s="95">
        <v>0</v>
      </c>
      <c r="T393" s="95">
        <v>0</v>
      </c>
      <c r="U393" s="95">
        <v>0</v>
      </c>
      <c r="V393" s="95">
        <v>0</v>
      </c>
      <c r="W393" s="95">
        <v>0</v>
      </c>
      <c r="X393" s="95">
        <v>0</v>
      </c>
      <c r="Y393" s="95">
        <v>0</v>
      </c>
      <c r="Z393" s="95"/>
      <c r="AA393" s="8"/>
      <c r="AB393" s="8"/>
      <c r="AC393" s="8" t="s">
        <v>889</v>
      </c>
      <c r="AD393" s="8" t="s">
        <v>890</v>
      </c>
      <c r="AE393" s="11"/>
      <c r="AF393" s="19"/>
      <c r="AG393" t="str">
        <f>VLOOKUP(OfficeForms.Table[[#This Row],[Nama Proyek]],'Nama Proyek'!$D$2:$G$29,4,0)</f>
        <v>2.426249030,128.29766314</v>
      </c>
      <c r="AH393" s="5"/>
      <c r="AI393" s="5"/>
      <c r="AJ393" s="5"/>
      <c r="AK393" s="5" t="s">
        <v>891</v>
      </c>
    </row>
    <row r="394" spans="1:37" ht="15" hidden="1" customHeight="1">
      <c r="A394">
        <v>208</v>
      </c>
      <c r="B394" s="111">
        <v>44922</v>
      </c>
      <c r="C394" s="29">
        <f>B394</f>
        <v>44922</v>
      </c>
      <c r="D394" s="9" t="s">
        <v>37</v>
      </c>
      <c r="E394" s="9" t="s">
        <v>54</v>
      </c>
      <c r="F394" s="5" t="str">
        <f>E394</f>
        <v>Haryo Widiandoko</v>
      </c>
      <c r="G394" s="9" t="s">
        <v>55</v>
      </c>
      <c r="H394" s="104">
        <v>44920</v>
      </c>
      <c r="I394" s="94">
        <v>72.400000000000006</v>
      </c>
      <c r="J394" s="94">
        <v>75.08</v>
      </c>
      <c r="K394" s="94">
        <v>0.112</v>
      </c>
      <c r="L394" s="94">
        <v>0.128</v>
      </c>
      <c r="M394" s="94">
        <v>22.16</v>
      </c>
      <c r="N394" s="94">
        <v>2.0649999999999999</v>
      </c>
      <c r="O394" s="94">
        <v>2.41</v>
      </c>
      <c r="P394" s="94">
        <v>5.1999999999999998E-2</v>
      </c>
      <c r="Q394" s="94">
        <v>0.61899999999999999</v>
      </c>
      <c r="R394" s="94">
        <v>10.855</v>
      </c>
      <c r="S394" s="94">
        <v>31.071000000000002</v>
      </c>
      <c r="T394" s="94">
        <v>0.61199999999999999</v>
      </c>
      <c r="U394" s="94">
        <v>1.3440000000000001</v>
      </c>
      <c r="V394" s="94">
        <v>3.1E-2</v>
      </c>
      <c r="W394" s="94">
        <v>0</v>
      </c>
      <c r="X394" s="94">
        <v>0.73899999999999999</v>
      </c>
      <c r="Y394" s="94">
        <v>0</v>
      </c>
      <c r="Z394" s="94"/>
      <c r="AA394" s="9"/>
      <c r="AB394" s="9"/>
      <c r="AC394" s="9"/>
      <c r="AD394" s="9"/>
      <c r="AE394" s="12"/>
      <c r="AF394" s="19"/>
      <c r="AG394" t="str">
        <f>VLOOKUP(OfficeForms.Table[[#This Row],[Nama Proyek]],'Nama Proyek'!$D$2:$G$29,4,0)</f>
        <v>-6.42873464,107.19897003</v>
      </c>
      <c r="AH394" s="5"/>
      <c r="AI394" s="5"/>
      <c r="AJ394" s="5"/>
      <c r="AK394" s="5" t="s">
        <v>892</v>
      </c>
    </row>
    <row r="395" spans="1:37" ht="15" hidden="1" customHeight="1">
      <c r="A395">
        <v>474</v>
      </c>
      <c r="B395" s="111">
        <v>44922</v>
      </c>
      <c r="C395" s="29">
        <f>B395</f>
        <v>44922</v>
      </c>
      <c r="D395" s="8" t="s">
        <v>37</v>
      </c>
      <c r="E395" s="8" t="s">
        <v>734</v>
      </c>
      <c r="F395" s="5" t="s">
        <v>734</v>
      </c>
      <c r="G395" s="8" t="s">
        <v>735</v>
      </c>
      <c r="H395" s="105">
        <v>44927</v>
      </c>
      <c r="I395" s="95">
        <v>14.893000000000001</v>
      </c>
      <c r="J395" s="95">
        <v>27.786999999999999</v>
      </c>
      <c r="K395" s="95">
        <v>2.2189999999999999</v>
      </c>
      <c r="L395" s="95">
        <v>10.331</v>
      </c>
      <c r="M395" s="95">
        <v>0</v>
      </c>
      <c r="N395" s="95">
        <v>0</v>
      </c>
      <c r="O395" s="95">
        <v>0</v>
      </c>
      <c r="P395" s="95">
        <v>0</v>
      </c>
      <c r="Q395" s="95">
        <v>0</v>
      </c>
      <c r="R395" s="95">
        <v>0</v>
      </c>
      <c r="S395" s="95">
        <v>0</v>
      </c>
      <c r="T395" s="95">
        <v>0</v>
      </c>
      <c r="U395" s="95">
        <v>0</v>
      </c>
      <c r="V395" s="95">
        <v>0</v>
      </c>
      <c r="W395" s="95">
        <v>0</v>
      </c>
      <c r="X395" s="95">
        <v>0</v>
      </c>
      <c r="Y395" s="95">
        <v>0</v>
      </c>
      <c r="Z395" s="95"/>
      <c r="AA395" s="8"/>
      <c r="AB395" s="8"/>
      <c r="AC395" s="8"/>
      <c r="AD395" s="8"/>
      <c r="AE395" s="11"/>
      <c r="AF395" s="8"/>
      <c r="AG395" t="str">
        <f>VLOOKUP(OfficeForms.Table[[#This Row],[Nama Proyek]],'Nama Proyek'!$D$2:$G$40,4,0)</f>
        <v>-0.88562397,119.85928375</v>
      </c>
      <c r="AH395" s="5"/>
      <c r="AI395" s="5"/>
      <c r="AJ395" s="5"/>
      <c r="AK395" s="5" t="s">
        <v>893</v>
      </c>
    </row>
    <row r="396" spans="1:37" ht="15" hidden="1" customHeight="1">
      <c r="A396" s="30">
        <v>555</v>
      </c>
      <c r="B396" s="110">
        <v>44922</v>
      </c>
      <c r="C396" s="28">
        <f>B396</f>
        <v>44922</v>
      </c>
      <c r="D396" s="8" t="s">
        <v>37</v>
      </c>
      <c r="E396" s="8" t="s">
        <v>54</v>
      </c>
      <c r="F396" s="5" t="str">
        <f>E396</f>
        <v>Haryo Widiandoko</v>
      </c>
      <c r="G396" s="19" t="s">
        <v>55</v>
      </c>
      <c r="H396" s="106"/>
      <c r="I396" s="95">
        <v>0</v>
      </c>
      <c r="J396" s="95">
        <v>0</v>
      </c>
      <c r="K396" s="95">
        <v>0</v>
      </c>
      <c r="L396" s="95">
        <v>0</v>
      </c>
      <c r="M396" s="95">
        <v>0</v>
      </c>
      <c r="N396" s="95">
        <v>0</v>
      </c>
      <c r="O396" s="95">
        <v>0</v>
      </c>
      <c r="P396" s="95">
        <v>0</v>
      </c>
      <c r="Q396" s="95">
        <v>0</v>
      </c>
      <c r="R396" s="95">
        <v>0</v>
      </c>
      <c r="S396" s="95">
        <v>0</v>
      </c>
      <c r="T396" s="95">
        <v>0</v>
      </c>
      <c r="U396" s="95">
        <v>0</v>
      </c>
      <c r="V396" s="95">
        <v>0</v>
      </c>
      <c r="W396" s="95">
        <v>0</v>
      </c>
      <c r="X396" s="95">
        <v>0</v>
      </c>
      <c r="Y396" s="95">
        <v>0</v>
      </c>
      <c r="Z396" s="95"/>
      <c r="AA396" s="8"/>
      <c r="AB396" s="8"/>
      <c r="AC396" s="8"/>
      <c r="AD396" s="8"/>
      <c r="AE396" s="11">
        <v>44573</v>
      </c>
      <c r="AF396" s="9"/>
      <c r="AG396" t="str">
        <f>VLOOKUP(OfficeForms.Table[[#This Row],[Nama Proyek]],'Nama Proyek'!$D$2:$G$29,4,0)</f>
        <v>-6.42873464,107.19897003</v>
      </c>
      <c r="AH396" s="5"/>
      <c r="AI396" s="5"/>
      <c r="AJ396" s="5"/>
      <c r="AK396" s="5" t="s">
        <v>894</v>
      </c>
    </row>
    <row r="397" spans="1:37" ht="15" hidden="1" customHeight="1">
      <c r="A397" s="31">
        <v>584</v>
      </c>
      <c r="B397" s="111">
        <v>44922</v>
      </c>
      <c r="C397" s="29">
        <f>B397</f>
        <v>44922</v>
      </c>
      <c r="D397" s="9" t="s">
        <v>37</v>
      </c>
      <c r="E397" s="9" t="s">
        <v>54</v>
      </c>
      <c r="F397" s="5" t="str">
        <f>E397</f>
        <v>Haryo Widiandoko</v>
      </c>
      <c r="G397" s="9" t="s">
        <v>55</v>
      </c>
      <c r="H397" s="104"/>
      <c r="I397" s="94">
        <v>0</v>
      </c>
      <c r="J397" s="94">
        <v>0</v>
      </c>
      <c r="K397" s="94">
        <v>0</v>
      </c>
      <c r="L397" s="94">
        <v>0</v>
      </c>
      <c r="M397" s="94">
        <v>0</v>
      </c>
      <c r="N397" s="94">
        <v>0</v>
      </c>
      <c r="O397" s="94">
        <v>0</v>
      </c>
      <c r="P397" s="94">
        <v>0</v>
      </c>
      <c r="Q397" s="94">
        <v>0</v>
      </c>
      <c r="R397" s="94">
        <v>0</v>
      </c>
      <c r="S397" s="94">
        <v>0</v>
      </c>
      <c r="T397" s="94">
        <v>0</v>
      </c>
      <c r="U397" s="94">
        <v>0</v>
      </c>
      <c r="V397" s="94">
        <v>0</v>
      </c>
      <c r="W397" s="94">
        <v>0</v>
      </c>
      <c r="X397" s="94">
        <v>0</v>
      </c>
      <c r="Y397" s="94">
        <v>0</v>
      </c>
      <c r="Z397" s="94"/>
      <c r="AA397" s="9"/>
      <c r="AB397" s="9"/>
      <c r="AC397" s="9"/>
      <c r="AD397" s="9"/>
      <c r="AE397" s="12">
        <v>44573</v>
      </c>
      <c r="AF397" s="8"/>
      <c r="AG397" t="str">
        <f>VLOOKUP(OfficeForms.Table[[#This Row],[Nama Proyek]],'Nama Proyek'!$D$2:$G$29,4,0)</f>
        <v>-6.42873464,107.19897003</v>
      </c>
      <c r="AH397" s="5"/>
      <c r="AI397" s="5"/>
      <c r="AJ397" s="5"/>
      <c r="AK397" s="5" t="s">
        <v>895</v>
      </c>
    </row>
    <row r="398" spans="1:37" ht="15" hidden="1" customHeight="1">
      <c r="A398" s="30">
        <v>664</v>
      </c>
      <c r="B398" s="111">
        <v>44922</v>
      </c>
      <c r="C398" s="29">
        <f>B398</f>
        <v>44922</v>
      </c>
      <c r="D398" s="8" t="s">
        <v>37</v>
      </c>
      <c r="E398" s="8" t="s">
        <v>54</v>
      </c>
      <c r="F398" s="5" t="str">
        <f>E398</f>
        <v>Haryo Widiandoko</v>
      </c>
      <c r="G398" s="9" t="s">
        <v>55</v>
      </c>
      <c r="H398" s="104"/>
      <c r="I398" s="95">
        <v>0</v>
      </c>
      <c r="J398" s="95">
        <v>0</v>
      </c>
      <c r="K398" s="95">
        <v>0</v>
      </c>
      <c r="L398" s="95">
        <v>0</v>
      </c>
      <c r="M398" s="95">
        <v>0</v>
      </c>
      <c r="N398" s="95">
        <v>0</v>
      </c>
      <c r="O398" s="95">
        <v>0</v>
      </c>
      <c r="P398" s="95">
        <v>0</v>
      </c>
      <c r="Q398" s="95">
        <v>0</v>
      </c>
      <c r="R398" s="95">
        <v>0</v>
      </c>
      <c r="S398" s="95">
        <v>0</v>
      </c>
      <c r="T398" s="95">
        <v>0</v>
      </c>
      <c r="U398" s="95">
        <v>0</v>
      </c>
      <c r="V398" s="95">
        <v>0</v>
      </c>
      <c r="W398" s="95">
        <v>0</v>
      </c>
      <c r="X398" s="95">
        <v>0</v>
      </c>
      <c r="Y398" s="95">
        <v>0</v>
      </c>
      <c r="Z398" s="95"/>
      <c r="AA398" s="8"/>
      <c r="AB398" s="8"/>
      <c r="AC398" s="8"/>
      <c r="AD398" s="8"/>
      <c r="AE398" s="11">
        <v>44573</v>
      </c>
      <c r="AF398" s="8"/>
      <c r="AG398" t="str">
        <f>VLOOKUP(OfficeForms.Table[[#This Row],[Nama Proyek]],'Nama Proyek'!$D$2:$G$29,4,0)</f>
        <v>-6.42873464,107.19897003</v>
      </c>
      <c r="AH398" s="5"/>
      <c r="AI398" s="5"/>
      <c r="AJ398" s="5"/>
      <c r="AK398" s="5" t="s">
        <v>896</v>
      </c>
    </row>
    <row r="399" spans="1:37" ht="15" hidden="1" customHeight="1">
      <c r="A399">
        <v>669</v>
      </c>
      <c r="B399" s="110">
        <v>44922</v>
      </c>
      <c r="C399" s="28">
        <f>B399</f>
        <v>44922</v>
      </c>
      <c r="D399" s="19" t="s">
        <v>37</v>
      </c>
      <c r="E399" s="19" t="s">
        <v>54</v>
      </c>
      <c r="F399" s="5" t="str">
        <f>E399</f>
        <v>Haryo Widiandoko</v>
      </c>
      <c r="G399" s="19" t="s">
        <v>55</v>
      </c>
      <c r="H399" s="106"/>
      <c r="I399" s="96">
        <v>0</v>
      </c>
      <c r="J399" s="96">
        <v>0</v>
      </c>
      <c r="K399" s="96">
        <v>0</v>
      </c>
      <c r="L399" s="96">
        <v>0</v>
      </c>
      <c r="M399" s="96">
        <v>0</v>
      </c>
      <c r="N399" s="96">
        <v>0</v>
      </c>
      <c r="O399" s="96">
        <v>0</v>
      </c>
      <c r="P399" s="96">
        <v>0</v>
      </c>
      <c r="Q399" s="96">
        <v>0</v>
      </c>
      <c r="R399" s="96">
        <v>0</v>
      </c>
      <c r="S399" s="96">
        <v>0</v>
      </c>
      <c r="T399" s="96">
        <v>0</v>
      </c>
      <c r="U399" s="96">
        <v>0</v>
      </c>
      <c r="V399" s="96">
        <v>0</v>
      </c>
      <c r="W399" s="96">
        <v>0</v>
      </c>
      <c r="X399" s="96">
        <v>0</v>
      </c>
      <c r="Y399" s="96">
        <v>0</v>
      </c>
      <c r="Z399" s="96"/>
      <c r="AA399" s="19"/>
      <c r="AB399" s="19"/>
      <c r="AC399" s="19"/>
      <c r="AD399" s="19"/>
      <c r="AE399" s="13">
        <v>44573</v>
      </c>
      <c r="AF399" s="8" t="s">
        <v>897</v>
      </c>
      <c r="AG399" t="str">
        <f>VLOOKUP(OfficeForms.Table[[#This Row],[Nama Proyek]],'Nama Proyek'!$D$2:$G$29,4,0)</f>
        <v>-6.42873464,107.19897003</v>
      </c>
      <c r="AH399" s="5"/>
      <c r="AI399" s="5"/>
      <c r="AJ399" s="5"/>
      <c r="AK399" s="5" t="s">
        <v>898</v>
      </c>
    </row>
    <row r="400" spans="1:37" ht="15" hidden="1" customHeight="1">
      <c r="A400" s="50">
        <v>670</v>
      </c>
      <c r="B400" s="111">
        <v>44922</v>
      </c>
      <c r="C400" s="29">
        <f>B400</f>
        <v>44922</v>
      </c>
      <c r="D400" s="8" t="s">
        <v>37</v>
      </c>
      <c r="E400" s="8" t="s">
        <v>54</v>
      </c>
      <c r="F400" s="5" t="str">
        <f>E400</f>
        <v>Haryo Widiandoko</v>
      </c>
      <c r="G400" s="17" t="s">
        <v>55</v>
      </c>
      <c r="H400" s="104"/>
      <c r="I400" s="95">
        <v>0</v>
      </c>
      <c r="J400" s="95">
        <v>0</v>
      </c>
      <c r="K400" s="95">
        <v>0</v>
      </c>
      <c r="L400" s="95">
        <v>0</v>
      </c>
      <c r="M400" s="95">
        <v>0</v>
      </c>
      <c r="N400" s="95">
        <v>0</v>
      </c>
      <c r="O400" s="95">
        <v>0</v>
      </c>
      <c r="P400" s="95">
        <v>0</v>
      </c>
      <c r="Q400" s="95">
        <v>0</v>
      </c>
      <c r="R400" s="95">
        <v>0</v>
      </c>
      <c r="S400" s="95">
        <v>0</v>
      </c>
      <c r="T400" s="95">
        <v>0</v>
      </c>
      <c r="U400" s="95">
        <v>0</v>
      </c>
      <c r="V400" s="95">
        <v>0</v>
      </c>
      <c r="W400" s="95">
        <v>0</v>
      </c>
      <c r="X400" s="95">
        <v>0</v>
      </c>
      <c r="Y400" s="95">
        <v>0</v>
      </c>
      <c r="Z400" s="95"/>
      <c r="AA400" s="8"/>
      <c r="AB400" s="8"/>
      <c r="AC400" s="8"/>
      <c r="AD400" s="8"/>
      <c r="AE400" s="11">
        <v>44573</v>
      </c>
      <c r="AF400" s="8"/>
      <c r="AG400" t="str">
        <f>VLOOKUP(OfficeForms.Table[[#This Row],[Nama Proyek]],'Nama Proyek'!$D$2:$G$29,4,0)</f>
        <v>-6.42873464,107.19897003</v>
      </c>
      <c r="AH400" s="5"/>
      <c r="AI400" s="5"/>
      <c r="AJ400" s="5"/>
      <c r="AK400" s="5" t="s">
        <v>899</v>
      </c>
    </row>
    <row r="401" spans="1:37" ht="15" hidden="1" customHeight="1">
      <c r="A401" s="31">
        <v>481</v>
      </c>
      <c r="B401" s="110">
        <v>44923</v>
      </c>
      <c r="C401" s="28">
        <f>B401</f>
        <v>44923</v>
      </c>
      <c r="D401" s="19" t="s">
        <v>37</v>
      </c>
      <c r="E401" s="19" t="s">
        <v>734</v>
      </c>
      <c r="F401" s="5" t="s">
        <v>734</v>
      </c>
      <c r="G401" s="19" t="s">
        <v>735</v>
      </c>
      <c r="H401" s="106">
        <v>44926</v>
      </c>
      <c r="I401" s="96">
        <v>14.893000000000001</v>
      </c>
      <c r="J401" s="96">
        <v>27.786999999999999</v>
      </c>
      <c r="K401" s="96">
        <v>2.2189999999999999</v>
      </c>
      <c r="L401" s="96">
        <v>10.331</v>
      </c>
      <c r="M401" s="96">
        <v>0</v>
      </c>
      <c r="N401" s="96">
        <v>0</v>
      </c>
      <c r="O401" s="96">
        <v>0</v>
      </c>
      <c r="P401" s="96">
        <v>0</v>
      </c>
      <c r="Q401" s="96">
        <v>0</v>
      </c>
      <c r="R401" s="96">
        <v>0</v>
      </c>
      <c r="S401" s="96">
        <v>0</v>
      </c>
      <c r="T401" s="96">
        <v>0</v>
      </c>
      <c r="U401" s="96">
        <v>0</v>
      </c>
      <c r="V401" s="96">
        <v>0</v>
      </c>
      <c r="W401" s="96">
        <v>0</v>
      </c>
      <c r="X401" s="96">
        <v>0</v>
      </c>
      <c r="Y401" s="96">
        <v>0</v>
      </c>
      <c r="Z401" s="96"/>
      <c r="AA401" s="19"/>
      <c r="AB401" s="19"/>
      <c r="AC401" s="19"/>
      <c r="AD401" s="19"/>
      <c r="AE401" s="13"/>
      <c r="AF401" s="8"/>
      <c r="AG401" t="str">
        <f>VLOOKUP(OfficeForms.Table[[#This Row],[Nama Proyek]],'Nama Proyek'!$D$2:$G$40,4,0)</f>
        <v>-0.88562397,119.85928375</v>
      </c>
      <c r="AH401" s="5"/>
      <c r="AI401" s="5"/>
      <c r="AJ401" s="5"/>
      <c r="AK401" s="5" t="s">
        <v>900</v>
      </c>
    </row>
    <row r="402" spans="1:37" ht="15" hidden="1" customHeight="1">
      <c r="A402" s="31">
        <v>398</v>
      </c>
      <c r="B402" s="111">
        <v>44923</v>
      </c>
      <c r="C402" s="29">
        <f>B402</f>
        <v>44923</v>
      </c>
      <c r="D402" s="8" t="s">
        <v>37</v>
      </c>
      <c r="E402" s="8" t="s">
        <v>773</v>
      </c>
      <c r="F402" s="5" t="str">
        <f>E402</f>
        <v>Rasendriya Ramanda Darettamarlan</v>
      </c>
      <c r="G402" s="33" t="s">
        <v>714</v>
      </c>
      <c r="H402" s="104"/>
      <c r="I402" s="95">
        <v>0</v>
      </c>
      <c r="J402" s="95">
        <v>0</v>
      </c>
      <c r="K402" s="95">
        <v>0</v>
      </c>
      <c r="L402" s="95">
        <v>0</v>
      </c>
      <c r="M402" s="95">
        <v>0</v>
      </c>
      <c r="N402" s="95">
        <v>0</v>
      </c>
      <c r="O402" s="95">
        <v>0</v>
      </c>
      <c r="P402" s="95">
        <v>0</v>
      </c>
      <c r="Q402" s="95">
        <v>0</v>
      </c>
      <c r="R402" s="95">
        <v>0</v>
      </c>
      <c r="S402" s="95">
        <v>0</v>
      </c>
      <c r="T402" s="95">
        <v>0</v>
      </c>
      <c r="U402" s="95">
        <v>0</v>
      </c>
      <c r="V402" s="95">
        <v>0</v>
      </c>
      <c r="W402" s="95">
        <v>0</v>
      </c>
      <c r="X402" s="95">
        <v>0</v>
      </c>
      <c r="Y402" s="95">
        <v>0</v>
      </c>
      <c r="Z402" s="95"/>
      <c r="AA402" s="8" t="s">
        <v>901</v>
      </c>
      <c r="AB402" s="8" t="s">
        <v>902</v>
      </c>
      <c r="AC402" s="8" t="s">
        <v>903</v>
      </c>
      <c r="AD402" s="8" t="s">
        <v>904</v>
      </c>
      <c r="AE402" s="11"/>
      <c r="AF402" s="15" t="s">
        <v>905</v>
      </c>
      <c r="AG402" t="str">
        <f>VLOOKUP(OfficeForms.Table[[#This Row],[Nama Proyek]],'Nama Proyek'!$D$2:$G$29,4,0)</f>
        <v>-0.95259625,116.71704453</v>
      </c>
      <c r="AH402" s="5"/>
      <c r="AI402" s="5"/>
      <c r="AJ402" s="5"/>
      <c r="AK402" s="5" t="s">
        <v>906</v>
      </c>
    </row>
    <row r="403" spans="1:37" ht="15" hidden="1" customHeight="1">
      <c r="A403" s="31">
        <v>482</v>
      </c>
      <c r="B403" s="111">
        <v>44923</v>
      </c>
      <c r="C403" s="29">
        <f>B403</f>
        <v>44923</v>
      </c>
      <c r="D403" s="8" t="s">
        <v>37</v>
      </c>
      <c r="E403" s="8" t="s">
        <v>734</v>
      </c>
      <c r="F403" s="5" t="s">
        <v>734</v>
      </c>
      <c r="G403" s="8" t="s">
        <v>735</v>
      </c>
      <c r="H403" s="104"/>
      <c r="I403" s="95">
        <v>0</v>
      </c>
      <c r="J403" s="95">
        <v>0</v>
      </c>
      <c r="K403" s="95">
        <v>0</v>
      </c>
      <c r="L403" s="95">
        <v>0</v>
      </c>
      <c r="M403" s="95">
        <v>0</v>
      </c>
      <c r="N403" s="95">
        <v>0</v>
      </c>
      <c r="O403" s="95">
        <v>0</v>
      </c>
      <c r="P403" s="95">
        <v>0</v>
      </c>
      <c r="Q403" s="95">
        <v>0</v>
      </c>
      <c r="R403" s="95">
        <v>0</v>
      </c>
      <c r="S403" s="95">
        <v>0</v>
      </c>
      <c r="T403" s="95">
        <v>0</v>
      </c>
      <c r="U403" s="95">
        <v>0</v>
      </c>
      <c r="V403" s="95">
        <v>0</v>
      </c>
      <c r="W403" s="95">
        <v>0</v>
      </c>
      <c r="X403" s="95">
        <v>0</v>
      </c>
      <c r="Y403" s="95">
        <v>0</v>
      </c>
      <c r="Z403" s="95"/>
      <c r="AA403" s="8" t="s">
        <v>907</v>
      </c>
      <c r="AB403" s="8" t="s">
        <v>908</v>
      </c>
      <c r="AC403" s="8" t="s">
        <v>909</v>
      </c>
      <c r="AD403" s="15" t="s">
        <v>910</v>
      </c>
      <c r="AE403" s="16"/>
      <c r="AF403" s="19" t="s">
        <v>911</v>
      </c>
      <c r="AG403" t="str">
        <f>VLOOKUP(OfficeForms.Table[[#This Row],[Nama Proyek]],'Nama Proyek'!$D$2:$G$40,4,0)</f>
        <v>-0.88562397,119.85928375</v>
      </c>
      <c r="AH403" s="5"/>
      <c r="AI403" s="5"/>
      <c r="AJ403" s="5"/>
      <c r="AK403" s="5" t="s">
        <v>912</v>
      </c>
    </row>
    <row r="404" spans="1:37" ht="15" hidden="1" customHeight="1">
      <c r="A404" s="50">
        <v>483</v>
      </c>
      <c r="B404" s="110">
        <v>44923</v>
      </c>
      <c r="C404" s="28">
        <f>B404</f>
        <v>44923</v>
      </c>
      <c r="D404" s="19" t="s">
        <v>37</v>
      </c>
      <c r="E404" s="19" t="s">
        <v>734</v>
      </c>
      <c r="F404" s="5" t="s">
        <v>734</v>
      </c>
      <c r="G404" s="19" t="s">
        <v>735</v>
      </c>
      <c r="H404" s="106"/>
      <c r="I404" s="96">
        <v>0</v>
      </c>
      <c r="J404" s="96">
        <v>0</v>
      </c>
      <c r="K404" s="96">
        <v>0</v>
      </c>
      <c r="L404" s="96">
        <v>0</v>
      </c>
      <c r="M404" s="96">
        <v>0</v>
      </c>
      <c r="N404" s="96">
        <v>0</v>
      </c>
      <c r="O404" s="96">
        <v>0</v>
      </c>
      <c r="P404" s="96">
        <v>0</v>
      </c>
      <c r="Q404" s="96">
        <v>0</v>
      </c>
      <c r="R404" s="96">
        <v>0</v>
      </c>
      <c r="S404" s="96">
        <v>0</v>
      </c>
      <c r="T404" s="96">
        <v>0</v>
      </c>
      <c r="U404" s="96">
        <v>0</v>
      </c>
      <c r="V404" s="96">
        <v>0</v>
      </c>
      <c r="W404" s="96">
        <v>0</v>
      </c>
      <c r="X404" s="96">
        <v>0</v>
      </c>
      <c r="Y404" s="96">
        <v>0</v>
      </c>
      <c r="Z404" s="96"/>
      <c r="AA404" s="19"/>
      <c r="AB404" s="19"/>
      <c r="AC404" s="19"/>
      <c r="AD404" s="19"/>
      <c r="AE404" s="13">
        <v>44844</v>
      </c>
      <c r="AF404" s="9" t="s">
        <v>913</v>
      </c>
      <c r="AG404" t="str">
        <f>VLOOKUP(OfficeForms.Table[[#This Row],[Nama Proyek]],'Nama Proyek'!$D$2:$G$40,4,0)</f>
        <v>-0.88562397,119.85928375</v>
      </c>
      <c r="AH404" s="5"/>
      <c r="AI404" s="5"/>
      <c r="AJ404" s="5"/>
      <c r="AK404" s="5" t="s">
        <v>914</v>
      </c>
    </row>
    <row r="405" spans="1:37" ht="15" hidden="1" customHeight="1">
      <c r="A405">
        <v>671</v>
      </c>
      <c r="B405" s="110">
        <v>44923</v>
      </c>
      <c r="C405" s="28">
        <f>B405</f>
        <v>44923</v>
      </c>
      <c r="D405" s="8" t="s">
        <v>37</v>
      </c>
      <c r="E405" s="8" t="s">
        <v>54</v>
      </c>
      <c r="F405" s="5" t="str">
        <f>E405</f>
        <v>Haryo Widiandoko</v>
      </c>
      <c r="G405" s="42" t="s">
        <v>55</v>
      </c>
      <c r="H405" s="106"/>
      <c r="I405" s="95">
        <v>0</v>
      </c>
      <c r="J405" s="95">
        <v>0</v>
      </c>
      <c r="K405" s="95">
        <v>0</v>
      </c>
      <c r="L405" s="95">
        <v>0</v>
      </c>
      <c r="M405" s="95">
        <v>0</v>
      </c>
      <c r="N405" s="95">
        <v>0</v>
      </c>
      <c r="O405" s="95">
        <v>0</v>
      </c>
      <c r="P405" s="95">
        <v>0</v>
      </c>
      <c r="Q405" s="95">
        <v>0</v>
      </c>
      <c r="R405" s="95">
        <v>0</v>
      </c>
      <c r="S405" s="95">
        <v>0</v>
      </c>
      <c r="T405" s="95">
        <v>0</v>
      </c>
      <c r="U405" s="95">
        <v>0</v>
      </c>
      <c r="V405" s="95">
        <v>0</v>
      </c>
      <c r="W405" s="95">
        <v>0</v>
      </c>
      <c r="X405" s="95">
        <v>0</v>
      </c>
      <c r="Y405" s="95">
        <v>0</v>
      </c>
      <c r="Z405" s="95"/>
      <c r="AA405" s="8" t="s">
        <v>915</v>
      </c>
      <c r="AB405" s="8" t="s">
        <v>915</v>
      </c>
      <c r="AC405" s="8" t="s">
        <v>916</v>
      </c>
      <c r="AD405" s="8" t="s">
        <v>916</v>
      </c>
      <c r="AE405" s="11"/>
      <c r="AF405" s="17" t="s">
        <v>917</v>
      </c>
      <c r="AG405" t="str">
        <f>VLOOKUP(OfficeForms.Table[[#This Row],[Nama Proyek]],'Nama Proyek'!$D$2:$G$29,4,0)</f>
        <v>-6.42873464,107.19897003</v>
      </c>
      <c r="AH405" s="5"/>
      <c r="AI405" s="5"/>
      <c r="AJ405" s="5"/>
      <c r="AK405" s="5" t="s">
        <v>918</v>
      </c>
    </row>
    <row r="406" spans="1:37" ht="15" hidden="1" customHeight="1">
      <c r="A406" s="31">
        <v>819</v>
      </c>
      <c r="B406" s="110">
        <v>44924</v>
      </c>
      <c r="C406" s="28">
        <f>B406</f>
        <v>44924</v>
      </c>
      <c r="D406" s="19" t="s">
        <v>37</v>
      </c>
      <c r="E406" s="19" t="s">
        <v>64</v>
      </c>
      <c r="F406" s="5" t="str">
        <f>E406</f>
        <v>Nizar Zulkarnain</v>
      </c>
      <c r="G406" s="42" t="s">
        <v>65</v>
      </c>
      <c r="H406" s="106">
        <v>44920</v>
      </c>
      <c r="I406" s="96">
        <v>74.471999999999994</v>
      </c>
      <c r="J406" s="96">
        <v>79.522999999999996</v>
      </c>
      <c r="K406" s="96">
        <v>64.36</v>
      </c>
      <c r="L406" s="96">
        <v>57.33</v>
      </c>
      <c r="M406" s="96">
        <v>82.07</v>
      </c>
      <c r="N406" s="96">
        <v>83.14</v>
      </c>
      <c r="O406" s="96">
        <v>50.37</v>
      </c>
      <c r="P406" s="96">
        <v>61.09</v>
      </c>
      <c r="Q406" s="96">
        <v>57.61</v>
      </c>
      <c r="R406" s="96">
        <v>55.52</v>
      </c>
      <c r="S406" s="96">
        <v>84.38</v>
      </c>
      <c r="T406" s="96">
        <v>89.92</v>
      </c>
      <c r="U406" s="96">
        <v>34.65</v>
      </c>
      <c r="V406" s="96">
        <v>18.04</v>
      </c>
      <c r="W406" s="96">
        <v>0</v>
      </c>
      <c r="X406" s="96">
        <v>98.36</v>
      </c>
      <c r="Y406" s="96">
        <v>41.02</v>
      </c>
      <c r="Z406" s="96"/>
      <c r="AA406" s="19"/>
      <c r="AB406" s="19"/>
      <c r="AC406" s="19"/>
      <c r="AD406" s="19"/>
      <c r="AE406" s="24"/>
      <c r="AF406" s="41" t="s">
        <v>919</v>
      </c>
      <c r="AG406" t="str">
        <f>VLOOKUP(OfficeForms.Table[[#This Row],[Nama Proyek]],'Nama Proyek'!$D$2:$G$29,4,0)</f>
        <v>-6.35008011,107.02324233</v>
      </c>
      <c r="AH406" s="5"/>
      <c r="AI406" s="5"/>
      <c r="AJ406" s="5"/>
      <c r="AK406" s="5" t="s">
        <v>920</v>
      </c>
    </row>
    <row r="407" spans="1:37" ht="15" hidden="1" customHeight="1">
      <c r="A407" s="31">
        <v>898</v>
      </c>
      <c r="B407" s="111">
        <v>44924</v>
      </c>
      <c r="C407" s="29">
        <f>B407</f>
        <v>44924</v>
      </c>
      <c r="D407" s="9" t="s">
        <v>37</v>
      </c>
      <c r="E407" s="9" t="s">
        <v>773</v>
      </c>
      <c r="F407" s="5" t="str">
        <f>E407</f>
        <v>Rasendriya Ramanda Darettamarlan</v>
      </c>
      <c r="G407" s="33" t="s">
        <v>714</v>
      </c>
      <c r="H407" s="104">
        <v>44920</v>
      </c>
      <c r="I407" s="94">
        <v>11.744</v>
      </c>
      <c r="J407" s="94">
        <v>8.9450000000000003</v>
      </c>
      <c r="K407" s="94">
        <v>0</v>
      </c>
      <c r="L407" s="94">
        <v>14.18</v>
      </c>
      <c r="M407" s="94">
        <v>0</v>
      </c>
      <c r="N407" s="94">
        <v>0</v>
      </c>
      <c r="O407" s="94">
        <v>0</v>
      </c>
      <c r="P407" s="94">
        <v>7.29</v>
      </c>
      <c r="Q407" s="94">
        <v>0</v>
      </c>
      <c r="R407" s="94">
        <v>0</v>
      </c>
      <c r="S407" s="94">
        <v>0</v>
      </c>
      <c r="T407" s="94">
        <v>0</v>
      </c>
      <c r="U407" s="94">
        <v>0</v>
      </c>
      <c r="V407" s="94">
        <v>0</v>
      </c>
      <c r="W407" s="94">
        <v>0</v>
      </c>
      <c r="X407" s="94">
        <v>0</v>
      </c>
      <c r="Y407" s="94">
        <v>0</v>
      </c>
      <c r="Z407" s="94"/>
      <c r="AA407" s="9"/>
      <c r="AB407" s="9"/>
      <c r="AC407" s="9"/>
      <c r="AD407" s="9"/>
      <c r="AE407" s="12"/>
      <c r="AF407" s="19"/>
      <c r="AG407" t="str">
        <f>VLOOKUP(OfficeForms.Table[[#This Row],[Nama Proyek]],'Nama Proyek'!$D$2:$G$29,4,0)</f>
        <v>-0.95259625,116.71704453</v>
      </c>
      <c r="AH407" s="5"/>
      <c r="AI407" s="5"/>
      <c r="AJ407" s="5"/>
      <c r="AK407" s="5" t="s">
        <v>921</v>
      </c>
    </row>
    <row r="408" spans="1:37" ht="15" hidden="1" customHeight="1">
      <c r="A408" s="31">
        <v>305</v>
      </c>
      <c r="B408" s="110">
        <v>44924</v>
      </c>
      <c r="C408" s="28">
        <f>B408</f>
        <v>44924</v>
      </c>
      <c r="D408" s="19" t="s">
        <v>37</v>
      </c>
      <c r="E408" s="19" t="s">
        <v>75</v>
      </c>
      <c r="F408" s="5" t="str">
        <f>E408</f>
        <v>Banyu Purwita</v>
      </c>
      <c r="G408" s="55" t="s">
        <v>76</v>
      </c>
      <c r="H408" s="106">
        <v>44924</v>
      </c>
      <c r="I408" s="96">
        <v>38.518000000000001</v>
      </c>
      <c r="J408" s="96">
        <v>39.438000000000002</v>
      </c>
      <c r="K408" s="96">
        <v>0</v>
      </c>
      <c r="L408" s="96">
        <v>0</v>
      </c>
      <c r="M408" s="96">
        <v>2.86</v>
      </c>
      <c r="N408" s="96">
        <v>0</v>
      </c>
      <c r="O408" s="96">
        <v>11.057</v>
      </c>
      <c r="P408" s="96">
        <v>0</v>
      </c>
      <c r="Q408" s="96">
        <v>1.954</v>
      </c>
      <c r="R408" s="96">
        <v>0</v>
      </c>
      <c r="S408" s="96">
        <v>19.736999999999998</v>
      </c>
      <c r="T408" s="96">
        <v>0</v>
      </c>
      <c r="U408" s="96">
        <v>0</v>
      </c>
      <c r="V408" s="96">
        <v>0</v>
      </c>
      <c r="W408" s="96">
        <v>0</v>
      </c>
      <c r="X408" s="96">
        <v>0</v>
      </c>
      <c r="Y408" s="96">
        <v>0</v>
      </c>
      <c r="Z408" s="96"/>
      <c r="AA408" s="19"/>
      <c r="AB408" s="19"/>
      <c r="AC408" s="19"/>
      <c r="AD408" s="19"/>
      <c r="AE408" s="13"/>
      <c r="AF408" s="15"/>
      <c r="AG408" t="str">
        <f>VLOOKUP(OfficeForms.Table[[#This Row],[Nama Proyek]],'Nama Proyek'!$D$2:$G$29,4,0)</f>
        <v>-2.95293103,104.75455094</v>
      </c>
      <c r="AH408" s="5"/>
      <c r="AI408" s="5"/>
      <c r="AJ408" s="5"/>
      <c r="AK408" s="5" t="s">
        <v>922</v>
      </c>
    </row>
    <row r="409" spans="1:37" ht="15" hidden="1" customHeight="1">
      <c r="A409">
        <v>494</v>
      </c>
      <c r="B409" s="111">
        <v>44924</v>
      </c>
      <c r="C409" s="29">
        <f>B409</f>
        <v>44924</v>
      </c>
      <c r="D409" s="8" t="s">
        <v>37</v>
      </c>
      <c r="E409" s="8" t="s">
        <v>923</v>
      </c>
      <c r="F409" s="5" t="str">
        <f>E409</f>
        <v>Nizar Tarmidzi</v>
      </c>
      <c r="G409" s="23" t="s">
        <v>924</v>
      </c>
      <c r="H409" s="105">
        <v>44925</v>
      </c>
      <c r="I409" s="95">
        <v>3.76</v>
      </c>
      <c r="J409" s="95">
        <v>3.5009999999999999</v>
      </c>
      <c r="K409" s="95">
        <v>0</v>
      </c>
      <c r="L409" s="95">
        <v>0</v>
      </c>
      <c r="M409" s="95">
        <v>1.87</v>
      </c>
      <c r="N409" s="95">
        <v>0</v>
      </c>
      <c r="O409" s="95">
        <v>0.13</v>
      </c>
      <c r="P409" s="95">
        <v>0</v>
      </c>
      <c r="Q409" s="95">
        <v>0</v>
      </c>
      <c r="R409" s="95">
        <v>0</v>
      </c>
      <c r="S409" s="95">
        <v>0.46</v>
      </c>
      <c r="T409" s="95">
        <v>0</v>
      </c>
      <c r="U409" s="95">
        <v>0</v>
      </c>
      <c r="V409" s="95">
        <v>0</v>
      </c>
      <c r="W409" s="95">
        <v>0</v>
      </c>
      <c r="X409" s="95">
        <v>0</v>
      </c>
      <c r="Y409" s="95">
        <v>0</v>
      </c>
      <c r="Z409" s="95"/>
      <c r="AA409" s="8"/>
      <c r="AB409" s="8"/>
      <c r="AC409" s="8"/>
      <c r="AD409" s="8"/>
      <c r="AE409" s="16"/>
      <c r="AF409" s="19"/>
      <c r="AG409" t="str">
        <f>VLOOKUP(OfficeForms.Table[[#This Row],[Nama Proyek]],'Nama Proyek'!$D$2:$G$40,4,0)</f>
        <v>-3.25078511,134.87791156</v>
      </c>
      <c r="AH409" s="5"/>
      <c r="AI409" s="5"/>
      <c r="AJ409" s="5"/>
      <c r="AK409" s="5" t="s">
        <v>925</v>
      </c>
    </row>
    <row r="410" spans="1:37" ht="15" hidden="1" customHeight="1">
      <c r="A410" s="50">
        <v>156</v>
      </c>
      <c r="B410" s="111">
        <v>44924</v>
      </c>
      <c r="C410" s="29">
        <f>B410</f>
        <v>44924</v>
      </c>
      <c r="D410" s="9" t="s">
        <v>37</v>
      </c>
      <c r="E410" s="9" t="s">
        <v>166</v>
      </c>
      <c r="F410" s="5" t="s">
        <v>166</v>
      </c>
      <c r="G410" s="9" t="s">
        <v>167</v>
      </c>
      <c r="H410" s="104">
        <v>44926</v>
      </c>
      <c r="I410" s="94">
        <v>100</v>
      </c>
      <c r="J410" s="94">
        <v>100</v>
      </c>
      <c r="K410" s="94">
        <v>100</v>
      </c>
      <c r="L410" s="94">
        <v>100</v>
      </c>
      <c r="M410" s="94">
        <v>0</v>
      </c>
      <c r="N410" s="94">
        <v>100</v>
      </c>
      <c r="O410" s="94">
        <v>0</v>
      </c>
      <c r="P410" s="94">
        <v>100</v>
      </c>
      <c r="Q410" s="94">
        <v>0</v>
      </c>
      <c r="R410" s="94">
        <v>0</v>
      </c>
      <c r="S410" s="94">
        <v>0</v>
      </c>
      <c r="T410" s="94">
        <v>0</v>
      </c>
      <c r="U410" s="94">
        <v>0</v>
      </c>
      <c r="V410" s="94">
        <v>0</v>
      </c>
      <c r="W410" s="94">
        <v>0</v>
      </c>
      <c r="X410" s="94">
        <v>0</v>
      </c>
      <c r="Y410" s="94">
        <v>0</v>
      </c>
      <c r="Z410" s="94"/>
      <c r="AA410" s="9"/>
      <c r="AB410" s="9"/>
      <c r="AC410" s="9"/>
      <c r="AD410" s="9"/>
      <c r="AE410" s="12"/>
      <c r="AF410" s="8" t="s">
        <v>926</v>
      </c>
      <c r="AG410" t="str">
        <f>VLOOKUP(OfficeForms.Table[[#This Row],[Nama Proyek]],'Nama Proyek'!$D$2:$G$29,4,0)</f>
        <v>2.426249030,128.29766314</v>
      </c>
      <c r="AH410" s="5"/>
      <c r="AI410" s="5"/>
      <c r="AJ410" s="5"/>
      <c r="AK410" s="5" t="s">
        <v>927</v>
      </c>
    </row>
    <row r="411" spans="1:37" ht="15" hidden="1" customHeight="1">
      <c r="A411" s="31">
        <v>265</v>
      </c>
      <c r="B411" s="110">
        <v>44924</v>
      </c>
      <c r="C411" s="28">
        <f>B411</f>
        <v>44924</v>
      </c>
      <c r="D411" s="19" t="s">
        <v>37</v>
      </c>
      <c r="E411" s="19" t="s">
        <v>64</v>
      </c>
      <c r="F411" s="5" t="str">
        <f>E411</f>
        <v>Nizar Zulkarnain</v>
      </c>
      <c r="G411" s="19" t="s">
        <v>65</v>
      </c>
      <c r="H411" s="106"/>
      <c r="I411" s="96">
        <v>0</v>
      </c>
      <c r="J411" s="96">
        <v>0</v>
      </c>
      <c r="K411" s="96">
        <v>0</v>
      </c>
      <c r="L411" s="96">
        <v>0</v>
      </c>
      <c r="M411" s="96">
        <v>0</v>
      </c>
      <c r="N411" s="96">
        <v>0</v>
      </c>
      <c r="O411" s="96">
        <v>0</v>
      </c>
      <c r="P411" s="96">
        <v>0</v>
      </c>
      <c r="Q411" s="96">
        <v>0</v>
      </c>
      <c r="R411" s="96">
        <v>0</v>
      </c>
      <c r="S411" s="96">
        <v>0</v>
      </c>
      <c r="T411" s="96">
        <v>0</v>
      </c>
      <c r="U411" s="96">
        <v>0</v>
      </c>
      <c r="V411" s="96">
        <v>0</v>
      </c>
      <c r="W411" s="96">
        <v>0</v>
      </c>
      <c r="X411" s="96">
        <v>0</v>
      </c>
      <c r="Y411" s="96">
        <v>0</v>
      </c>
      <c r="Z411" s="96"/>
      <c r="AA411" s="19" t="s">
        <v>928</v>
      </c>
      <c r="AB411" s="19"/>
      <c r="AC411" s="19"/>
      <c r="AD411" s="19" t="s">
        <v>929</v>
      </c>
      <c r="AE411" s="13"/>
      <c r="AF411" s="15"/>
      <c r="AG411" t="str">
        <f>VLOOKUP(OfficeForms.Table[[#This Row],[Nama Proyek]],'Nama Proyek'!$D$2:$G$29,4,0)</f>
        <v>-6.35008011,107.02324233</v>
      </c>
      <c r="AH411" s="5"/>
      <c r="AI411" s="5"/>
      <c r="AJ411" s="5"/>
      <c r="AK411" s="5" t="s">
        <v>930</v>
      </c>
    </row>
    <row r="412" spans="1:37" ht="15" hidden="1" customHeight="1">
      <c r="A412" s="30">
        <v>488</v>
      </c>
      <c r="B412" s="111">
        <v>44924</v>
      </c>
      <c r="C412" s="29">
        <f>B412</f>
        <v>44924</v>
      </c>
      <c r="D412" s="8" t="s">
        <v>37</v>
      </c>
      <c r="E412" s="8" t="s">
        <v>687</v>
      </c>
      <c r="F412" s="5" t="str">
        <f>E412</f>
        <v>Andri Julio Hermawan</v>
      </c>
      <c r="G412" s="22" t="s">
        <v>750</v>
      </c>
      <c r="H412" s="104"/>
      <c r="I412" s="95">
        <v>0</v>
      </c>
      <c r="J412" s="95">
        <v>0</v>
      </c>
      <c r="K412" s="95">
        <v>0</v>
      </c>
      <c r="L412" s="95">
        <v>0</v>
      </c>
      <c r="M412" s="95">
        <v>0</v>
      </c>
      <c r="N412" s="95">
        <v>0</v>
      </c>
      <c r="O412" s="95">
        <v>0</v>
      </c>
      <c r="P412" s="95">
        <v>0</v>
      </c>
      <c r="Q412" s="95">
        <v>0</v>
      </c>
      <c r="R412" s="95">
        <v>0</v>
      </c>
      <c r="S412" s="95">
        <v>0</v>
      </c>
      <c r="T412" s="95">
        <v>0</v>
      </c>
      <c r="U412" s="95">
        <v>0</v>
      </c>
      <c r="V412" s="95">
        <v>0</v>
      </c>
      <c r="W412" s="95">
        <v>0</v>
      </c>
      <c r="X412" s="95">
        <v>0</v>
      </c>
      <c r="Y412" s="95">
        <v>0</v>
      </c>
      <c r="Z412" s="95"/>
      <c r="AA412" s="8" t="s">
        <v>931</v>
      </c>
      <c r="AB412" s="8" t="s">
        <v>931</v>
      </c>
      <c r="AC412" s="8" t="s">
        <v>931</v>
      </c>
      <c r="AD412" s="8" t="s">
        <v>931</v>
      </c>
      <c r="AE412" s="16"/>
      <c r="AF412" s="8"/>
      <c r="AG412" t="str">
        <f>VLOOKUP(OfficeForms.Table[[#This Row],[Nama Proyek]],'Nama Proyek'!$D$2:$G$29,4,0)</f>
        <v>-1.10415341,116.73424356</v>
      </c>
      <c r="AH412" s="5"/>
      <c r="AI412" s="5"/>
      <c r="AJ412" s="5"/>
      <c r="AK412" s="5" t="s">
        <v>932</v>
      </c>
    </row>
    <row r="413" spans="1:37" ht="15" hidden="1" customHeight="1">
      <c r="A413" s="31">
        <v>492</v>
      </c>
      <c r="B413" s="111">
        <v>44924</v>
      </c>
      <c r="C413" s="29">
        <f>B413</f>
        <v>44924</v>
      </c>
      <c r="D413" s="8" t="s">
        <v>37</v>
      </c>
      <c r="E413" s="8" t="s">
        <v>166</v>
      </c>
      <c r="F413" s="5" t="s">
        <v>166</v>
      </c>
      <c r="G413" s="9" t="s">
        <v>167</v>
      </c>
      <c r="H413" s="104"/>
      <c r="I413" s="95">
        <v>0</v>
      </c>
      <c r="J413" s="95">
        <v>0</v>
      </c>
      <c r="K413" s="95">
        <v>0</v>
      </c>
      <c r="L413" s="95">
        <v>0</v>
      </c>
      <c r="M413" s="95">
        <v>0</v>
      </c>
      <c r="N413" s="95">
        <v>0</v>
      </c>
      <c r="O413" s="95">
        <v>0</v>
      </c>
      <c r="P413" s="95">
        <v>0</v>
      </c>
      <c r="Q413" s="95">
        <v>0</v>
      </c>
      <c r="R413" s="95">
        <v>0</v>
      </c>
      <c r="S413" s="95">
        <v>0</v>
      </c>
      <c r="T413" s="95">
        <v>0</v>
      </c>
      <c r="U413" s="95">
        <v>0</v>
      </c>
      <c r="V413" s="95">
        <v>0</v>
      </c>
      <c r="W413" s="95">
        <v>0</v>
      </c>
      <c r="X413" s="95">
        <v>0</v>
      </c>
      <c r="Y413" s="95">
        <v>0</v>
      </c>
      <c r="Z413" s="95"/>
      <c r="AA413" s="8"/>
      <c r="AB413" s="8"/>
      <c r="AC413" s="8"/>
      <c r="AD413" s="8"/>
      <c r="AE413" s="11" t="s">
        <v>933</v>
      </c>
      <c r="AF413" s="19"/>
      <c r="AG413" t="str">
        <f>VLOOKUP(OfficeForms.Table[[#This Row],[Nama Proyek]],'Nama Proyek'!$D$2:$G$29,4,0)</f>
        <v>2.426249030,128.29766314</v>
      </c>
      <c r="AH413" s="5"/>
      <c r="AI413" s="5"/>
      <c r="AJ413" s="5"/>
      <c r="AK413" s="5" t="s">
        <v>934</v>
      </c>
    </row>
    <row r="414" spans="1:37" ht="15" hidden="1" customHeight="1">
      <c r="A414" s="50">
        <v>493</v>
      </c>
      <c r="B414" s="110">
        <v>44924</v>
      </c>
      <c r="C414" s="28">
        <f>B414</f>
        <v>44924</v>
      </c>
      <c r="D414" s="19" t="s">
        <v>37</v>
      </c>
      <c r="E414" s="19" t="s">
        <v>79</v>
      </c>
      <c r="F414" s="5" t="str">
        <f>E414</f>
        <v>Fajar Sodiq Febriansyah</v>
      </c>
      <c r="G414" s="35" t="s">
        <v>80</v>
      </c>
      <c r="H414" s="106"/>
      <c r="I414" s="96">
        <v>0</v>
      </c>
      <c r="J414" s="96">
        <v>0</v>
      </c>
      <c r="K414" s="96">
        <v>0</v>
      </c>
      <c r="L414" s="96">
        <v>0</v>
      </c>
      <c r="M414" s="96">
        <v>0</v>
      </c>
      <c r="N414" s="96">
        <v>0</v>
      </c>
      <c r="O414" s="96">
        <v>0</v>
      </c>
      <c r="P414" s="96">
        <v>0</v>
      </c>
      <c r="Q414" s="96">
        <v>0</v>
      </c>
      <c r="R414" s="96">
        <v>0</v>
      </c>
      <c r="S414" s="96">
        <v>0</v>
      </c>
      <c r="T414" s="96">
        <v>0</v>
      </c>
      <c r="U414" s="96">
        <v>0</v>
      </c>
      <c r="V414" s="96">
        <v>0</v>
      </c>
      <c r="W414" s="96">
        <v>0</v>
      </c>
      <c r="X414" s="96">
        <v>0</v>
      </c>
      <c r="Y414" s="96">
        <v>0</v>
      </c>
      <c r="Z414" s="96"/>
      <c r="AA414" s="19" t="s">
        <v>421</v>
      </c>
      <c r="AB414" s="19" t="s">
        <v>261</v>
      </c>
      <c r="AC414" s="19" t="s">
        <v>422</v>
      </c>
      <c r="AD414" s="19" t="s">
        <v>423</v>
      </c>
      <c r="AE414" s="13"/>
      <c r="AF414" s="8"/>
      <c r="AG414" t="str">
        <f>VLOOKUP(OfficeForms.Table[[#This Row],[Nama Proyek]],'Nama Proyek'!$D$2:$G$29,4,0)</f>
        <v>-7.82225167,113.29968319</v>
      </c>
      <c r="AH414" s="5"/>
      <c r="AI414" s="5"/>
      <c r="AJ414" s="5"/>
      <c r="AK414" s="5" t="s">
        <v>935</v>
      </c>
    </row>
    <row r="415" spans="1:37" ht="15" hidden="1" customHeight="1">
      <c r="A415">
        <v>692</v>
      </c>
      <c r="B415" s="111">
        <v>44924</v>
      </c>
      <c r="C415" s="29">
        <f>B415</f>
        <v>44924</v>
      </c>
      <c r="D415" s="8" t="s">
        <v>37</v>
      </c>
      <c r="E415" s="8" t="s">
        <v>75</v>
      </c>
      <c r="F415" s="5" t="str">
        <f>E415</f>
        <v>Banyu Purwita</v>
      </c>
      <c r="G415" s="37" t="s">
        <v>76</v>
      </c>
      <c r="H415" s="104"/>
      <c r="I415" s="95">
        <v>0</v>
      </c>
      <c r="J415" s="95">
        <v>0</v>
      </c>
      <c r="K415" s="95">
        <v>0</v>
      </c>
      <c r="L415" s="95">
        <v>0</v>
      </c>
      <c r="M415" s="95">
        <v>0</v>
      </c>
      <c r="N415" s="95">
        <v>0</v>
      </c>
      <c r="O415" s="95">
        <v>0</v>
      </c>
      <c r="P415" s="95">
        <v>0</v>
      </c>
      <c r="Q415" s="95">
        <v>0</v>
      </c>
      <c r="R415" s="95">
        <v>0</v>
      </c>
      <c r="S415" s="95">
        <v>0</v>
      </c>
      <c r="T415" s="95">
        <v>0</v>
      </c>
      <c r="U415" s="95">
        <v>0</v>
      </c>
      <c r="V415" s="95">
        <v>0</v>
      </c>
      <c r="W415" s="95">
        <v>0</v>
      </c>
      <c r="X415" s="95">
        <v>0</v>
      </c>
      <c r="Y415" s="95">
        <v>0</v>
      </c>
      <c r="Z415" s="95"/>
      <c r="AA415" s="8"/>
      <c r="AB415" s="8"/>
      <c r="AC415" s="8"/>
      <c r="AD415" s="8"/>
      <c r="AE415" s="11" t="s">
        <v>933</v>
      </c>
      <c r="AF415" s="8"/>
      <c r="AG415" t="str">
        <f>VLOOKUP(OfficeForms.Table[[#This Row],[Nama Proyek]],'Nama Proyek'!$D$2:$G$29,4,0)</f>
        <v>-2.95293103,104.75455094</v>
      </c>
      <c r="AH415" s="5"/>
      <c r="AI415" s="5"/>
      <c r="AJ415" s="5"/>
      <c r="AK415" s="5" t="s">
        <v>936</v>
      </c>
    </row>
    <row r="416" spans="1:37" ht="15" hidden="1" customHeight="1">
      <c r="A416" s="31">
        <v>807</v>
      </c>
      <c r="B416" s="110">
        <v>44924</v>
      </c>
      <c r="C416" s="28">
        <f>B416</f>
        <v>44924</v>
      </c>
      <c r="D416" s="19" t="s">
        <v>37</v>
      </c>
      <c r="E416" s="19" t="s">
        <v>923</v>
      </c>
      <c r="F416" s="5" t="str">
        <f>E416</f>
        <v>Nizar Tarmidzi</v>
      </c>
      <c r="G416" s="39" t="s">
        <v>924</v>
      </c>
      <c r="H416" s="106"/>
      <c r="I416" s="96">
        <v>0</v>
      </c>
      <c r="J416" s="96">
        <v>0</v>
      </c>
      <c r="K416" s="96">
        <v>0</v>
      </c>
      <c r="L416" s="96">
        <v>0</v>
      </c>
      <c r="M416" s="96">
        <v>0</v>
      </c>
      <c r="N416" s="96">
        <v>0</v>
      </c>
      <c r="O416" s="96">
        <v>0</v>
      </c>
      <c r="P416" s="96">
        <v>0</v>
      </c>
      <c r="Q416" s="96">
        <v>0</v>
      </c>
      <c r="R416" s="96">
        <v>0</v>
      </c>
      <c r="S416" s="96">
        <v>0</v>
      </c>
      <c r="T416" s="96">
        <v>0</v>
      </c>
      <c r="U416" s="96">
        <v>0</v>
      </c>
      <c r="V416" s="96">
        <v>0</v>
      </c>
      <c r="W416" s="96">
        <v>0</v>
      </c>
      <c r="X416" s="96">
        <v>0</v>
      </c>
      <c r="Y416" s="96">
        <v>0</v>
      </c>
      <c r="Z416" s="96"/>
      <c r="AA416" s="19"/>
      <c r="AB416" s="19"/>
      <c r="AC416" s="19"/>
      <c r="AD416" s="19"/>
      <c r="AE416" s="13" t="s">
        <v>937</v>
      </c>
      <c r="AF416" s="8"/>
      <c r="AG416" t="str">
        <f>VLOOKUP(OfficeForms.Table[[#This Row],[Nama Proyek]],'Nama Proyek'!$D$2:$G$40,4,0)</f>
        <v>-3.25078511,134.87791156</v>
      </c>
      <c r="AH416" s="5"/>
      <c r="AI416" s="5"/>
      <c r="AJ416" s="5"/>
      <c r="AK416" s="5" t="s">
        <v>938</v>
      </c>
    </row>
    <row r="417" spans="1:37" ht="15" hidden="1" customHeight="1">
      <c r="A417" s="50">
        <v>217</v>
      </c>
      <c r="B417" s="110">
        <v>44925</v>
      </c>
      <c r="C417" s="28">
        <f>B417</f>
        <v>44925</v>
      </c>
      <c r="D417" s="19" t="s">
        <v>37</v>
      </c>
      <c r="E417" s="19" t="s">
        <v>136</v>
      </c>
      <c r="F417" s="5" t="str">
        <f>E417</f>
        <v>Utomo Aryowibowo</v>
      </c>
      <c r="G417" s="64" t="s">
        <v>52</v>
      </c>
      <c r="H417" s="106">
        <v>44920</v>
      </c>
      <c r="I417" s="96">
        <v>90.5</v>
      </c>
      <c r="J417" s="96">
        <v>88.66</v>
      </c>
      <c r="K417" s="96">
        <v>0</v>
      </c>
      <c r="L417" s="96">
        <v>0</v>
      </c>
      <c r="M417" s="96">
        <v>0</v>
      </c>
      <c r="N417" s="96">
        <v>0</v>
      </c>
      <c r="O417" s="96">
        <v>0</v>
      </c>
      <c r="P417" s="96">
        <v>2.5000000000000001E-2</v>
      </c>
      <c r="Q417" s="96">
        <v>0</v>
      </c>
      <c r="R417" s="96">
        <v>0.63400000000000001</v>
      </c>
      <c r="S417" s="96">
        <v>3.496</v>
      </c>
      <c r="T417" s="96">
        <v>0</v>
      </c>
      <c r="U417" s="96">
        <v>0.02</v>
      </c>
      <c r="V417" s="96">
        <v>7.1999999999999995E-2</v>
      </c>
      <c r="W417" s="96">
        <v>0.18</v>
      </c>
      <c r="X417" s="96">
        <v>0</v>
      </c>
      <c r="Y417" s="96">
        <v>0</v>
      </c>
      <c r="Z417" s="96"/>
      <c r="AA417" s="19"/>
      <c r="AB417" s="19"/>
      <c r="AC417" s="19"/>
      <c r="AD417" s="19"/>
      <c r="AE417" s="13"/>
      <c r="AF417" s="17"/>
      <c r="AG417" t="str">
        <f>VLOOKUP(OfficeForms.Table[[#This Row],[Nama Proyek]],'Nama Proyek'!$D$2:$G$29,4,0)</f>
        <v>-6.13491053,106.93675986</v>
      </c>
      <c r="AH417" s="5"/>
      <c r="AI417" s="5"/>
      <c r="AJ417" s="5"/>
      <c r="AK417" s="5" t="s">
        <v>939</v>
      </c>
    </row>
    <row r="418" spans="1:37" ht="15" hidden="1" customHeight="1">
      <c r="A418" s="50">
        <v>498</v>
      </c>
      <c r="B418" s="111">
        <v>44925</v>
      </c>
      <c r="C418" s="29">
        <f>B418</f>
        <v>44925</v>
      </c>
      <c r="D418" s="8" t="s">
        <v>37</v>
      </c>
      <c r="E418" s="8" t="s">
        <v>82</v>
      </c>
      <c r="F418" s="5" t="str">
        <f>E418</f>
        <v>Ajik Prastiyo</v>
      </c>
      <c r="G418" s="209" t="s">
        <v>80</v>
      </c>
      <c r="H418" s="105">
        <v>44920</v>
      </c>
      <c r="I418" s="95">
        <v>82.504655110000002</v>
      </c>
      <c r="J418" s="95">
        <v>100</v>
      </c>
      <c r="K418" s="95">
        <v>0.40369513000000001</v>
      </c>
      <c r="L418" s="95">
        <v>0.15046996000000001</v>
      </c>
      <c r="M418" s="95">
        <v>31.544730049999998</v>
      </c>
      <c r="N418" s="95">
        <v>0.53471208999999997</v>
      </c>
      <c r="O418" s="95">
        <v>2.9042047100000001</v>
      </c>
      <c r="P418" s="95">
        <v>0.2209641</v>
      </c>
      <c r="Q418" s="95">
        <v>6.4946299999999998E-2</v>
      </c>
      <c r="R418" s="95">
        <v>10.03595172</v>
      </c>
      <c r="S418" s="95">
        <v>28.33940965</v>
      </c>
      <c r="T418" s="95">
        <v>0</v>
      </c>
      <c r="U418" s="95">
        <v>6.3326052600000002</v>
      </c>
      <c r="V418" s="95">
        <v>0.68621456999999997</v>
      </c>
      <c r="W418" s="95">
        <v>0.26613548999999997</v>
      </c>
      <c r="X418" s="95">
        <v>0.18598693999999999</v>
      </c>
      <c r="Y418" s="95">
        <v>0.38852365</v>
      </c>
      <c r="Z418" s="95"/>
      <c r="AA418" s="8"/>
      <c r="AB418" s="8"/>
      <c r="AC418" s="8"/>
      <c r="AD418" s="8"/>
      <c r="AE418" s="16"/>
      <c r="AF418" s="8"/>
      <c r="AG418" t="str">
        <f>VLOOKUP(OfficeForms.Table[[#This Row],[Nama Proyek]],'Nama Proyek'!$D$2:$G$29,4,0)</f>
        <v>-7.82225167,113.29968319</v>
      </c>
      <c r="AH418" s="5"/>
      <c r="AI418" s="5"/>
      <c r="AJ418" s="5"/>
      <c r="AK418" s="5" t="s">
        <v>940</v>
      </c>
    </row>
    <row r="419" spans="1:37" ht="15" hidden="1" customHeight="1">
      <c r="A419" s="31">
        <v>408</v>
      </c>
      <c r="B419" s="111">
        <v>44925</v>
      </c>
      <c r="C419" s="29">
        <f>B419</f>
        <v>44925</v>
      </c>
      <c r="D419" s="8" t="s">
        <v>37</v>
      </c>
      <c r="E419" s="8" t="s">
        <v>716</v>
      </c>
      <c r="F419" s="5" t="str">
        <f>E419</f>
        <v>Tri Suseno</v>
      </c>
      <c r="G419" s="64" t="s">
        <v>717</v>
      </c>
      <c r="H419" s="105">
        <v>44924</v>
      </c>
      <c r="I419" s="95">
        <v>96.045000000000002</v>
      </c>
      <c r="J419" s="95">
        <v>99.998999999999995</v>
      </c>
      <c r="K419" s="95">
        <v>0</v>
      </c>
      <c r="L419" s="95">
        <v>0</v>
      </c>
      <c r="M419" s="95">
        <v>0</v>
      </c>
      <c r="N419" s="95">
        <v>0</v>
      </c>
      <c r="O419" s="95">
        <v>0</v>
      </c>
      <c r="P419" s="95">
        <v>0</v>
      </c>
      <c r="Q419" s="95">
        <v>0</v>
      </c>
      <c r="R419" s="95">
        <v>0</v>
      </c>
      <c r="S419" s="95">
        <v>0</v>
      </c>
      <c r="T419" s="95">
        <v>0</v>
      </c>
      <c r="U419" s="95">
        <v>0</v>
      </c>
      <c r="V419" s="95">
        <v>0</v>
      </c>
      <c r="W419" s="95">
        <v>0</v>
      </c>
      <c r="X419" s="95">
        <v>0</v>
      </c>
      <c r="Y419" s="95">
        <v>0</v>
      </c>
      <c r="Z419" s="95"/>
      <c r="AA419" s="8"/>
      <c r="AB419" s="8"/>
      <c r="AC419" s="8"/>
      <c r="AD419" s="8"/>
      <c r="AE419" s="11"/>
      <c r="AF419" s="19"/>
      <c r="AG419" t="str">
        <f>VLOOKUP(OfficeForms.Table[[#This Row],[Nama Proyek]],'Nama Proyek'!$D$2:$G$29,4,0)</f>
        <v>3.76271056,115.88262689</v>
      </c>
      <c r="AH419" s="5"/>
      <c r="AI419" s="5"/>
      <c r="AJ419" s="5"/>
      <c r="AK419" s="5" t="s">
        <v>941</v>
      </c>
    </row>
    <row r="420" spans="1:37" ht="15" hidden="1" customHeight="1">
      <c r="A420" s="31">
        <v>505</v>
      </c>
      <c r="B420" s="110">
        <v>44925</v>
      </c>
      <c r="C420" s="28">
        <f>B420</f>
        <v>44925</v>
      </c>
      <c r="D420" s="19" t="s">
        <v>37</v>
      </c>
      <c r="E420" s="19" t="s">
        <v>57</v>
      </c>
      <c r="F420" s="5" t="str">
        <f>E420</f>
        <v>Alfian Budi Prasetya</v>
      </c>
      <c r="G420" s="86" t="s">
        <v>58</v>
      </c>
      <c r="H420" s="106">
        <v>44925</v>
      </c>
      <c r="I420" s="96">
        <v>25.141999999999999</v>
      </c>
      <c r="J420" s="96">
        <v>59.039000000000001</v>
      </c>
      <c r="K420" s="96">
        <v>0</v>
      </c>
      <c r="L420" s="96">
        <v>0.36732135999999999</v>
      </c>
      <c r="M420" s="96">
        <v>0.27643747000000002</v>
      </c>
      <c r="N420" s="96">
        <v>13.616642410000001</v>
      </c>
      <c r="O420" s="96">
        <v>6.7272537300000002</v>
      </c>
      <c r="P420" s="96">
        <v>0.21693314999999999</v>
      </c>
      <c r="Q420" s="96">
        <v>0.76140251000000003</v>
      </c>
      <c r="R420" s="96">
        <v>0.28169590999999999</v>
      </c>
      <c r="S420" s="96">
        <v>0</v>
      </c>
      <c r="T420" s="96">
        <v>0.25392519000000002</v>
      </c>
      <c r="U420" s="96">
        <v>0</v>
      </c>
      <c r="V420" s="96">
        <v>0</v>
      </c>
      <c r="W420" s="96">
        <v>0</v>
      </c>
      <c r="X420" s="96">
        <v>0</v>
      </c>
      <c r="Y420" s="96">
        <v>0</v>
      </c>
      <c r="Z420" s="96"/>
      <c r="AA420" s="19"/>
      <c r="AB420" s="42"/>
      <c r="AC420" s="19"/>
      <c r="AD420" s="42"/>
      <c r="AE420" s="13"/>
      <c r="AF420" s="8" t="s">
        <v>942</v>
      </c>
      <c r="AG420" t="str">
        <f>VLOOKUP(OfficeForms.Table[[#This Row],[Nama Proyek]],'Nama Proyek'!$D$2:$G$29,4,0)</f>
        <v>-6.12967558,107.07321308</v>
      </c>
      <c r="AH420" s="5"/>
      <c r="AI420" s="5"/>
      <c r="AJ420" s="5"/>
      <c r="AK420" s="5" t="s">
        <v>943</v>
      </c>
    </row>
    <row r="421" spans="1:37" ht="15" hidden="1" customHeight="1">
      <c r="A421" s="31">
        <v>280</v>
      </c>
      <c r="B421" s="111">
        <v>44925</v>
      </c>
      <c r="C421" s="29">
        <f>B421</f>
        <v>44925</v>
      </c>
      <c r="D421" s="8" t="s">
        <v>37</v>
      </c>
      <c r="E421" s="8" t="s">
        <v>64</v>
      </c>
      <c r="F421" s="5" t="str">
        <f>E421</f>
        <v>Nizar Zulkarnain</v>
      </c>
      <c r="G421" s="185" t="s">
        <v>65</v>
      </c>
      <c r="H421" s="105"/>
      <c r="I421" s="95">
        <v>0</v>
      </c>
      <c r="J421" s="95">
        <v>0</v>
      </c>
      <c r="K421" s="95">
        <v>0</v>
      </c>
      <c r="L421" s="95">
        <v>0</v>
      </c>
      <c r="M421" s="95">
        <v>0</v>
      </c>
      <c r="N421" s="95">
        <v>0</v>
      </c>
      <c r="O421" s="95">
        <v>0</v>
      </c>
      <c r="P421" s="95">
        <v>0</v>
      </c>
      <c r="Q421" s="95">
        <v>0</v>
      </c>
      <c r="R421" s="95">
        <v>0</v>
      </c>
      <c r="S421" s="95">
        <v>0</v>
      </c>
      <c r="T421" s="95">
        <v>0</v>
      </c>
      <c r="U421" s="95">
        <v>0</v>
      </c>
      <c r="V421" s="95">
        <v>0</v>
      </c>
      <c r="W421" s="95">
        <v>0</v>
      </c>
      <c r="X421" s="95">
        <v>0</v>
      </c>
      <c r="Y421" s="95">
        <v>0</v>
      </c>
      <c r="Z421" s="95"/>
      <c r="AA421" s="8"/>
      <c r="AB421" s="8"/>
      <c r="AC421" s="8"/>
      <c r="AD421" s="8"/>
      <c r="AE421" s="11" t="s">
        <v>944</v>
      </c>
      <c r="AF421" s="19"/>
      <c r="AG421" t="str">
        <f>VLOOKUP(OfficeForms.Table[[#This Row],[Nama Proyek]],'Nama Proyek'!$D$2:$G$29,4,0)</f>
        <v>-6.35008011,107.02324233</v>
      </c>
      <c r="AH421" s="5"/>
      <c r="AI421" s="5"/>
      <c r="AJ421" s="5"/>
      <c r="AK421" s="5" t="s">
        <v>945</v>
      </c>
    </row>
    <row r="422" spans="1:37" ht="15" hidden="1" customHeight="1">
      <c r="A422" s="50">
        <v>501</v>
      </c>
      <c r="B422" s="110">
        <v>44925</v>
      </c>
      <c r="C422" s="28">
        <f>B422</f>
        <v>44925</v>
      </c>
      <c r="D422" s="19" t="s">
        <v>37</v>
      </c>
      <c r="E422" s="19" t="s">
        <v>716</v>
      </c>
      <c r="F422" s="5" t="str">
        <f>E422</f>
        <v>Tri Suseno</v>
      </c>
      <c r="G422" s="64" t="s">
        <v>717</v>
      </c>
      <c r="H422" s="106"/>
      <c r="I422" s="96">
        <v>0</v>
      </c>
      <c r="J422" s="96">
        <v>0</v>
      </c>
      <c r="K422" s="96">
        <v>0</v>
      </c>
      <c r="L422" s="96">
        <v>0</v>
      </c>
      <c r="M422" s="96">
        <v>0</v>
      </c>
      <c r="N422" s="96">
        <v>0</v>
      </c>
      <c r="O422" s="96">
        <v>0</v>
      </c>
      <c r="P422" s="96">
        <v>0</v>
      </c>
      <c r="Q422" s="96">
        <v>0</v>
      </c>
      <c r="R422" s="96">
        <v>0</v>
      </c>
      <c r="S422" s="96">
        <v>0</v>
      </c>
      <c r="T422" s="96">
        <v>0</v>
      </c>
      <c r="U422" s="96">
        <v>0</v>
      </c>
      <c r="V422" s="96">
        <v>0</v>
      </c>
      <c r="W422" s="96">
        <v>0</v>
      </c>
      <c r="X422" s="96">
        <v>0</v>
      </c>
      <c r="Y422" s="96">
        <v>0</v>
      </c>
      <c r="Z422" s="96"/>
      <c r="AA422" s="75" t="s">
        <v>856</v>
      </c>
      <c r="AB422" s="19"/>
      <c r="AC422" s="19"/>
      <c r="AD422" s="19"/>
      <c r="AE422" s="13"/>
      <c r="AF422" s="8" t="s">
        <v>946</v>
      </c>
      <c r="AG422" t="str">
        <f>VLOOKUP(OfficeForms.Table[[#This Row],[Nama Proyek]],'Nama Proyek'!$D$2:$G$29,4,0)</f>
        <v>3.76271056,115.88262689</v>
      </c>
      <c r="AH422" s="5"/>
      <c r="AI422" s="5"/>
      <c r="AJ422" s="5"/>
      <c r="AK422" s="5" t="s">
        <v>947</v>
      </c>
    </row>
    <row r="423" spans="1:37" ht="15" hidden="1" customHeight="1">
      <c r="A423">
        <v>502</v>
      </c>
      <c r="B423" s="111">
        <v>44925</v>
      </c>
      <c r="C423" s="29">
        <f>B423</f>
        <v>44925</v>
      </c>
      <c r="D423" s="8" t="s">
        <v>37</v>
      </c>
      <c r="E423" s="8" t="s">
        <v>716</v>
      </c>
      <c r="F423" s="5" t="str">
        <f>E423</f>
        <v>Tri Suseno</v>
      </c>
      <c r="G423" s="64" t="s">
        <v>717</v>
      </c>
      <c r="H423" s="104"/>
      <c r="I423" s="95">
        <v>0</v>
      </c>
      <c r="J423" s="95">
        <v>0</v>
      </c>
      <c r="K423" s="95">
        <v>0</v>
      </c>
      <c r="L423" s="95">
        <v>0</v>
      </c>
      <c r="M423" s="95">
        <v>0</v>
      </c>
      <c r="N423" s="95">
        <v>0</v>
      </c>
      <c r="O423" s="95">
        <v>0</v>
      </c>
      <c r="P423" s="95">
        <v>0</v>
      </c>
      <c r="Q423" s="95">
        <v>0</v>
      </c>
      <c r="R423" s="95">
        <v>0</v>
      </c>
      <c r="S423" s="95">
        <v>0</v>
      </c>
      <c r="T423" s="95">
        <v>0</v>
      </c>
      <c r="U423" s="95">
        <v>0</v>
      </c>
      <c r="V423" s="95">
        <v>0</v>
      </c>
      <c r="W423" s="95">
        <v>0</v>
      </c>
      <c r="X423" s="95">
        <v>0</v>
      </c>
      <c r="Y423" s="95">
        <v>0</v>
      </c>
      <c r="Z423" s="95"/>
      <c r="AA423" s="8"/>
      <c r="AB423" s="8"/>
      <c r="AC423" s="8"/>
      <c r="AD423" s="8"/>
      <c r="AE423" s="11" t="s">
        <v>948</v>
      </c>
      <c r="AF423" s="19"/>
      <c r="AG423" t="str">
        <f>VLOOKUP(OfficeForms.Table[[#This Row],[Nama Proyek]],'Nama Proyek'!$D$2:$G$29,4,0)</f>
        <v>3.76271056,115.88262689</v>
      </c>
      <c r="AH423" s="5"/>
      <c r="AI423" s="5"/>
      <c r="AJ423" s="5"/>
      <c r="AK423" s="5" t="s">
        <v>949</v>
      </c>
    </row>
    <row r="424" spans="1:37" ht="15" hidden="1" customHeight="1">
      <c r="A424" s="30">
        <v>503</v>
      </c>
      <c r="B424" s="110">
        <v>44925</v>
      </c>
      <c r="C424" s="28">
        <f>B424</f>
        <v>44925</v>
      </c>
      <c r="D424" s="19" t="s">
        <v>37</v>
      </c>
      <c r="E424" s="19" t="s">
        <v>923</v>
      </c>
      <c r="F424" s="5" t="str">
        <f>E424</f>
        <v>Nizar Tarmidzi</v>
      </c>
      <c r="G424" s="207" t="s">
        <v>924</v>
      </c>
      <c r="H424" s="106"/>
      <c r="I424" s="96">
        <v>0</v>
      </c>
      <c r="J424" s="96">
        <v>0</v>
      </c>
      <c r="K424" s="96">
        <v>0</v>
      </c>
      <c r="L424" s="96">
        <v>0</v>
      </c>
      <c r="M424" s="96">
        <v>0</v>
      </c>
      <c r="N424" s="96">
        <v>0</v>
      </c>
      <c r="O424" s="96">
        <v>0</v>
      </c>
      <c r="P424" s="96">
        <v>0</v>
      </c>
      <c r="Q424" s="96">
        <v>0</v>
      </c>
      <c r="R424" s="96">
        <v>0</v>
      </c>
      <c r="S424" s="96">
        <v>0</v>
      </c>
      <c r="T424" s="96">
        <v>0</v>
      </c>
      <c r="U424" s="96">
        <v>0</v>
      </c>
      <c r="V424" s="96">
        <v>0</v>
      </c>
      <c r="W424" s="96">
        <v>0</v>
      </c>
      <c r="X424" s="96">
        <v>0</v>
      </c>
      <c r="Y424" s="96">
        <v>0</v>
      </c>
      <c r="Z424" s="96"/>
      <c r="AA424" s="19"/>
      <c r="AB424" s="43" t="s">
        <v>950</v>
      </c>
      <c r="AC424" s="19"/>
      <c r="AD424" s="19"/>
      <c r="AE424" s="13"/>
      <c r="AF424" s="8"/>
      <c r="AG424" t="str">
        <f>VLOOKUP(OfficeForms.Table[[#This Row],[Nama Proyek]],'Nama Proyek'!$D$2:$G$40,4,0)</f>
        <v>-3.25078511,134.87791156</v>
      </c>
      <c r="AH424" s="5"/>
      <c r="AI424" s="5"/>
      <c r="AJ424" s="5"/>
      <c r="AK424" s="5" t="s">
        <v>951</v>
      </c>
    </row>
    <row r="425" spans="1:37" ht="15" hidden="1" customHeight="1">
      <c r="A425" s="31">
        <v>504</v>
      </c>
      <c r="B425" s="111">
        <v>44925</v>
      </c>
      <c r="C425" s="29">
        <f>B425</f>
        <v>44925</v>
      </c>
      <c r="D425" s="8" t="s">
        <v>37</v>
      </c>
      <c r="E425" s="8" t="s">
        <v>57</v>
      </c>
      <c r="F425" s="5" t="str">
        <f>E425</f>
        <v>Alfian Budi Prasetya</v>
      </c>
      <c r="G425" s="64" t="s">
        <v>58</v>
      </c>
      <c r="H425" s="104"/>
      <c r="I425" s="95">
        <v>0</v>
      </c>
      <c r="J425" s="95">
        <v>0</v>
      </c>
      <c r="K425" s="95">
        <v>0</v>
      </c>
      <c r="L425" s="95">
        <v>0</v>
      </c>
      <c r="M425" s="95">
        <v>0</v>
      </c>
      <c r="N425" s="95">
        <v>0</v>
      </c>
      <c r="O425" s="95">
        <v>0</v>
      </c>
      <c r="P425" s="95">
        <v>0</v>
      </c>
      <c r="Q425" s="95">
        <v>0</v>
      </c>
      <c r="R425" s="95">
        <v>0</v>
      </c>
      <c r="S425" s="95">
        <v>0</v>
      </c>
      <c r="T425" s="95">
        <v>0</v>
      </c>
      <c r="U425" s="95">
        <v>0</v>
      </c>
      <c r="V425" s="95">
        <v>0</v>
      </c>
      <c r="W425" s="95">
        <v>0</v>
      </c>
      <c r="X425" s="95">
        <v>0</v>
      </c>
      <c r="Y425" s="95">
        <v>0</v>
      </c>
      <c r="Z425" s="95"/>
      <c r="AA425" s="8" t="s">
        <v>952</v>
      </c>
      <c r="AB425" s="8"/>
      <c r="AC425" s="8" t="s">
        <v>649</v>
      </c>
      <c r="AD425" s="8" t="s">
        <v>649</v>
      </c>
      <c r="AE425" s="11"/>
      <c r="AF425" s="42"/>
      <c r="AG425" t="str">
        <f>VLOOKUP(OfficeForms.Table[[#This Row],[Nama Proyek]],'Nama Proyek'!$D$2:$G$29,4,0)</f>
        <v>-6.12967558,107.07321308</v>
      </c>
      <c r="AH425" s="5"/>
      <c r="AI425" s="5"/>
      <c r="AJ425" s="5"/>
      <c r="AK425" s="5" t="s">
        <v>953</v>
      </c>
    </row>
    <row r="426" spans="1:37" ht="15" hidden="1" customHeight="1">
      <c r="A426" s="30">
        <v>506</v>
      </c>
      <c r="B426" s="111">
        <v>44925</v>
      </c>
      <c r="C426" s="29">
        <f>B426</f>
        <v>44925</v>
      </c>
      <c r="D426" s="8" t="s">
        <v>37</v>
      </c>
      <c r="E426" s="8" t="s">
        <v>57</v>
      </c>
      <c r="F426" s="5" t="str">
        <f>E426</f>
        <v>Alfian Budi Prasetya</v>
      </c>
      <c r="G426" s="64" t="s">
        <v>58</v>
      </c>
      <c r="H426" s="104"/>
      <c r="I426" s="95">
        <v>0</v>
      </c>
      <c r="J426" s="95">
        <v>0</v>
      </c>
      <c r="K426" s="95">
        <v>0</v>
      </c>
      <c r="L426" s="95">
        <v>0</v>
      </c>
      <c r="M426" s="95">
        <v>0</v>
      </c>
      <c r="N426" s="95">
        <v>0</v>
      </c>
      <c r="O426" s="95">
        <v>0</v>
      </c>
      <c r="P426" s="95">
        <v>0</v>
      </c>
      <c r="Q426" s="95">
        <v>0</v>
      </c>
      <c r="R426" s="95">
        <v>0</v>
      </c>
      <c r="S426" s="95">
        <v>0</v>
      </c>
      <c r="T426" s="95">
        <v>0</v>
      </c>
      <c r="U426" s="95">
        <v>0</v>
      </c>
      <c r="V426" s="95">
        <v>0</v>
      </c>
      <c r="W426" s="95">
        <v>0</v>
      </c>
      <c r="X426" s="95">
        <v>0</v>
      </c>
      <c r="Y426" s="95">
        <v>0</v>
      </c>
      <c r="Z426" s="95"/>
      <c r="AA426" s="8"/>
      <c r="AB426" s="8"/>
      <c r="AC426" s="8"/>
      <c r="AD426" s="15"/>
      <c r="AE426" s="16" t="s">
        <v>944</v>
      </c>
      <c r="AF426" s="8"/>
      <c r="AG426" t="str">
        <f>VLOOKUP(OfficeForms.Table[[#This Row],[Nama Proyek]],'Nama Proyek'!$D$2:$G$29,4,0)</f>
        <v>-6.12967558,107.07321308</v>
      </c>
      <c r="AH426" s="5"/>
      <c r="AI426" s="5"/>
      <c r="AJ426" s="5"/>
      <c r="AK426" s="5" t="s">
        <v>954</v>
      </c>
    </row>
    <row r="427" spans="1:37" ht="15" hidden="1" customHeight="1">
      <c r="A427">
        <v>688</v>
      </c>
      <c r="B427" s="111">
        <v>44925</v>
      </c>
      <c r="C427" s="29">
        <f>B427</f>
        <v>44925</v>
      </c>
      <c r="D427" s="8" t="s">
        <v>37</v>
      </c>
      <c r="E427" s="8" t="s">
        <v>136</v>
      </c>
      <c r="F427" s="5" t="str">
        <f>E427</f>
        <v>Utomo Aryowibowo</v>
      </c>
      <c r="G427" s="64" t="s">
        <v>52</v>
      </c>
      <c r="H427" s="104"/>
      <c r="I427" s="95">
        <v>0</v>
      </c>
      <c r="J427" s="95">
        <v>0</v>
      </c>
      <c r="K427" s="95">
        <v>0</v>
      </c>
      <c r="L427" s="95">
        <v>0</v>
      </c>
      <c r="M427" s="95">
        <v>0</v>
      </c>
      <c r="N427" s="95">
        <v>0</v>
      </c>
      <c r="O427" s="95">
        <v>0</v>
      </c>
      <c r="P427" s="95">
        <v>0</v>
      </c>
      <c r="Q427" s="95">
        <v>0</v>
      </c>
      <c r="R427" s="95">
        <v>0</v>
      </c>
      <c r="S427" s="95">
        <v>0</v>
      </c>
      <c r="T427" s="95">
        <v>0</v>
      </c>
      <c r="U427" s="95">
        <v>0</v>
      </c>
      <c r="V427" s="95">
        <v>0</v>
      </c>
      <c r="W427" s="95">
        <v>0</v>
      </c>
      <c r="X427" s="95">
        <v>0</v>
      </c>
      <c r="Y427" s="95">
        <v>0</v>
      </c>
      <c r="Z427" s="95"/>
      <c r="AA427" s="8"/>
      <c r="AB427" s="8"/>
      <c r="AC427" s="8"/>
      <c r="AD427" s="8"/>
      <c r="AE427" s="11" t="s">
        <v>933</v>
      </c>
      <c r="AF427" s="42"/>
      <c r="AG427" t="str">
        <f>VLOOKUP(OfficeForms.Table[[#This Row],[Nama Proyek]],'Nama Proyek'!$D$2:$G$29,4,0)</f>
        <v>-6.13491053,106.93675986</v>
      </c>
      <c r="AH427" s="5"/>
      <c r="AI427" s="5"/>
      <c r="AJ427" s="5"/>
      <c r="AK427" s="5" t="s">
        <v>955</v>
      </c>
    </row>
    <row r="428" spans="1:37" ht="15" hidden="1" customHeight="1">
      <c r="A428" s="50">
        <v>749</v>
      </c>
      <c r="B428" s="110">
        <v>44925</v>
      </c>
      <c r="C428" s="28">
        <f>B428</f>
        <v>44925</v>
      </c>
      <c r="D428" s="8" t="s">
        <v>37</v>
      </c>
      <c r="E428" s="8" t="s">
        <v>136</v>
      </c>
      <c r="F428" s="5" t="str">
        <f>E428</f>
        <v>Utomo Aryowibowo</v>
      </c>
      <c r="G428" s="64" t="s">
        <v>52</v>
      </c>
      <c r="H428" s="106"/>
      <c r="I428" s="95">
        <v>0</v>
      </c>
      <c r="J428" s="95">
        <v>0</v>
      </c>
      <c r="K428" s="95">
        <v>0</v>
      </c>
      <c r="L428" s="95">
        <v>0</v>
      </c>
      <c r="M428" s="95">
        <v>0</v>
      </c>
      <c r="N428" s="95">
        <v>0</v>
      </c>
      <c r="O428" s="95">
        <v>0</v>
      </c>
      <c r="P428" s="95">
        <v>0</v>
      </c>
      <c r="Q428" s="95">
        <v>0</v>
      </c>
      <c r="R428" s="95">
        <v>0</v>
      </c>
      <c r="S428" s="95">
        <v>0</v>
      </c>
      <c r="T428" s="95">
        <v>0</v>
      </c>
      <c r="U428" s="95">
        <v>0</v>
      </c>
      <c r="V428" s="95">
        <v>0</v>
      </c>
      <c r="W428" s="95">
        <v>0</v>
      </c>
      <c r="X428" s="95">
        <v>0</v>
      </c>
      <c r="Y428" s="95">
        <v>0</v>
      </c>
      <c r="Z428" s="95"/>
      <c r="AA428" s="8" t="s">
        <v>956</v>
      </c>
      <c r="AB428" s="8" t="s">
        <v>956</v>
      </c>
      <c r="AC428" s="8" t="s">
        <v>957</v>
      </c>
      <c r="AD428" s="8" t="s">
        <v>957</v>
      </c>
      <c r="AE428" s="16"/>
      <c r="AF428" s="9"/>
      <c r="AG428" t="str">
        <f>VLOOKUP(OfficeForms.Table[[#This Row],[Nama Proyek]],'Nama Proyek'!$D$2:$G$29,4,0)</f>
        <v>-6.13491053,106.93675986</v>
      </c>
      <c r="AH428" s="5"/>
      <c r="AI428" s="5"/>
      <c r="AJ428" s="5"/>
      <c r="AK428" s="5" t="s">
        <v>958</v>
      </c>
    </row>
    <row r="429" spans="1:37" ht="15" hidden="1" customHeight="1">
      <c r="A429" s="30">
        <v>992</v>
      </c>
      <c r="B429" s="111">
        <v>44927</v>
      </c>
      <c r="C429" s="29">
        <f>B429</f>
        <v>44927</v>
      </c>
      <c r="D429" s="9" t="s">
        <v>37</v>
      </c>
      <c r="E429" s="9" t="s">
        <v>504</v>
      </c>
      <c r="F429" s="5" t="str">
        <f>E429</f>
        <v>Fathan Zul Waskito</v>
      </c>
      <c r="G429" s="185" t="s">
        <v>472</v>
      </c>
      <c r="H429" s="104">
        <v>44925</v>
      </c>
      <c r="I429" s="94">
        <v>47.71</v>
      </c>
      <c r="J429" s="94">
        <v>60.674999999999997</v>
      </c>
      <c r="K429" s="94">
        <v>0.34200000000000003</v>
      </c>
      <c r="L429" s="94">
        <v>0</v>
      </c>
      <c r="M429" s="94">
        <v>44.311</v>
      </c>
      <c r="N429" s="94">
        <v>0</v>
      </c>
      <c r="O429" s="94">
        <v>0.34599999999999997</v>
      </c>
      <c r="P429" s="94">
        <v>0</v>
      </c>
      <c r="Q429" s="94">
        <v>0</v>
      </c>
      <c r="R429" s="94">
        <v>0</v>
      </c>
      <c r="S429" s="94">
        <v>1.3460000000000001</v>
      </c>
      <c r="T429" s="94">
        <v>0</v>
      </c>
      <c r="U429" s="94">
        <v>0</v>
      </c>
      <c r="V429" s="94">
        <v>0</v>
      </c>
      <c r="W429" s="94">
        <v>0</v>
      </c>
      <c r="X429" s="94">
        <v>0</v>
      </c>
      <c r="Y429" s="94">
        <v>0</v>
      </c>
      <c r="Z429" s="94"/>
      <c r="AA429" s="9"/>
      <c r="AB429" s="9"/>
      <c r="AC429" s="9"/>
      <c r="AD429" s="9"/>
      <c r="AE429" s="12"/>
      <c r="AF429" s="42"/>
      <c r="AG429" t="str">
        <f>VLOOKUP(OfficeForms.Table[[#This Row],[Nama Proyek]],'Nama Proyek'!$D$2:$G$29,4,0)</f>
        <v>-8.29394978,112.00545006</v>
      </c>
      <c r="AH429" s="5"/>
      <c r="AI429" s="5"/>
      <c r="AJ429" s="5"/>
      <c r="AK429" s="5" t="s">
        <v>959</v>
      </c>
    </row>
    <row r="430" spans="1:37" ht="15" hidden="1" customHeight="1">
      <c r="A430" s="31">
        <v>361</v>
      </c>
      <c r="B430" s="110">
        <v>44927</v>
      </c>
      <c r="C430" s="28">
        <f>B430</f>
        <v>44927</v>
      </c>
      <c r="D430" s="19" t="s">
        <v>37</v>
      </c>
      <c r="E430" s="19" t="s">
        <v>504</v>
      </c>
      <c r="F430" s="5" t="str">
        <f>E430</f>
        <v>Fathan Zul Waskito</v>
      </c>
      <c r="G430" s="86" t="s">
        <v>472</v>
      </c>
      <c r="H430" s="106"/>
      <c r="I430" s="96">
        <v>0</v>
      </c>
      <c r="J430" s="96">
        <v>0</v>
      </c>
      <c r="K430" s="96">
        <v>0</v>
      </c>
      <c r="L430" s="96">
        <v>0</v>
      </c>
      <c r="M430" s="96">
        <v>0</v>
      </c>
      <c r="N430" s="96">
        <v>0</v>
      </c>
      <c r="O430" s="96">
        <v>0</v>
      </c>
      <c r="P430" s="96">
        <v>0</v>
      </c>
      <c r="Q430" s="96">
        <v>0</v>
      </c>
      <c r="R430" s="96">
        <v>0</v>
      </c>
      <c r="S430" s="96">
        <v>0</v>
      </c>
      <c r="T430" s="96">
        <v>0</v>
      </c>
      <c r="U430" s="96">
        <v>0</v>
      </c>
      <c r="V430" s="96">
        <v>0</v>
      </c>
      <c r="W430" s="96">
        <v>0</v>
      </c>
      <c r="X430" s="96">
        <v>0</v>
      </c>
      <c r="Y430" s="96">
        <v>0</v>
      </c>
      <c r="Z430" s="96"/>
      <c r="AA430" s="19" t="s">
        <v>960</v>
      </c>
      <c r="AB430" s="42" t="s">
        <v>791</v>
      </c>
      <c r="AC430" s="19" t="s">
        <v>674</v>
      </c>
      <c r="AD430" s="19" t="s">
        <v>674</v>
      </c>
      <c r="AE430" s="24"/>
      <c r="AF430" s="9"/>
      <c r="AG430" t="str">
        <f>VLOOKUP(OfficeForms.Table[[#This Row],[Nama Proyek]],'Nama Proyek'!$D$2:$G$29,4,0)</f>
        <v>-8.29394978,112.00545006</v>
      </c>
      <c r="AH430" s="5"/>
      <c r="AI430" s="5"/>
      <c r="AJ430" s="5"/>
      <c r="AK430" s="5" t="s">
        <v>961</v>
      </c>
    </row>
    <row r="431" spans="1:37" ht="15" hidden="1" customHeight="1">
      <c r="A431" s="31">
        <v>507</v>
      </c>
      <c r="B431" s="110">
        <v>44928</v>
      </c>
      <c r="C431" s="28">
        <f>B431</f>
        <v>44928</v>
      </c>
      <c r="D431" s="8" t="s">
        <v>37</v>
      </c>
      <c r="E431" s="8" t="s">
        <v>504</v>
      </c>
      <c r="F431" s="5" t="str">
        <f>E431</f>
        <v>Fathan Zul Waskito</v>
      </c>
      <c r="G431" s="86" t="s">
        <v>472</v>
      </c>
      <c r="H431" s="105"/>
      <c r="I431" s="95">
        <v>0</v>
      </c>
      <c r="J431" s="95">
        <v>0</v>
      </c>
      <c r="K431" s="95">
        <v>0</v>
      </c>
      <c r="L431" s="95">
        <v>0</v>
      </c>
      <c r="M431" s="95">
        <v>0</v>
      </c>
      <c r="N431" s="95">
        <v>0</v>
      </c>
      <c r="O431" s="95">
        <v>0</v>
      </c>
      <c r="P431" s="95">
        <v>0</v>
      </c>
      <c r="Q431" s="95">
        <v>0</v>
      </c>
      <c r="R431" s="95">
        <v>0</v>
      </c>
      <c r="S431" s="95">
        <v>0</v>
      </c>
      <c r="T431" s="95">
        <v>0</v>
      </c>
      <c r="U431" s="95">
        <v>0</v>
      </c>
      <c r="V431" s="95">
        <v>0</v>
      </c>
      <c r="W431" s="95">
        <v>0</v>
      </c>
      <c r="X431" s="95">
        <v>0</v>
      </c>
      <c r="Y431" s="95">
        <v>0</v>
      </c>
      <c r="Z431" s="95"/>
      <c r="AA431" s="8" t="s">
        <v>962</v>
      </c>
      <c r="AB431" s="15" t="s">
        <v>624</v>
      </c>
      <c r="AC431" s="15" t="s">
        <v>674</v>
      </c>
      <c r="AD431" s="15" t="s">
        <v>674</v>
      </c>
      <c r="AE431" s="11"/>
      <c r="AF431" s="17"/>
      <c r="AG431" t="str">
        <f>VLOOKUP(OfficeForms.Table[[#This Row],[Nama Proyek]],'Nama Proyek'!$D$2:$G$29,4,0)</f>
        <v>-8.29394978,112.00545006</v>
      </c>
      <c r="AH431" s="5"/>
      <c r="AI431" s="5"/>
      <c r="AJ431" s="5"/>
      <c r="AK431" s="5" t="s">
        <v>963</v>
      </c>
    </row>
    <row r="432" spans="1:37" ht="15" hidden="1" customHeight="1">
      <c r="A432">
        <v>607</v>
      </c>
      <c r="B432" s="110">
        <v>44928</v>
      </c>
      <c r="C432" s="28">
        <f>B432</f>
        <v>44928</v>
      </c>
      <c r="D432" s="8" t="s">
        <v>37</v>
      </c>
      <c r="E432" s="8" t="s">
        <v>687</v>
      </c>
      <c r="F432" s="5" t="str">
        <f>E432</f>
        <v>Andri Julio Hermawan</v>
      </c>
      <c r="G432" s="207" t="s">
        <v>750</v>
      </c>
      <c r="H432" s="105"/>
      <c r="I432" s="95">
        <v>0</v>
      </c>
      <c r="J432" s="95">
        <v>0</v>
      </c>
      <c r="K432" s="95">
        <v>0</v>
      </c>
      <c r="L432" s="95">
        <v>0</v>
      </c>
      <c r="M432" s="95">
        <v>0</v>
      </c>
      <c r="N432" s="95">
        <v>0</v>
      </c>
      <c r="O432" s="95">
        <v>0</v>
      </c>
      <c r="P432" s="95">
        <v>0</v>
      </c>
      <c r="Q432" s="95">
        <v>0</v>
      </c>
      <c r="R432" s="95">
        <v>0</v>
      </c>
      <c r="S432" s="95">
        <v>0</v>
      </c>
      <c r="T432" s="95">
        <v>0</v>
      </c>
      <c r="U432" s="95">
        <v>0</v>
      </c>
      <c r="V432" s="95">
        <v>0</v>
      </c>
      <c r="W432" s="95">
        <v>0</v>
      </c>
      <c r="X432" s="95">
        <v>0</v>
      </c>
      <c r="Y432" s="95">
        <v>0</v>
      </c>
      <c r="Z432" s="95"/>
      <c r="AA432" s="41" t="s">
        <v>964</v>
      </c>
      <c r="AB432" s="15" t="s">
        <v>965</v>
      </c>
      <c r="AC432" s="8" t="s">
        <v>966</v>
      </c>
      <c r="AD432" s="15" t="s">
        <v>966</v>
      </c>
      <c r="AE432" s="16"/>
      <c r="AF432" s="9"/>
      <c r="AG432" t="str">
        <f>VLOOKUP(OfficeForms.Table[[#This Row],[Nama Proyek]],'Nama Proyek'!$D$2:$G$29,4,0)</f>
        <v>-1.10415341,116.73424356</v>
      </c>
      <c r="AH432" s="5"/>
      <c r="AI432" s="5"/>
      <c r="AJ432" s="5"/>
      <c r="AK432" s="5" t="s">
        <v>967</v>
      </c>
    </row>
    <row r="433" spans="1:37" ht="15" hidden="1" customHeight="1">
      <c r="A433" s="50">
        <v>608</v>
      </c>
      <c r="B433" s="111">
        <v>44928</v>
      </c>
      <c r="C433" s="29">
        <f>B433</f>
        <v>44928</v>
      </c>
      <c r="D433" s="9" t="s">
        <v>37</v>
      </c>
      <c r="E433" s="9" t="s">
        <v>968</v>
      </c>
      <c r="F433" s="5" t="str">
        <f>E433</f>
        <v>MOHAMAD FEBRY PRASETIA</v>
      </c>
      <c r="G433" s="185" t="s">
        <v>58</v>
      </c>
      <c r="H433" s="104"/>
      <c r="I433" s="94">
        <v>0</v>
      </c>
      <c r="J433" s="94">
        <v>0</v>
      </c>
      <c r="K433" s="94">
        <v>0</v>
      </c>
      <c r="L433" s="94">
        <v>0</v>
      </c>
      <c r="M433" s="94">
        <v>0</v>
      </c>
      <c r="N433" s="94">
        <v>0</v>
      </c>
      <c r="O433" s="94">
        <v>0</v>
      </c>
      <c r="P433" s="94">
        <v>0</v>
      </c>
      <c r="Q433" s="94">
        <v>0</v>
      </c>
      <c r="R433" s="94">
        <v>0</v>
      </c>
      <c r="S433" s="94">
        <v>0</v>
      </c>
      <c r="T433" s="94">
        <v>0</v>
      </c>
      <c r="U433" s="94">
        <v>0</v>
      </c>
      <c r="V433" s="94">
        <v>0</v>
      </c>
      <c r="W433" s="94">
        <v>0</v>
      </c>
      <c r="X433" s="94">
        <v>0</v>
      </c>
      <c r="Y433" s="94">
        <v>0</v>
      </c>
      <c r="Z433" s="94"/>
      <c r="AA433" s="40" t="s">
        <v>969</v>
      </c>
      <c r="AB433" s="9"/>
      <c r="AC433" s="9" t="s">
        <v>970</v>
      </c>
      <c r="AD433" s="9" t="s">
        <v>970</v>
      </c>
      <c r="AE433" s="12"/>
      <c r="AF433" s="42"/>
      <c r="AG433" t="str">
        <f>VLOOKUP(OfficeForms.Table[[#This Row],[Nama Proyek]],'Nama Proyek'!$D$2:$G$29,4,0)</f>
        <v>-6.12967558,107.07321308</v>
      </c>
      <c r="AH433" s="5"/>
      <c r="AI433" s="5"/>
      <c r="AJ433" s="5"/>
      <c r="AK433" s="5" t="s">
        <v>971</v>
      </c>
    </row>
    <row r="434" spans="1:37" ht="15" hidden="1" customHeight="1">
      <c r="A434" s="30">
        <v>233</v>
      </c>
      <c r="B434" s="110">
        <v>44929</v>
      </c>
      <c r="C434" s="28">
        <f>B434</f>
        <v>44929</v>
      </c>
      <c r="D434" s="8" t="s">
        <v>37</v>
      </c>
      <c r="E434" s="8" t="s">
        <v>136</v>
      </c>
      <c r="F434" s="5" t="str">
        <f>E434</f>
        <v>Utomo Aryowibowo</v>
      </c>
      <c r="G434" s="64" t="s">
        <v>52</v>
      </c>
      <c r="H434" s="105">
        <v>44982</v>
      </c>
      <c r="I434" s="95">
        <v>95.787000000000006</v>
      </c>
      <c r="J434" s="95">
        <v>94.367999999999995</v>
      </c>
      <c r="K434" s="95">
        <v>0</v>
      </c>
      <c r="L434" s="95">
        <v>-1E-3</v>
      </c>
      <c r="M434" s="95">
        <v>0.152</v>
      </c>
      <c r="N434" s="95">
        <v>0.24099999999999999</v>
      </c>
      <c r="O434" s="95">
        <v>0</v>
      </c>
      <c r="P434" s="95">
        <v>0</v>
      </c>
      <c r="Q434" s="95">
        <v>4.7E-2</v>
      </c>
      <c r="R434" s="95">
        <v>3.988</v>
      </c>
      <c r="S434" s="95">
        <v>88.825999999999993</v>
      </c>
      <c r="T434" s="95">
        <v>0</v>
      </c>
      <c r="U434" s="95">
        <v>0.29199999999999998</v>
      </c>
      <c r="V434" s="95">
        <v>0.70899999999999996</v>
      </c>
      <c r="W434" s="95">
        <v>0.23899999999999999</v>
      </c>
      <c r="X434" s="95">
        <v>0.51800000000000002</v>
      </c>
      <c r="Y434" s="95">
        <v>0</v>
      </c>
      <c r="Z434" s="95"/>
      <c r="AA434" s="8"/>
      <c r="AB434" s="8"/>
      <c r="AC434" s="8"/>
      <c r="AD434" s="15"/>
      <c r="AE434" s="16"/>
      <c r="AF434" s="15"/>
      <c r="AG434" t="str">
        <f>VLOOKUP(OfficeForms.Table[[#This Row],[Nama Proyek]],'Nama Proyek'!$D$2:$G$29,4,0)</f>
        <v>-6.13491053,106.93675986</v>
      </c>
      <c r="AH434" s="5"/>
      <c r="AI434" s="5"/>
      <c r="AJ434" s="5"/>
      <c r="AK434" s="5" t="s">
        <v>972</v>
      </c>
    </row>
    <row r="435" spans="1:37" ht="15" hidden="1" customHeight="1">
      <c r="A435" s="30">
        <v>838</v>
      </c>
      <c r="B435" s="111">
        <v>44931</v>
      </c>
      <c r="C435" s="29">
        <f>B435</f>
        <v>44931</v>
      </c>
      <c r="D435" s="9" t="s">
        <v>37</v>
      </c>
      <c r="E435" s="9" t="s">
        <v>75</v>
      </c>
      <c r="F435" s="5" t="str">
        <f>E435</f>
        <v>Banyu Purwita</v>
      </c>
      <c r="G435" s="210" t="s">
        <v>76</v>
      </c>
      <c r="H435" s="104"/>
      <c r="I435" s="94">
        <v>0</v>
      </c>
      <c r="J435" s="94">
        <v>0</v>
      </c>
      <c r="K435" s="94">
        <v>0</v>
      </c>
      <c r="L435" s="94">
        <v>0</v>
      </c>
      <c r="M435" s="94">
        <v>0</v>
      </c>
      <c r="N435" s="94">
        <v>0</v>
      </c>
      <c r="O435" s="94">
        <v>0</v>
      </c>
      <c r="P435" s="94">
        <v>0</v>
      </c>
      <c r="Q435" s="94">
        <v>0</v>
      </c>
      <c r="R435" s="94">
        <v>0</v>
      </c>
      <c r="S435" s="94">
        <v>0</v>
      </c>
      <c r="T435" s="94">
        <v>0</v>
      </c>
      <c r="U435" s="94">
        <v>0</v>
      </c>
      <c r="V435" s="94">
        <v>0</v>
      </c>
      <c r="W435" s="94">
        <v>0</v>
      </c>
      <c r="X435" s="94">
        <v>0</v>
      </c>
      <c r="Y435" s="94">
        <v>0</v>
      </c>
      <c r="Z435" s="94"/>
      <c r="AA435" s="9"/>
      <c r="AB435" s="9"/>
      <c r="AC435" s="9"/>
      <c r="AD435" s="17"/>
      <c r="AE435" s="18" t="s">
        <v>973</v>
      </c>
      <c r="AF435" s="8"/>
      <c r="AG435" t="str">
        <f>VLOOKUP(OfficeForms.Table[[#This Row],[Nama Proyek]],'Nama Proyek'!$D$2:$G$29,4,0)</f>
        <v>-2.95293103,104.75455094</v>
      </c>
      <c r="AH435" s="5"/>
      <c r="AI435" s="5"/>
      <c r="AJ435" s="5"/>
      <c r="AK435" s="5" t="s">
        <v>974</v>
      </c>
    </row>
    <row r="436" spans="1:37" ht="15" hidden="1" customHeight="1">
      <c r="A436" s="31">
        <v>839</v>
      </c>
      <c r="B436" s="110">
        <v>44931</v>
      </c>
      <c r="C436" s="28">
        <f>B436</f>
        <v>44931</v>
      </c>
      <c r="D436" s="8" t="s">
        <v>37</v>
      </c>
      <c r="E436" s="8" t="s">
        <v>75</v>
      </c>
      <c r="F436" s="5" t="str">
        <f>E436</f>
        <v>Banyu Purwita</v>
      </c>
      <c r="G436" s="208" t="s">
        <v>76</v>
      </c>
      <c r="H436" s="105"/>
      <c r="I436" s="95">
        <v>0</v>
      </c>
      <c r="J436" s="95">
        <v>0</v>
      </c>
      <c r="K436" s="95">
        <v>0</v>
      </c>
      <c r="L436" s="95">
        <v>0</v>
      </c>
      <c r="M436" s="95">
        <v>0</v>
      </c>
      <c r="N436" s="95">
        <v>0</v>
      </c>
      <c r="O436" s="95">
        <v>0</v>
      </c>
      <c r="P436" s="95">
        <v>0</v>
      </c>
      <c r="Q436" s="95">
        <v>0</v>
      </c>
      <c r="R436" s="95">
        <v>0</v>
      </c>
      <c r="S436" s="95">
        <v>0</v>
      </c>
      <c r="T436" s="95">
        <v>0</v>
      </c>
      <c r="U436" s="95">
        <v>0</v>
      </c>
      <c r="V436" s="95">
        <v>0</v>
      </c>
      <c r="W436" s="95">
        <v>0</v>
      </c>
      <c r="X436" s="95">
        <v>0</v>
      </c>
      <c r="Y436" s="95">
        <v>0</v>
      </c>
      <c r="Z436" s="95"/>
      <c r="AA436" s="8" t="s">
        <v>975</v>
      </c>
      <c r="AB436" s="8" t="s">
        <v>976</v>
      </c>
      <c r="AC436" s="8" t="s">
        <v>977</v>
      </c>
      <c r="AD436" s="8" t="s">
        <v>977</v>
      </c>
      <c r="AE436" s="11"/>
      <c r="AF436" s="8"/>
      <c r="AG436" t="str">
        <f>VLOOKUP(OfficeForms.Table[[#This Row],[Nama Proyek]],'Nama Proyek'!$D$2:$G$29,4,0)</f>
        <v>-2.95293103,104.75455094</v>
      </c>
      <c r="AH436" s="5"/>
      <c r="AI436" s="5"/>
      <c r="AJ436" s="5"/>
      <c r="AK436" s="5" t="s">
        <v>978</v>
      </c>
    </row>
    <row r="437" spans="1:37" ht="15" hidden="1" customHeight="1">
      <c r="A437" s="50">
        <v>907</v>
      </c>
      <c r="B437" s="110">
        <v>44932</v>
      </c>
      <c r="C437" s="28">
        <f>B437</f>
        <v>44932</v>
      </c>
      <c r="D437" s="19" t="s">
        <v>37</v>
      </c>
      <c r="E437" s="19" t="s">
        <v>64</v>
      </c>
      <c r="F437" s="5" t="str">
        <f>E437</f>
        <v>Nizar Zulkarnain</v>
      </c>
      <c r="G437" s="86" t="s">
        <v>65</v>
      </c>
      <c r="H437" s="106">
        <v>45074</v>
      </c>
      <c r="I437" s="96">
        <v>77.165999999999997</v>
      </c>
      <c r="J437" s="96">
        <v>94.046999999999997</v>
      </c>
      <c r="K437" s="96">
        <v>72.37</v>
      </c>
      <c r="L437" s="96">
        <v>68.41</v>
      </c>
      <c r="M437" s="96">
        <v>82.88</v>
      </c>
      <c r="N437" s="96">
        <v>93.05</v>
      </c>
      <c r="O437" s="96">
        <v>70.349999999999994</v>
      </c>
      <c r="P437" s="96">
        <v>73.569999999999993</v>
      </c>
      <c r="Q437" s="96">
        <v>74.680000000000007</v>
      </c>
      <c r="R437" s="96">
        <v>60.94</v>
      </c>
      <c r="S437" s="96">
        <v>86.67</v>
      </c>
      <c r="T437" s="96">
        <v>90.21</v>
      </c>
      <c r="U437" s="96">
        <v>38.54</v>
      </c>
      <c r="V437" s="96">
        <v>21.94</v>
      </c>
      <c r="W437" s="96">
        <v>0</v>
      </c>
      <c r="X437" s="96">
        <v>98.36</v>
      </c>
      <c r="Y437" s="96">
        <v>41.48</v>
      </c>
      <c r="Z437" s="96"/>
      <c r="AA437" s="19"/>
      <c r="AB437" s="19"/>
      <c r="AC437" s="19"/>
      <c r="AD437" s="19"/>
      <c r="AE437" s="13"/>
      <c r="AF437" s="9"/>
      <c r="AG437" t="str">
        <f>VLOOKUP(OfficeForms.Table[[#This Row],[Nama Proyek]],'Nama Proyek'!$D$2:$G$29,4,0)</f>
        <v>-6.35008011,107.02324233</v>
      </c>
      <c r="AH437" s="5"/>
      <c r="AI437" s="5"/>
      <c r="AJ437" s="5"/>
      <c r="AK437" s="5" t="s">
        <v>979</v>
      </c>
    </row>
    <row r="438" spans="1:37" ht="15" hidden="1" customHeight="1">
      <c r="A438" s="50">
        <v>887</v>
      </c>
      <c r="B438" s="110">
        <v>44933</v>
      </c>
      <c r="C438" s="28">
        <f>B438</f>
        <v>44933</v>
      </c>
      <c r="D438" s="8" t="s">
        <v>37</v>
      </c>
      <c r="E438" s="8" t="s">
        <v>734</v>
      </c>
      <c r="F438" s="5" t="str">
        <f>E438</f>
        <v>Aldian Winata</v>
      </c>
      <c r="G438" s="64" t="s">
        <v>735</v>
      </c>
      <c r="H438" s="105"/>
      <c r="I438" s="95">
        <v>0</v>
      </c>
      <c r="J438" s="95">
        <v>0</v>
      </c>
      <c r="K438" s="95">
        <v>0</v>
      </c>
      <c r="L438" s="95">
        <v>0</v>
      </c>
      <c r="M438" s="95">
        <v>0</v>
      </c>
      <c r="N438" s="95">
        <v>0</v>
      </c>
      <c r="O438" s="95">
        <v>0</v>
      </c>
      <c r="P438" s="95">
        <v>0</v>
      </c>
      <c r="Q438" s="95">
        <v>0</v>
      </c>
      <c r="R438" s="95">
        <v>0</v>
      </c>
      <c r="S438" s="95">
        <v>0</v>
      </c>
      <c r="T438" s="95">
        <v>0</v>
      </c>
      <c r="U438" s="95">
        <v>0</v>
      </c>
      <c r="V438" s="95">
        <v>0</v>
      </c>
      <c r="W438" s="95">
        <v>0</v>
      </c>
      <c r="X438" s="95">
        <v>0</v>
      </c>
      <c r="Y438" s="95">
        <v>0</v>
      </c>
      <c r="Z438" s="95"/>
      <c r="AA438" s="8" t="s">
        <v>980</v>
      </c>
      <c r="AB438" s="8" t="s">
        <v>981</v>
      </c>
      <c r="AC438" s="8" t="s">
        <v>982</v>
      </c>
      <c r="AD438" s="8" t="s">
        <v>982</v>
      </c>
      <c r="AE438" s="11"/>
      <c r="AF438" s="17"/>
      <c r="AG438" t="str">
        <f>VLOOKUP(OfficeForms.Table[[#This Row],[Nama Proyek]],'Nama Proyek'!$D$2:$G$40,4,0)</f>
        <v>-0.88562397,119.85928375</v>
      </c>
      <c r="AH438" s="5"/>
      <c r="AI438" s="5"/>
      <c r="AJ438" s="5"/>
      <c r="AK438" s="5" t="s">
        <v>983</v>
      </c>
    </row>
    <row r="439" spans="1:37" ht="15" hidden="1" customHeight="1">
      <c r="A439" s="31">
        <v>888</v>
      </c>
      <c r="B439" s="111">
        <v>44933</v>
      </c>
      <c r="C439" s="29">
        <f>B439</f>
        <v>44933</v>
      </c>
      <c r="D439" s="9" t="s">
        <v>37</v>
      </c>
      <c r="E439" s="9" t="s">
        <v>734</v>
      </c>
      <c r="F439" s="5" t="str">
        <f>E439</f>
        <v>Aldian Winata</v>
      </c>
      <c r="G439" s="185" t="s">
        <v>735</v>
      </c>
      <c r="H439" s="104"/>
      <c r="I439" s="94">
        <v>0</v>
      </c>
      <c r="J439" s="94">
        <v>0</v>
      </c>
      <c r="K439" s="94">
        <v>0</v>
      </c>
      <c r="L439" s="94">
        <v>0</v>
      </c>
      <c r="M439" s="94">
        <v>0</v>
      </c>
      <c r="N439" s="94">
        <v>0</v>
      </c>
      <c r="O439" s="94">
        <v>0</v>
      </c>
      <c r="P439" s="94">
        <v>0</v>
      </c>
      <c r="Q439" s="94">
        <v>0</v>
      </c>
      <c r="R439" s="94">
        <v>0</v>
      </c>
      <c r="S439" s="94">
        <v>0</v>
      </c>
      <c r="T439" s="94">
        <v>0</v>
      </c>
      <c r="U439" s="94">
        <v>0</v>
      </c>
      <c r="V439" s="94">
        <v>0</v>
      </c>
      <c r="W439" s="94">
        <v>0</v>
      </c>
      <c r="X439" s="94">
        <v>0</v>
      </c>
      <c r="Y439" s="94">
        <v>0</v>
      </c>
      <c r="Z439" s="94"/>
      <c r="AA439" s="9" t="s">
        <v>980</v>
      </c>
      <c r="AB439" s="9" t="s">
        <v>981</v>
      </c>
      <c r="AC439" s="9" t="s">
        <v>984</v>
      </c>
      <c r="AD439" s="17" t="s">
        <v>985</v>
      </c>
      <c r="AE439" s="18"/>
      <c r="AF439" s="19"/>
      <c r="AG439" t="str">
        <f>VLOOKUP(OfficeForms.Table[[#This Row],[Nama Proyek]],'Nama Proyek'!$D$2:$G$40,4,0)</f>
        <v>-0.88562397,119.85928375</v>
      </c>
      <c r="AH439" s="5"/>
      <c r="AI439" s="5"/>
      <c r="AJ439" s="5"/>
      <c r="AK439" s="5" t="s">
        <v>986</v>
      </c>
    </row>
    <row r="440" spans="1:37" ht="15" hidden="1" customHeight="1">
      <c r="A440">
        <v>285</v>
      </c>
      <c r="B440" s="110">
        <v>44934</v>
      </c>
      <c r="C440" s="28">
        <f>B440</f>
        <v>44934</v>
      </c>
      <c r="D440" s="8" t="s">
        <v>37</v>
      </c>
      <c r="E440" s="8" t="s">
        <v>54</v>
      </c>
      <c r="F440" s="5" t="str">
        <f>E440</f>
        <v>Haryo Widiandoko</v>
      </c>
      <c r="G440" s="86" t="s">
        <v>55</v>
      </c>
      <c r="H440" s="105">
        <v>45132</v>
      </c>
      <c r="I440" s="95">
        <v>86.05</v>
      </c>
      <c r="J440" s="95">
        <v>89.557000000000002</v>
      </c>
      <c r="K440" s="95">
        <v>0.13800000000000001</v>
      </c>
      <c r="L440" s="95">
        <v>0.252</v>
      </c>
      <c r="M440" s="95">
        <v>29.247</v>
      </c>
      <c r="N440" s="95">
        <v>2.1709999999999998</v>
      </c>
      <c r="O440" s="95">
        <v>2.7120000000000002</v>
      </c>
      <c r="P440" s="95">
        <v>5.2999999999999999E-2</v>
      </c>
      <c r="Q440" s="95">
        <v>0.68799999999999994</v>
      </c>
      <c r="R440" s="95">
        <v>11.021000000000001</v>
      </c>
      <c r="S440" s="95">
        <v>32.304000000000002</v>
      </c>
      <c r="T440" s="95">
        <v>0.82499999999999996</v>
      </c>
      <c r="U440" s="95">
        <v>1.966</v>
      </c>
      <c r="V440" s="95">
        <v>0.19500000000000001</v>
      </c>
      <c r="W440" s="95">
        <v>0.313</v>
      </c>
      <c r="X440" s="95">
        <v>0.84699999999999998</v>
      </c>
      <c r="Y440" s="95">
        <v>0</v>
      </c>
      <c r="Z440" s="95"/>
      <c r="AA440" s="8"/>
      <c r="AB440" s="8"/>
      <c r="AC440" s="8"/>
      <c r="AD440" s="8"/>
      <c r="AE440" s="11"/>
      <c r="AF440" s="8" t="s">
        <v>987</v>
      </c>
      <c r="AG440" t="str">
        <f>VLOOKUP(OfficeForms.Table[[#This Row],[Nama Proyek]],'Nama Proyek'!$D$2:$G$29,4,0)</f>
        <v>-6.42873464,107.19897003</v>
      </c>
      <c r="AH440" s="5"/>
      <c r="AI440" s="5"/>
      <c r="AJ440" s="5"/>
      <c r="AK440" s="5" t="s">
        <v>988</v>
      </c>
    </row>
    <row r="441" spans="1:37" ht="15" hidden="1" customHeight="1">
      <c r="A441">
        <v>924</v>
      </c>
      <c r="B441" s="111">
        <v>44934</v>
      </c>
      <c r="C441" s="29">
        <f>B441</f>
        <v>44934</v>
      </c>
      <c r="D441" s="9" t="s">
        <v>37</v>
      </c>
      <c r="E441" s="9" t="s">
        <v>278</v>
      </c>
      <c r="F441" s="5" t="str">
        <f>E441</f>
        <v>Teddy Pradana</v>
      </c>
      <c r="G441" s="5" t="s">
        <v>989</v>
      </c>
      <c r="H441" s="104"/>
      <c r="I441" s="94">
        <v>0</v>
      </c>
      <c r="J441" s="94">
        <v>0</v>
      </c>
      <c r="K441" s="94">
        <v>0</v>
      </c>
      <c r="L441" s="94">
        <v>0</v>
      </c>
      <c r="M441" s="94">
        <v>0</v>
      </c>
      <c r="N441" s="94">
        <v>0</v>
      </c>
      <c r="O441" s="94">
        <v>0</v>
      </c>
      <c r="P441" s="94">
        <v>0</v>
      </c>
      <c r="Q441" s="94">
        <v>0</v>
      </c>
      <c r="R441" s="94">
        <v>0</v>
      </c>
      <c r="S441" s="94">
        <v>0</v>
      </c>
      <c r="T441" s="94">
        <v>0</v>
      </c>
      <c r="U441" s="94">
        <v>0</v>
      </c>
      <c r="V441" s="94">
        <v>0</v>
      </c>
      <c r="W441" s="94">
        <v>0</v>
      </c>
      <c r="X441" s="94">
        <v>0</v>
      </c>
      <c r="Y441" s="94">
        <v>0</v>
      </c>
      <c r="Z441" s="94"/>
      <c r="AA441" s="9" t="s">
        <v>990</v>
      </c>
      <c r="AB441" s="9"/>
      <c r="AC441" s="9"/>
      <c r="AD441" s="9"/>
      <c r="AE441" s="12"/>
      <c r="AF441" s="8"/>
      <c r="AG441" t="str">
        <f>VLOOKUP(OfficeForms.Table[[#This Row],[Nama Proyek]],'Nama Proyek'!$D$2:$G$29,4,0)</f>
        <v>-1.98399270,103.7135193</v>
      </c>
      <c r="AH441" s="5"/>
      <c r="AI441" s="5"/>
      <c r="AJ441" s="5"/>
      <c r="AK441" s="5" t="s">
        <v>991</v>
      </c>
    </row>
    <row r="442" spans="1:37" ht="15" hidden="1" customHeight="1">
      <c r="A442" s="31">
        <v>530</v>
      </c>
      <c r="B442" s="111">
        <v>44935</v>
      </c>
      <c r="C442" s="29">
        <f>B442</f>
        <v>44935</v>
      </c>
      <c r="D442" s="8" t="s">
        <v>37</v>
      </c>
      <c r="E442" s="8" t="s">
        <v>64</v>
      </c>
      <c r="F442" s="5" t="str">
        <f>E442</f>
        <v>Nizar Zulkarnain</v>
      </c>
      <c r="G442" s="185" t="s">
        <v>65</v>
      </c>
      <c r="H442" s="105"/>
      <c r="I442" s="95">
        <v>0</v>
      </c>
      <c r="J442" s="95">
        <v>0</v>
      </c>
      <c r="K442" s="95">
        <v>0</v>
      </c>
      <c r="L442" s="95">
        <v>0</v>
      </c>
      <c r="M442" s="95">
        <v>0</v>
      </c>
      <c r="N442" s="95">
        <v>0</v>
      </c>
      <c r="O442" s="95">
        <v>0</v>
      </c>
      <c r="P442" s="95">
        <v>0</v>
      </c>
      <c r="Q442" s="95">
        <v>0</v>
      </c>
      <c r="R442" s="95">
        <v>0</v>
      </c>
      <c r="S442" s="95">
        <v>0</v>
      </c>
      <c r="T442" s="95">
        <v>0</v>
      </c>
      <c r="U442" s="95">
        <v>0</v>
      </c>
      <c r="V442" s="95">
        <v>0</v>
      </c>
      <c r="W442" s="95">
        <v>0</v>
      </c>
      <c r="X442" s="95">
        <v>0</v>
      </c>
      <c r="Y442" s="95">
        <v>0</v>
      </c>
      <c r="Z442" s="95"/>
      <c r="AA442" s="8"/>
      <c r="AB442" s="8"/>
      <c r="AC442" s="8" t="s">
        <v>992</v>
      </c>
      <c r="AD442" s="8"/>
      <c r="AE442" s="11"/>
      <c r="AF442" s="19"/>
      <c r="AG442" t="str">
        <f>VLOOKUP(OfficeForms.Table[[#This Row],[Nama Proyek]],'Nama Proyek'!$D$2:$G$29,4,0)</f>
        <v>-6.35008011,107.02324233</v>
      </c>
      <c r="AH442" s="5"/>
      <c r="AI442" s="5"/>
      <c r="AJ442" s="5"/>
      <c r="AK442" s="5" t="s">
        <v>993</v>
      </c>
    </row>
    <row r="443" spans="1:37" ht="15" hidden="1" customHeight="1">
      <c r="A443" s="31">
        <v>965</v>
      </c>
      <c r="B443" s="110">
        <v>44936</v>
      </c>
      <c r="C443" s="28">
        <f>B443</f>
        <v>44936</v>
      </c>
      <c r="D443" s="8" t="s">
        <v>37</v>
      </c>
      <c r="E443" s="8" t="s">
        <v>994</v>
      </c>
      <c r="F443" s="5" t="str">
        <f>E443</f>
        <v>Nenes Anggi Puspadi</v>
      </c>
      <c r="G443" s="207" t="s">
        <v>924</v>
      </c>
      <c r="H443" s="105"/>
      <c r="I443" s="95">
        <v>0</v>
      </c>
      <c r="J443" s="95">
        <v>0</v>
      </c>
      <c r="K443" s="95">
        <v>0</v>
      </c>
      <c r="L443" s="95">
        <v>0</v>
      </c>
      <c r="M443" s="95">
        <v>0</v>
      </c>
      <c r="N443" s="95">
        <v>0</v>
      </c>
      <c r="O443" s="95">
        <v>0</v>
      </c>
      <c r="P443" s="95">
        <v>0</v>
      </c>
      <c r="Q443" s="95">
        <v>0</v>
      </c>
      <c r="R443" s="95">
        <v>0</v>
      </c>
      <c r="S443" s="95">
        <v>0</v>
      </c>
      <c r="T443" s="95">
        <v>0</v>
      </c>
      <c r="U443" s="95">
        <v>0</v>
      </c>
      <c r="V443" s="95">
        <v>0</v>
      </c>
      <c r="W443" s="95">
        <v>0</v>
      </c>
      <c r="X443" s="95">
        <v>0</v>
      </c>
      <c r="Y443" s="95">
        <v>0</v>
      </c>
      <c r="Z443" s="95"/>
      <c r="AA443" s="8" t="s">
        <v>995</v>
      </c>
      <c r="AB443" s="41" t="s">
        <v>996</v>
      </c>
      <c r="AC443" s="8"/>
      <c r="AD443" s="8"/>
      <c r="AE443" s="11"/>
      <c r="AF443" s="8"/>
      <c r="AG443" t="str">
        <f>VLOOKUP(OfficeForms.Table[[#This Row],[Nama Proyek]],'Nama Proyek'!$D$2:$G$40,4,0)</f>
        <v>-3.25078511,134.87791156</v>
      </c>
      <c r="AH443" s="5"/>
      <c r="AI443" s="5"/>
      <c r="AJ443" s="5"/>
      <c r="AK443" s="5" t="s">
        <v>997</v>
      </c>
    </row>
    <row r="444" spans="1:37" ht="15" hidden="1" customHeight="1">
      <c r="A444" s="31">
        <v>522</v>
      </c>
      <c r="B444" s="111">
        <v>44937</v>
      </c>
      <c r="C444" s="29">
        <f>B444</f>
        <v>44937</v>
      </c>
      <c r="D444" s="8" t="s">
        <v>37</v>
      </c>
      <c r="E444" s="8" t="s">
        <v>998</v>
      </c>
      <c r="F444" s="5" t="str">
        <f>E444</f>
        <v>Dani Ramdhani</v>
      </c>
      <c r="G444" s="210" t="s">
        <v>76</v>
      </c>
      <c r="H444" s="105">
        <v>45227</v>
      </c>
      <c r="I444" s="95">
        <v>70.941000000000003</v>
      </c>
      <c r="J444" s="95">
        <v>77.269000000000005</v>
      </c>
      <c r="K444" s="95">
        <v>11.430999999999999</v>
      </c>
      <c r="L444" s="95">
        <v>10.798999999999999</v>
      </c>
      <c r="M444" s="95">
        <v>0</v>
      </c>
      <c r="N444" s="95">
        <v>6.4749999999999996</v>
      </c>
      <c r="O444" s="95">
        <v>0</v>
      </c>
      <c r="P444" s="95">
        <v>39.972999999999999</v>
      </c>
      <c r="Q444" s="95">
        <v>0</v>
      </c>
      <c r="R444" s="95">
        <v>0.10100000000000001</v>
      </c>
      <c r="S444" s="95">
        <v>0</v>
      </c>
      <c r="T444" s="95">
        <v>0</v>
      </c>
      <c r="U444" s="95">
        <v>0</v>
      </c>
      <c r="V444" s="95">
        <v>0</v>
      </c>
      <c r="W444" s="95">
        <v>0</v>
      </c>
      <c r="X444" s="95">
        <v>0</v>
      </c>
      <c r="Y444" s="95">
        <v>0</v>
      </c>
      <c r="Z444" s="95"/>
      <c r="AA444" s="8"/>
      <c r="AB444" s="8"/>
      <c r="AC444" s="8"/>
      <c r="AD444" s="8"/>
      <c r="AE444" s="11"/>
      <c r="AF444" s="19"/>
      <c r="AG444" t="str">
        <f>VLOOKUP(OfficeForms.Table[[#This Row],[Nama Proyek]],'Nama Proyek'!$D$2:$G$29,4,0)</f>
        <v>-2.95293103,104.75455094</v>
      </c>
      <c r="AH444" s="5"/>
      <c r="AI444" s="5"/>
      <c r="AJ444" s="5"/>
      <c r="AK444" s="5" t="s">
        <v>999</v>
      </c>
    </row>
    <row r="445" spans="1:37" ht="15" hidden="1" customHeight="1">
      <c r="A445" s="50">
        <v>1040</v>
      </c>
      <c r="B445" s="111">
        <v>44937</v>
      </c>
      <c r="C445" s="29">
        <f>B445</f>
        <v>44937</v>
      </c>
      <c r="D445" s="8" t="s">
        <v>37</v>
      </c>
      <c r="E445" s="8" t="s">
        <v>998</v>
      </c>
      <c r="F445" s="5" t="str">
        <f>E445</f>
        <v>Dani Ramdhani</v>
      </c>
      <c r="G445" s="210" t="s">
        <v>76</v>
      </c>
      <c r="H445" s="105"/>
      <c r="I445" s="95">
        <v>0</v>
      </c>
      <c r="J445" s="95">
        <v>0</v>
      </c>
      <c r="K445" s="95">
        <v>0</v>
      </c>
      <c r="L445" s="95">
        <v>0</v>
      </c>
      <c r="M445" s="95">
        <v>0</v>
      </c>
      <c r="N445" s="95">
        <v>0</v>
      </c>
      <c r="O445" s="95">
        <v>0</v>
      </c>
      <c r="P445" s="95">
        <v>0</v>
      </c>
      <c r="Q445" s="95">
        <v>0</v>
      </c>
      <c r="R445" s="95">
        <v>0</v>
      </c>
      <c r="S445" s="95">
        <v>0</v>
      </c>
      <c r="T445" s="95">
        <v>0</v>
      </c>
      <c r="U445" s="95">
        <v>0</v>
      </c>
      <c r="V445" s="95">
        <v>0</v>
      </c>
      <c r="W445" s="95">
        <v>0</v>
      </c>
      <c r="X445" s="95">
        <v>0</v>
      </c>
      <c r="Y445" s="95">
        <v>0</v>
      </c>
      <c r="Z445" s="95"/>
      <c r="AA445" s="8" t="s">
        <v>1000</v>
      </c>
      <c r="AB445" s="8" t="s">
        <v>1001</v>
      </c>
      <c r="AC445" s="8" t="s">
        <v>1002</v>
      </c>
      <c r="AD445" s="8"/>
      <c r="AE445" s="11"/>
      <c r="AF445" s="26" t="s">
        <v>1003</v>
      </c>
      <c r="AG445" t="str">
        <f>VLOOKUP(OfficeForms.Table[[#This Row],[Nama Proyek]],'Nama Proyek'!$D$2:$G$29,4,0)</f>
        <v>-2.95293103,104.75455094</v>
      </c>
      <c r="AH445" s="5"/>
      <c r="AI445" s="5"/>
      <c r="AJ445" s="5"/>
      <c r="AK445" s="5" t="s">
        <v>1004</v>
      </c>
    </row>
    <row r="446" spans="1:37" ht="15" hidden="1" customHeight="1">
      <c r="A446">
        <v>1065</v>
      </c>
      <c r="B446" s="110">
        <v>44937</v>
      </c>
      <c r="C446" s="28">
        <f>B446</f>
        <v>44937</v>
      </c>
      <c r="D446" s="19" t="s">
        <v>37</v>
      </c>
      <c r="E446" s="19" t="s">
        <v>998</v>
      </c>
      <c r="F446" s="5" t="str">
        <f>E446</f>
        <v>Dani Ramdhani</v>
      </c>
      <c r="G446" s="208" t="s">
        <v>76</v>
      </c>
      <c r="H446" s="106"/>
      <c r="I446" s="96">
        <v>0</v>
      </c>
      <c r="J446" s="96">
        <v>0</v>
      </c>
      <c r="K446" s="96">
        <v>0</v>
      </c>
      <c r="L446" s="96">
        <v>0</v>
      </c>
      <c r="M446" s="96">
        <v>0</v>
      </c>
      <c r="N446" s="96">
        <v>0</v>
      </c>
      <c r="O446" s="96">
        <v>0</v>
      </c>
      <c r="P446" s="96">
        <v>0</v>
      </c>
      <c r="Q446" s="96">
        <v>0</v>
      </c>
      <c r="R446" s="96">
        <v>0</v>
      </c>
      <c r="S446" s="96">
        <v>0</v>
      </c>
      <c r="T446" s="96">
        <v>0</v>
      </c>
      <c r="U446" s="96">
        <v>0</v>
      </c>
      <c r="V446" s="96">
        <v>0</v>
      </c>
      <c r="W446" s="96">
        <v>0</v>
      </c>
      <c r="X446" s="96">
        <v>0</v>
      </c>
      <c r="Y446" s="96">
        <v>0</v>
      </c>
      <c r="Z446" s="96"/>
      <c r="AA446" s="19"/>
      <c r="AB446" s="19" t="s">
        <v>1005</v>
      </c>
      <c r="AC446" s="42" t="s">
        <v>1006</v>
      </c>
      <c r="AD446" s="42"/>
      <c r="AE446" s="24"/>
      <c r="AF446" s="8" t="s">
        <v>1007</v>
      </c>
      <c r="AG446" t="str">
        <f>VLOOKUP(OfficeForms.Table[[#This Row],[Nama Proyek]],'Nama Proyek'!$D$2:$G$29,4,0)</f>
        <v>-2.95293103,104.75455094</v>
      </c>
      <c r="AH446" s="5"/>
      <c r="AI446" s="5"/>
      <c r="AJ446" s="5"/>
      <c r="AK446" s="5" t="s">
        <v>1008</v>
      </c>
    </row>
    <row r="447" spans="1:37" ht="15" hidden="1" customHeight="1">
      <c r="A447" s="31">
        <v>1083</v>
      </c>
      <c r="B447" s="110">
        <v>44937</v>
      </c>
      <c r="C447" s="28">
        <f>B447</f>
        <v>44937</v>
      </c>
      <c r="D447" s="8" t="s">
        <v>37</v>
      </c>
      <c r="E447" s="8" t="s">
        <v>54</v>
      </c>
      <c r="F447" s="5" t="str">
        <f>E447</f>
        <v>Haryo Widiandoko</v>
      </c>
      <c r="G447" s="86" t="s">
        <v>55</v>
      </c>
      <c r="H447" s="105"/>
      <c r="I447" s="95">
        <v>0</v>
      </c>
      <c r="J447" s="95">
        <v>0</v>
      </c>
      <c r="K447" s="95">
        <v>0</v>
      </c>
      <c r="L447" s="95">
        <v>0</v>
      </c>
      <c r="M447" s="95">
        <v>0</v>
      </c>
      <c r="N447" s="95">
        <v>0</v>
      </c>
      <c r="O447" s="95">
        <v>0</v>
      </c>
      <c r="P447" s="95">
        <v>0</v>
      </c>
      <c r="Q447" s="95">
        <v>0</v>
      </c>
      <c r="R447" s="95">
        <v>0</v>
      </c>
      <c r="S447" s="95">
        <v>0</v>
      </c>
      <c r="T447" s="95">
        <v>0</v>
      </c>
      <c r="U447" s="95">
        <v>0</v>
      </c>
      <c r="V447" s="95">
        <v>0</v>
      </c>
      <c r="W447" s="95">
        <v>0</v>
      </c>
      <c r="X447" s="95">
        <v>0</v>
      </c>
      <c r="Y447" s="95">
        <v>0</v>
      </c>
      <c r="Z447" s="95"/>
      <c r="AA447" s="8" t="s">
        <v>1009</v>
      </c>
      <c r="AB447" s="8" t="s">
        <v>1009</v>
      </c>
      <c r="AC447" s="8"/>
      <c r="AD447" s="8"/>
      <c r="AE447" s="11"/>
      <c r="AF447" s="44" t="s">
        <v>1010</v>
      </c>
      <c r="AG447" t="str">
        <f>VLOOKUP(OfficeForms.Table[[#This Row],[Nama Proyek]],'Nama Proyek'!$D$2:$G$29,4,0)</f>
        <v>-6.42873464,107.19897003</v>
      </c>
      <c r="AH447" s="5"/>
      <c r="AI447" s="5"/>
      <c r="AJ447" s="5"/>
      <c r="AK447" s="5" t="s">
        <v>1011</v>
      </c>
    </row>
    <row r="448" spans="1:37" ht="15" hidden="1" customHeight="1">
      <c r="A448" s="31">
        <v>523</v>
      </c>
      <c r="B448" s="110">
        <v>44938</v>
      </c>
      <c r="C448" s="28">
        <f>B448</f>
        <v>44938</v>
      </c>
      <c r="D448" s="19" t="s">
        <v>37</v>
      </c>
      <c r="E448" s="19" t="s">
        <v>998</v>
      </c>
      <c r="F448" s="5" t="str">
        <f>E448</f>
        <v>Dani Ramdhani</v>
      </c>
      <c r="G448" s="208" t="s">
        <v>76</v>
      </c>
      <c r="H448" s="106">
        <v>45255</v>
      </c>
      <c r="I448" s="96">
        <v>75.47</v>
      </c>
      <c r="J448" s="96">
        <v>75.403999999999996</v>
      </c>
      <c r="K448" s="96">
        <v>11.430999999999999</v>
      </c>
      <c r="L448" s="96">
        <v>12.324999999999999</v>
      </c>
      <c r="M448" s="96">
        <v>0</v>
      </c>
      <c r="N448" s="96">
        <v>6.5289999999999999</v>
      </c>
      <c r="O448" s="96">
        <v>0</v>
      </c>
      <c r="P448" s="96">
        <v>42.86</v>
      </c>
      <c r="Q448" s="96">
        <v>0</v>
      </c>
      <c r="R448" s="96">
        <v>0</v>
      </c>
      <c r="S448" s="96">
        <v>0.10100000000000001</v>
      </c>
      <c r="T448" s="96">
        <v>0</v>
      </c>
      <c r="U448" s="96">
        <v>0</v>
      </c>
      <c r="V448" s="96">
        <v>0</v>
      </c>
      <c r="W448" s="96">
        <v>0</v>
      </c>
      <c r="X448" s="96">
        <v>0</v>
      </c>
      <c r="Y448" s="96">
        <v>0</v>
      </c>
      <c r="Z448" s="96"/>
      <c r="AA448" s="19"/>
      <c r="AB448" s="19"/>
      <c r="AC448" s="19"/>
      <c r="AD448" s="19"/>
      <c r="AE448" s="13"/>
      <c r="AF448" s="45" t="s">
        <v>1012</v>
      </c>
      <c r="AG448" t="str">
        <f>VLOOKUP(OfficeForms.Table[[#This Row],[Nama Proyek]],'Nama Proyek'!$D$2:$G$29,4,0)</f>
        <v>-2.95293103,104.75455094</v>
      </c>
      <c r="AH448" s="5"/>
      <c r="AI448" s="5"/>
      <c r="AJ448" s="5"/>
      <c r="AK448" s="5" t="s">
        <v>1013</v>
      </c>
    </row>
    <row r="449" spans="1:37" ht="15" hidden="1" customHeight="1">
      <c r="A449" s="31">
        <v>1070</v>
      </c>
      <c r="B449" s="111">
        <v>44938</v>
      </c>
      <c r="C449" s="29">
        <f>B449</f>
        <v>44938</v>
      </c>
      <c r="D449" s="8" t="s">
        <v>37</v>
      </c>
      <c r="E449" s="8" t="s">
        <v>734</v>
      </c>
      <c r="F449" s="5" t="str">
        <f>E449</f>
        <v>Aldian Winata</v>
      </c>
      <c r="G449" s="64" t="s">
        <v>735</v>
      </c>
      <c r="H449" s="105">
        <v>45263</v>
      </c>
      <c r="I449" s="95">
        <v>47.658000000000001</v>
      </c>
      <c r="J449" s="95">
        <v>66.634</v>
      </c>
      <c r="K449" s="95">
        <v>2.2189999999999999</v>
      </c>
      <c r="L449" s="95">
        <v>33.947000000000003</v>
      </c>
      <c r="M449" s="95">
        <v>0</v>
      </c>
      <c r="N449" s="95">
        <v>0.435</v>
      </c>
      <c r="O449" s="95">
        <v>1.7709999999999999</v>
      </c>
      <c r="P449" s="95">
        <v>0.317</v>
      </c>
      <c r="Q449" s="95">
        <v>0</v>
      </c>
      <c r="R449" s="95">
        <v>0</v>
      </c>
      <c r="S449" s="95">
        <v>0</v>
      </c>
      <c r="T449" s="95">
        <v>0</v>
      </c>
      <c r="U449" s="95">
        <v>0</v>
      </c>
      <c r="V449" s="95">
        <v>0</v>
      </c>
      <c r="W449" s="95">
        <v>0</v>
      </c>
      <c r="X449" s="95">
        <v>0</v>
      </c>
      <c r="Y449" s="95">
        <v>0</v>
      </c>
      <c r="Z449" s="95"/>
      <c r="AA449" s="8"/>
      <c r="AB449" s="8"/>
      <c r="AC449" s="8"/>
      <c r="AD449" s="8"/>
      <c r="AE449" s="11"/>
      <c r="AF449" s="42" t="s">
        <v>1014</v>
      </c>
      <c r="AG449" t="str">
        <f>VLOOKUP(OfficeForms.Table[[#This Row],[Nama Proyek]],'Nama Proyek'!$D$2:$G$40,4,0)</f>
        <v>-0.88562397,119.85928375</v>
      </c>
      <c r="AH449" s="5"/>
      <c r="AI449" s="5"/>
      <c r="AJ449" s="5"/>
      <c r="AK449" s="5" t="s">
        <v>1015</v>
      </c>
    </row>
    <row r="450" spans="1:37" ht="15" hidden="1" customHeight="1">
      <c r="A450">
        <v>743</v>
      </c>
      <c r="B450" s="110">
        <v>44938</v>
      </c>
      <c r="C450" s="28">
        <f>B450</f>
        <v>44938</v>
      </c>
      <c r="D450" s="8" t="s">
        <v>37</v>
      </c>
      <c r="E450" s="8" t="s">
        <v>109</v>
      </c>
      <c r="F450" s="5" t="str">
        <f>E450</f>
        <v>Muhamad Saifudin Ashari</v>
      </c>
      <c r="G450" s="86" t="s">
        <v>39</v>
      </c>
      <c r="H450" s="105"/>
      <c r="I450" s="95">
        <v>0</v>
      </c>
      <c r="J450" s="95">
        <v>0</v>
      </c>
      <c r="K450" s="95">
        <v>0</v>
      </c>
      <c r="L450" s="95">
        <v>0</v>
      </c>
      <c r="M450" s="95">
        <v>0</v>
      </c>
      <c r="N450" s="95">
        <v>0</v>
      </c>
      <c r="O450" s="95">
        <v>0</v>
      </c>
      <c r="P450" s="95">
        <v>0</v>
      </c>
      <c r="Q450" s="95">
        <v>0</v>
      </c>
      <c r="R450" s="95">
        <v>0</v>
      </c>
      <c r="S450" s="95">
        <v>0</v>
      </c>
      <c r="T450" s="95">
        <v>0</v>
      </c>
      <c r="U450" s="95">
        <v>0</v>
      </c>
      <c r="V450" s="95">
        <v>0</v>
      </c>
      <c r="W450" s="95">
        <v>0</v>
      </c>
      <c r="X450" s="95">
        <v>0</v>
      </c>
      <c r="Y450" s="95">
        <v>0</v>
      </c>
      <c r="Z450" s="95"/>
      <c r="AA450" s="8" t="s">
        <v>1016</v>
      </c>
      <c r="AB450" s="8" t="s">
        <v>1017</v>
      </c>
      <c r="AC450" s="8" t="s">
        <v>1018</v>
      </c>
      <c r="AD450" s="8" t="s">
        <v>1018</v>
      </c>
      <c r="AE450" s="16"/>
      <c r="AF450" s="9"/>
      <c r="AG450" t="str">
        <f>VLOOKUP(OfficeForms.Table[[#This Row],[Nama Proyek]],'Nama Proyek'!$D$2:$G$29,4,0)</f>
        <v>-6.80675464,106.785366</v>
      </c>
      <c r="AH450" s="5"/>
      <c r="AI450" s="5"/>
      <c r="AJ450" s="5"/>
      <c r="AK450" s="5" t="s">
        <v>1019</v>
      </c>
    </row>
    <row r="451" spans="1:37" ht="15" hidden="1" customHeight="1">
      <c r="A451" s="50">
        <v>1066</v>
      </c>
      <c r="B451" s="111">
        <v>44938</v>
      </c>
      <c r="C451" s="29">
        <f>B451</f>
        <v>44938</v>
      </c>
      <c r="D451" s="8" t="s">
        <v>37</v>
      </c>
      <c r="E451" s="8" t="s">
        <v>998</v>
      </c>
      <c r="F451" s="5" t="str">
        <f>E451</f>
        <v>Dani Ramdhani</v>
      </c>
      <c r="G451" s="210" t="s">
        <v>76</v>
      </c>
      <c r="H451" s="105"/>
      <c r="I451" s="95">
        <v>0</v>
      </c>
      <c r="J451" s="95">
        <v>0</v>
      </c>
      <c r="K451" s="95">
        <v>0</v>
      </c>
      <c r="L451" s="95">
        <v>0</v>
      </c>
      <c r="M451" s="95">
        <v>0</v>
      </c>
      <c r="N451" s="95">
        <v>0</v>
      </c>
      <c r="O451" s="95">
        <v>0</v>
      </c>
      <c r="P451" s="95">
        <v>0</v>
      </c>
      <c r="Q451" s="95">
        <v>0</v>
      </c>
      <c r="R451" s="95">
        <v>0</v>
      </c>
      <c r="S451" s="95">
        <v>0</v>
      </c>
      <c r="T451" s="95">
        <v>0</v>
      </c>
      <c r="U451" s="95">
        <v>0</v>
      </c>
      <c r="V451" s="95">
        <v>0</v>
      </c>
      <c r="W451" s="95">
        <v>0</v>
      </c>
      <c r="X451" s="95">
        <v>0</v>
      </c>
      <c r="Y451" s="95">
        <v>0</v>
      </c>
      <c r="Z451" s="95"/>
      <c r="AA451" s="8"/>
      <c r="AB451" s="15"/>
      <c r="AC451" s="8"/>
      <c r="AD451" s="15"/>
      <c r="AE451" s="16">
        <v>45057</v>
      </c>
      <c r="AF451" s="19"/>
      <c r="AG451" t="str">
        <f>VLOOKUP(OfficeForms.Table[[#This Row],[Nama Proyek]],'Nama Proyek'!$D$2:$G$29,4,0)</f>
        <v>-2.95293103,104.75455094</v>
      </c>
      <c r="AH451" s="5"/>
      <c r="AI451" s="5"/>
      <c r="AJ451" s="5"/>
      <c r="AK451" s="5" t="s">
        <v>1020</v>
      </c>
    </row>
    <row r="452" spans="1:37" ht="15" hidden="1" customHeight="1">
      <c r="A452" s="31">
        <v>1067</v>
      </c>
      <c r="B452" s="110">
        <v>44938</v>
      </c>
      <c r="C452" s="28">
        <f>B452</f>
        <v>44938</v>
      </c>
      <c r="D452" s="19" t="s">
        <v>37</v>
      </c>
      <c r="E452" s="19" t="s">
        <v>998</v>
      </c>
      <c r="F452" s="5" t="str">
        <f>E452</f>
        <v>Dani Ramdhani</v>
      </c>
      <c r="G452" s="208" t="s">
        <v>76</v>
      </c>
      <c r="H452" s="106"/>
      <c r="I452" s="96">
        <v>0</v>
      </c>
      <c r="J452" s="96">
        <v>0</v>
      </c>
      <c r="K452" s="96">
        <v>0</v>
      </c>
      <c r="L452" s="96">
        <v>0</v>
      </c>
      <c r="M452" s="96">
        <v>0</v>
      </c>
      <c r="N452" s="96">
        <v>0</v>
      </c>
      <c r="O452" s="96">
        <v>0</v>
      </c>
      <c r="P452" s="96">
        <v>0</v>
      </c>
      <c r="Q452" s="96">
        <v>0</v>
      </c>
      <c r="R452" s="96">
        <v>0</v>
      </c>
      <c r="S452" s="96">
        <v>0</v>
      </c>
      <c r="T452" s="96">
        <v>0</v>
      </c>
      <c r="U452" s="96">
        <v>0</v>
      </c>
      <c r="V452" s="96">
        <v>0</v>
      </c>
      <c r="W452" s="96">
        <v>0</v>
      </c>
      <c r="X452" s="96">
        <v>0</v>
      </c>
      <c r="Y452" s="96">
        <v>0</v>
      </c>
      <c r="Z452" s="96"/>
      <c r="AA452" s="19" t="s">
        <v>1021</v>
      </c>
      <c r="AB452" s="19" t="s">
        <v>1022</v>
      </c>
      <c r="AC452" s="19"/>
      <c r="AD452" s="19"/>
      <c r="AE452" s="13"/>
      <c r="AF452" s="8"/>
      <c r="AG452" t="str">
        <f>VLOOKUP(OfficeForms.Table[[#This Row],[Nama Proyek]],'Nama Proyek'!$D$2:$G$29,4,0)</f>
        <v>-2.95293103,104.75455094</v>
      </c>
      <c r="AH452" s="5"/>
      <c r="AI452" s="5"/>
      <c r="AJ452" s="5"/>
      <c r="AK452" s="5" t="s">
        <v>1023</v>
      </c>
    </row>
    <row r="453" spans="1:37" ht="15" hidden="1" customHeight="1">
      <c r="A453" s="30">
        <v>1068</v>
      </c>
      <c r="B453" s="111">
        <v>44938</v>
      </c>
      <c r="C453" s="29">
        <f>B453</f>
        <v>44938</v>
      </c>
      <c r="D453" s="8" t="s">
        <v>37</v>
      </c>
      <c r="E453" s="8" t="s">
        <v>734</v>
      </c>
      <c r="F453" s="5" t="str">
        <f>E453</f>
        <v>Aldian Winata</v>
      </c>
      <c r="G453" s="64" t="s">
        <v>735</v>
      </c>
      <c r="H453" s="105"/>
      <c r="I453" s="95">
        <v>0</v>
      </c>
      <c r="J453" s="95">
        <v>0</v>
      </c>
      <c r="K453" s="95">
        <v>0</v>
      </c>
      <c r="L453" s="95">
        <v>0</v>
      </c>
      <c r="M453" s="95">
        <v>0</v>
      </c>
      <c r="N453" s="95">
        <v>0</v>
      </c>
      <c r="O453" s="95">
        <v>0</v>
      </c>
      <c r="P453" s="95">
        <v>0</v>
      </c>
      <c r="Q453" s="95">
        <v>0</v>
      </c>
      <c r="R453" s="95">
        <v>0</v>
      </c>
      <c r="S453" s="95">
        <v>0</v>
      </c>
      <c r="T453" s="95">
        <v>0</v>
      </c>
      <c r="U453" s="95">
        <v>0</v>
      </c>
      <c r="V453" s="95">
        <v>0</v>
      </c>
      <c r="W453" s="95">
        <v>0</v>
      </c>
      <c r="X453" s="95">
        <v>0</v>
      </c>
      <c r="Y453" s="95">
        <v>0</v>
      </c>
      <c r="Z453" s="95"/>
      <c r="AA453" s="8" t="s">
        <v>1024</v>
      </c>
      <c r="AB453" s="8" t="s">
        <v>1025</v>
      </c>
      <c r="AC453" s="8" t="s">
        <v>1026</v>
      </c>
      <c r="AD453" s="8" t="s">
        <v>1027</v>
      </c>
      <c r="AE453" s="11"/>
      <c r="AF453" s="19"/>
      <c r="AG453" t="str">
        <f>VLOOKUP(OfficeForms.Table[[#This Row],[Nama Proyek]],'Nama Proyek'!$D$2:$G$40,4,0)</f>
        <v>-0.88562397,119.85928375</v>
      </c>
      <c r="AH453" s="5"/>
      <c r="AI453" s="5"/>
      <c r="AJ453" s="5"/>
      <c r="AK453" s="5" t="s">
        <v>1028</v>
      </c>
    </row>
    <row r="454" spans="1:37" ht="15" hidden="1" customHeight="1">
      <c r="A454" s="31">
        <v>1069</v>
      </c>
      <c r="B454" s="110">
        <v>44938</v>
      </c>
      <c r="C454" s="28">
        <f>B454</f>
        <v>44938</v>
      </c>
      <c r="D454" s="19" t="s">
        <v>37</v>
      </c>
      <c r="E454" s="19" t="s">
        <v>998</v>
      </c>
      <c r="F454" s="5" t="str">
        <f>E454</f>
        <v>Dani Ramdhani</v>
      </c>
      <c r="G454" s="208" t="s">
        <v>76</v>
      </c>
      <c r="H454" s="106"/>
      <c r="I454" s="96">
        <v>0</v>
      </c>
      <c r="J454" s="96">
        <v>0</v>
      </c>
      <c r="K454" s="96">
        <v>0</v>
      </c>
      <c r="L454" s="96">
        <v>0</v>
      </c>
      <c r="M454" s="96">
        <v>0</v>
      </c>
      <c r="N454" s="96">
        <v>0</v>
      </c>
      <c r="O454" s="96">
        <v>0</v>
      </c>
      <c r="P454" s="96">
        <v>0</v>
      </c>
      <c r="Q454" s="96">
        <v>0</v>
      </c>
      <c r="R454" s="96">
        <v>0</v>
      </c>
      <c r="S454" s="96">
        <v>0</v>
      </c>
      <c r="T454" s="96">
        <v>0</v>
      </c>
      <c r="U454" s="96">
        <v>0</v>
      </c>
      <c r="V454" s="96">
        <v>0</v>
      </c>
      <c r="W454" s="96">
        <v>0</v>
      </c>
      <c r="X454" s="96">
        <v>0</v>
      </c>
      <c r="Y454" s="96">
        <v>0</v>
      </c>
      <c r="Z454" s="96"/>
      <c r="AA454" s="19"/>
      <c r="AB454" s="19"/>
      <c r="AC454" s="19" t="s">
        <v>1029</v>
      </c>
      <c r="AD454" s="19"/>
      <c r="AE454" s="13"/>
      <c r="AF454" s="8"/>
      <c r="AG454" t="str">
        <f>VLOOKUP(OfficeForms.Table[[#This Row],[Nama Proyek]],'Nama Proyek'!$D$2:$G$29,4,0)</f>
        <v>-2.95293103,104.75455094</v>
      </c>
      <c r="AH454" s="5"/>
      <c r="AI454" s="5"/>
      <c r="AJ454" s="5"/>
      <c r="AK454" s="5" t="s">
        <v>1030</v>
      </c>
    </row>
    <row r="455" spans="1:37" ht="15" hidden="1" customHeight="1">
      <c r="A455" s="50">
        <v>1071</v>
      </c>
      <c r="B455" s="110">
        <v>44938</v>
      </c>
      <c r="C455" s="28">
        <f>B455</f>
        <v>44938</v>
      </c>
      <c r="D455" s="19" t="s">
        <v>37</v>
      </c>
      <c r="E455" s="19" t="s">
        <v>734</v>
      </c>
      <c r="F455" s="5" t="str">
        <f>E455</f>
        <v>Aldian Winata</v>
      </c>
      <c r="G455" s="86" t="s">
        <v>735</v>
      </c>
      <c r="H455" s="106"/>
      <c r="I455" s="96">
        <v>0</v>
      </c>
      <c r="J455" s="96">
        <v>0</v>
      </c>
      <c r="K455" s="96">
        <v>0</v>
      </c>
      <c r="L455" s="96">
        <v>0</v>
      </c>
      <c r="M455" s="96">
        <v>0</v>
      </c>
      <c r="N455" s="96">
        <v>0</v>
      </c>
      <c r="O455" s="96">
        <v>0</v>
      </c>
      <c r="P455" s="96">
        <v>0</v>
      </c>
      <c r="Q455" s="96">
        <v>0</v>
      </c>
      <c r="R455" s="96">
        <v>0</v>
      </c>
      <c r="S455" s="96">
        <v>0</v>
      </c>
      <c r="T455" s="96">
        <v>0</v>
      </c>
      <c r="U455" s="96">
        <v>0</v>
      </c>
      <c r="V455" s="96">
        <v>0</v>
      </c>
      <c r="W455" s="96">
        <v>0</v>
      </c>
      <c r="X455" s="96">
        <v>0</v>
      </c>
      <c r="Y455" s="96">
        <v>0</v>
      </c>
      <c r="Z455" s="96"/>
      <c r="AA455" s="19"/>
      <c r="AB455" s="42"/>
      <c r="AC455" s="42"/>
      <c r="AD455" s="42"/>
      <c r="AE455" s="13" t="s">
        <v>1031</v>
      </c>
      <c r="AF455" s="15"/>
      <c r="AG455" t="str">
        <f>VLOOKUP(OfficeForms.Table[[#This Row],[Nama Proyek]],'Nama Proyek'!$D$2:$G$40,4,0)</f>
        <v>-0.88562397,119.85928375</v>
      </c>
      <c r="AH455" s="5"/>
      <c r="AI455" s="5"/>
      <c r="AJ455" s="5"/>
      <c r="AK455" s="5" t="s">
        <v>1032</v>
      </c>
    </row>
    <row r="456" spans="1:37" ht="15" hidden="1" customHeight="1">
      <c r="A456" s="50">
        <v>825</v>
      </c>
      <c r="B456" s="110">
        <v>44939</v>
      </c>
      <c r="C456" s="28">
        <f>B456</f>
        <v>44939</v>
      </c>
      <c r="D456" s="8" t="s">
        <v>37</v>
      </c>
      <c r="E456" s="8" t="s">
        <v>64</v>
      </c>
      <c r="F456" s="5" t="str">
        <f>E456</f>
        <v>Nizar Zulkarnain</v>
      </c>
      <c r="G456" s="86" t="s">
        <v>65</v>
      </c>
      <c r="H456" s="105">
        <v>44934</v>
      </c>
      <c r="I456" s="95">
        <v>74.667000000000002</v>
      </c>
      <c r="J456" s="95">
        <v>80.947999999999993</v>
      </c>
      <c r="K456" s="95">
        <v>64.849999999999994</v>
      </c>
      <c r="L456" s="95">
        <v>58.24</v>
      </c>
      <c r="M456" s="95">
        <v>82.3</v>
      </c>
      <c r="N456" s="95">
        <v>83.14</v>
      </c>
      <c r="O456" s="95">
        <v>51.22</v>
      </c>
      <c r="P456" s="95">
        <v>61.69</v>
      </c>
      <c r="Q456" s="95">
        <v>57.61</v>
      </c>
      <c r="R456" s="95">
        <v>55.52</v>
      </c>
      <c r="S456" s="95">
        <v>84.42</v>
      </c>
      <c r="T456" s="95">
        <v>89.92</v>
      </c>
      <c r="U456" s="95">
        <v>35.4</v>
      </c>
      <c r="V456" s="95">
        <v>18.399999999999999</v>
      </c>
      <c r="W456" s="95">
        <v>0</v>
      </c>
      <c r="X456" s="95">
        <v>98.36</v>
      </c>
      <c r="Y456" s="95">
        <v>41.02</v>
      </c>
      <c r="Z456" s="95"/>
      <c r="AA456" s="8"/>
      <c r="AB456" s="15"/>
      <c r="AC456" s="15"/>
      <c r="AD456" s="15"/>
      <c r="AE456" s="16"/>
      <c r="AF456" s="46" t="s">
        <v>1033</v>
      </c>
      <c r="AG456" t="str">
        <f>VLOOKUP(OfficeForms.Table[[#This Row],[Nama Proyek]],'Nama Proyek'!$D$2:$G$29,4,0)</f>
        <v>-6.35008011,107.02324233</v>
      </c>
      <c r="AH456" s="5"/>
      <c r="AI456" s="5"/>
      <c r="AJ456" s="5"/>
      <c r="AK456" s="5" t="s">
        <v>1034</v>
      </c>
    </row>
    <row r="457" spans="1:37" ht="15" hidden="1" customHeight="1">
      <c r="A457" s="30">
        <v>289</v>
      </c>
      <c r="B457" s="110">
        <v>44939</v>
      </c>
      <c r="C457" s="28">
        <f>B457</f>
        <v>44939</v>
      </c>
      <c r="D457" s="8" t="s">
        <v>37</v>
      </c>
      <c r="E457" s="8" t="s">
        <v>64</v>
      </c>
      <c r="F457" s="5" t="str">
        <f>E457</f>
        <v>Nizar Zulkarnain</v>
      </c>
      <c r="G457" s="86" t="s">
        <v>65</v>
      </c>
      <c r="H457" s="105"/>
      <c r="I457" s="95">
        <v>0</v>
      </c>
      <c r="J457" s="95">
        <v>0</v>
      </c>
      <c r="K457" s="95">
        <v>0</v>
      </c>
      <c r="L457" s="95">
        <v>0</v>
      </c>
      <c r="M457" s="95">
        <v>0</v>
      </c>
      <c r="N457" s="95">
        <v>0</v>
      </c>
      <c r="O457" s="95">
        <v>0</v>
      </c>
      <c r="P457" s="95">
        <v>0</v>
      </c>
      <c r="Q457" s="95">
        <v>0</v>
      </c>
      <c r="R457" s="95">
        <v>0</v>
      </c>
      <c r="S457" s="95">
        <v>0</v>
      </c>
      <c r="T457" s="95">
        <v>0</v>
      </c>
      <c r="U457" s="95">
        <v>0</v>
      </c>
      <c r="V457" s="95">
        <v>0</v>
      </c>
      <c r="W457" s="95">
        <v>0</v>
      </c>
      <c r="X457" s="95">
        <v>0</v>
      </c>
      <c r="Y457" s="95">
        <v>0</v>
      </c>
      <c r="Z457" s="95"/>
      <c r="AA457" s="8"/>
      <c r="AB457" s="8"/>
      <c r="AC457" s="8"/>
      <c r="AD457" s="15" t="s">
        <v>1035</v>
      </c>
      <c r="AE457" s="16"/>
      <c r="AF457" s="15" t="s">
        <v>1036</v>
      </c>
      <c r="AG457" t="str">
        <f>VLOOKUP(OfficeForms.Table[[#This Row],[Nama Proyek]],'Nama Proyek'!$D$2:$G$29,4,0)</f>
        <v>-6.35008011,107.02324233</v>
      </c>
      <c r="AH457" s="5"/>
      <c r="AI457" s="5"/>
      <c r="AJ457" s="5"/>
      <c r="AK457" s="5" t="s">
        <v>1037</v>
      </c>
    </row>
    <row r="458" spans="1:37" ht="15" hidden="1" customHeight="1">
      <c r="A458" s="31">
        <v>694</v>
      </c>
      <c r="B458" s="111">
        <v>44939</v>
      </c>
      <c r="C458" s="29">
        <f>B458</f>
        <v>44939</v>
      </c>
      <c r="D458" s="9" t="s">
        <v>37</v>
      </c>
      <c r="E458" s="9" t="s">
        <v>75</v>
      </c>
      <c r="F458" s="5" t="str">
        <f>E458</f>
        <v>Banyu Purwita</v>
      </c>
      <c r="G458" s="210" t="s">
        <v>76</v>
      </c>
      <c r="H458" s="104"/>
      <c r="I458" s="94">
        <v>0</v>
      </c>
      <c r="J458" s="94">
        <v>0</v>
      </c>
      <c r="K458" s="94">
        <v>0</v>
      </c>
      <c r="L458" s="94">
        <v>0</v>
      </c>
      <c r="M458" s="94">
        <v>0</v>
      </c>
      <c r="N458" s="94">
        <v>0</v>
      </c>
      <c r="O458" s="94">
        <v>0</v>
      </c>
      <c r="P458" s="94">
        <v>0</v>
      </c>
      <c r="Q458" s="94">
        <v>0</v>
      </c>
      <c r="R458" s="94">
        <v>0</v>
      </c>
      <c r="S458" s="94">
        <v>0</v>
      </c>
      <c r="T458" s="94">
        <v>0</v>
      </c>
      <c r="U458" s="94">
        <v>0</v>
      </c>
      <c r="V458" s="94">
        <v>0</v>
      </c>
      <c r="W458" s="94">
        <v>0</v>
      </c>
      <c r="X458" s="94">
        <v>0</v>
      </c>
      <c r="Y458" s="94">
        <v>0</v>
      </c>
      <c r="Z458" s="94"/>
      <c r="AA458" s="9" t="s">
        <v>1038</v>
      </c>
      <c r="AB458" s="9" t="s">
        <v>1038</v>
      </c>
      <c r="AC458" s="17" t="s">
        <v>1038</v>
      </c>
      <c r="AD458" s="9" t="s">
        <v>1038</v>
      </c>
      <c r="AE458" s="18"/>
      <c r="AF458" s="42" t="s">
        <v>1039</v>
      </c>
      <c r="AG458" t="str">
        <f>VLOOKUP(OfficeForms.Table[[#This Row],[Nama Proyek]],'Nama Proyek'!$D$2:$G$29,4,0)</f>
        <v>-2.95293103,104.75455094</v>
      </c>
      <c r="AH458" s="5"/>
      <c r="AI458" s="5"/>
      <c r="AJ458" s="5"/>
      <c r="AK458" s="5" t="s">
        <v>1040</v>
      </c>
    </row>
    <row r="459" spans="1:37" ht="15" hidden="1" customHeight="1">
      <c r="A459" s="30">
        <v>695</v>
      </c>
      <c r="B459" s="110">
        <v>44939</v>
      </c>
      <c r="C459" s="28">
        <f>B459</f>
        <v>44939</v>
      </c>
      <c r="D459" s="19" t="s">
        <v>37</v>
      </c>
      <c r="E459" s="19" t="s">
        <v>75</v>
      </c>
      <c r="F459" s="5" t="str">
        <f>E459</f>
        <v>Banyu Purwita</v>
      </c>
      <c r="G459" s="208" t="s">
        <v>76</v>
      </c>
      <c r="H459" s="106"/>
      <c r="I459" s="96">
        <v>0</v>
      </c>
      <c r="J459" s="96">
        <v>0</v>
      </c>
      <c r="K459" s="96">
        <v>0</v>
      </c>
      <c r="L459" s="96">
        <v>0</v>
      </c>
      <c r="M459" s="96">
        <v>0</v>
      </c>
      <c r="N459" s="96">
        <v>0</v>
      </c>
      <c r="O459" s="96">
        <v>0</v>
      </c>
      <c r="P459" s="96">
        <v>0</v>
      </c>
      <c r="Q459" s="96">
        <v>0</v>
      </c>
      <c r="R459" s="96">
        <v>0</v>
      </c>
      <c r="S459" s="96">
        <v>0</v>
      </c>
      <c r="T459" s="96">
        <v>0</v>
      </c>
      <c r="U459" s="96">
        <v>0</v>
      </c>
      <c r="V459" s="96">
        <v>0</v>
      </c>
      <c r="W459" s="96">
        <v>0</v>
      </c>
      <c r="X459" s="96">
        <v>0</v>
      </c>
      <c r="Y459" s="96">
        <v>0</v>
      </c>
      <c r="Z459" s="96"/>
      <c r="AA459" s="19"/>
      <c r="AB459" s="19"/>
      <c r="AC459" s="19"/>
      <c r="AD459" s="42"/>
      <c r="AE459" s="24">
        <v>45261</v>
      </c>
      <c r="AF459" s="8"/>
      <c r="AG459" t="str">
        <f>VLOOKUP(OfficeForms.Table[[#This Row],[Nama Proyek]],'Nama Proyek'!$D$2:$G$29,4,0)</f>
        <v>-2.95293103,104.75455094</v>
      </c>
      <c r="AH459" s="5"/>
      <c r="AI459" s="5"/>
      <c r="AJ459" s="5"/>
      <c r="AK459" s="5" t="s">
        <v>1041</v>
      </c>
    </row>
    <row r="460" spans="1:37" ht="15" hidden="1" customHeight="1">
      <c r="A460">
        <v>696</v>
      </c>
      <c r="B460" s="111">
        <v>44939</v>
      </c>
      <c r="C460" s="29">
        <f>B460</f>
        <v>44939</v>
      </c>
      <c r="D460" s="8" t="s">
        <v>37</v>
      </c>
      <c r="E460" s="8" t="s">
        <v>75</v>
      </c>
      <c r="F460" s="5" t="str">
        <f>E460</f>
        <v>Banyu Purwita</v>
      </c>
      <c r="G460" s="210" t="s">
        <v>76</v>
      </c>
      <c r="H460" s="104"/>
      <c r="I460" s="95">
        <v>0</v>
      </c>
      <c r="J460" s="95">
        <v>0</v>
      </c>
      <c r="K460" s="95">
        <v>0</v>
      </c>
      <c r="L460" s="95">
        <v>0</v>
      </c>
      <c r="M460" s="95">
        <v>0</v>
      </c>
      <c r="N460" s="95">
        <v>0</v>
      </c>
      <c r="O460" s="95">
        <v>0</v>
      </c>
      <c r="P460" s="95">
        <v>0</v>
      </c>
      <c r="Q460" s="95">
        <v>0</v>
      </c>
      <c r="R460" s="95">
        <v>0</v>
      </c>
      <c r="S460" s="95">
        <v>0</v>
      </c>
      <c r="T460" s="95">
        <v>0</v>
      </c>
      <c r="U460" s="95">
        <v>0</v>
      </c>
      <c r="V460" s="95">
        <v>0</v>
      </c>
      <c r="W460" s="95">
        <v>0</v>
      </c>
      <c r="X460" s="95">
        <v>0</v>
      </c>
      <c r="Y460" s="95">
        <v>0</v>
      </c>
      <c r="Z460" s="95"/>
      <c r="AA460" s="8" t="s">
        <v>1042</v>
      </c>
      <c r="AB460" s="8" t="s">
        <v>1042</v>
      </c>
      <c r="AC460" s="8" t="s">
        <v>1042</v>
      </c>
      <c r="AD460" s="8" t="s">
        <v>1042</v>
      </c>
      <c r="AE460" s="11"/>
      <c r="AF460" s="42" t="s">
        <v>1043</v>
      </c>
      <c r="AG460" t="str">
        <f>VLOOKUP(OfficeForms.Table[[#This Row],[Nama Proyek]],'Nama Proyek'!$D$2:$G$29,4,0)</f>
        <v>-2.95293103,104.75455094</v>
      </c>
      <c r="AH460" s="5"/>
      <c r="AI460" s="5"/>
      <c r="AJ460" s="5"/>
      <c r="AK460" s="5" t="s">
        <v>1044</v>
      </c>
    </row>
    <row r="461" spans="1:37" ht="15" hidden="1" customHeight="1">
      <c r="A461">
        <v>528</v>
      </c>
      <c r="B461" s="111">
        <v>44942</v>
      </c>
      <c r="C461" s="29">
        <f>B461</f>
        <v>44942</v>
      </c>
      <c r="D461" s="8" t="s">
        <v>37</v>
      </c>
      <c r="E461" s="8" t="s">
        <v>734</v>
      </c>
      <c r="F461" s="5" t="s">
        <v>734</v>
      </c>
      <c r="G461" s="64" t="s">
        <v>735</v>
      </c>
      <c r="H461" s="105">
        <v>44941</v>
      </c>
      <c r="I461" s="95">
        <v>17.855</v>
      </c>
      <c r="J461" s="95">
        <v>30.762</v>
      </c>
      <c r="K461" s="95">
        <v>2.2189999999999999</v>
      </c>
      <c r="L461" s="95">
        <v>12.192</v>
      </c>
      <c r="M461" s="95">
        <v>0</v>
      </c>
      <c r="N461" s="95">
        <v>0</v>
      </c>
      <c r="O461" s="95">
        <v>2.4E-2</v>
      </c>
      <c r="P461" s="95">
        <v>0</v>
      </c>
      <c r="Q461" s="95">
        <v>0</v>
      </c>
      <c r="R461" s="95">
        <v>0</v>
      </c>
      <c r="S461" s="95">
        <v>0</v>
      </c>
      <c r="T461" s="95">
        <v>0</v>
      </c>
      <c r="U461" s="95">
        <v>0</v>
      </c>
      <c r="V461" s="95">
        <v>0</v>
      </c>
      <c r="W461" s="95">
        <v>0</v>
      </c>
      <c r="X461" s="95">
        <v>0</v>
      </c>
      <c r="Y461" s="95">
        <v>0</v>
      </c>
      <c r="Z461" s="95"/>
      <c r="AA461" s="8"/>
      <c r="AB461" s="8"/>
      <c r="AC461" s="8"/>
      <c r="AD461" s="8"/>
      <c r="AE461" s="16"/>
      <c r="AF461" s="42" t="s">
        <v>1045</v>
      </c>
      <c r="AG461" t="str">
        <f>VLOOKUP(OfficeForms.Table[[#This Row],[Nama Proyek]],'Nama Proyek'!$D$2:$G$40,4,0)</f>
        <v>-0.88562397,119.85928375</v>
      </c>
      <c r="AH461" s="5"/>
      <c r="AI461" s="5"/>
      <c r="AJ461" s="5"/>
      <c r="AK461" s="5" t="s">
        <v>1046</v>
      </c>
    </row>
    <row r="462" spans="1:37" ht="15" hidden="1" customHeight="1">
      <c r="A462" s="31">
        <v>527</v>
      </c>
      <c r="B462" s="110">
        <v>44942</v>
      </c>
      <c r="C462" s="28">
        <f>B462</f>
        <v>44942</v>
      </c>
      <c r="D462" s="19" t="s">
        <v>37</v>
      </c>
      <c r="E462" s="19" t="s">
        <v>734</v>
      </c>
      <c r="F462" s="5" t="s">
        <v>734</v>
      </c>
      <c r="G462" s="86" t="s">
        <v>735</v>
      </c>
      <c r="H462" s="106"/>
      <c r="I462" s="96">
        <v>0</v>
      </c>
      <c r="J462" s="96">
        <v>0</v>
      </c>
      <c r="K462" s="96">
        <v>0</v>
      </c>
      <c r="L462" s="96">
        <v>0</v>
      </c>
      <c r="M462" s="96">
        <v>0</v>
      </c>
      <c r="N462" s="96">
        <v>0</v>
      </c>
      <c r="O462" s="96">
        <v>0</v>
      </c>
      <c r="P462" s="96">
        <v>0</v>
      </c>
      <c r="Q462" s="96">
        <v>0</v>
      </c>
      <c r="R462" s="96">
        <v>0</v>
      </c>
      <c r="S462" s="96">
        <v>0</v>
      </c>
      <c r="T462" s="96">
        <v>0</v>
      </c>
      <c r="U462" s="96">
        <v>0</v>
      </c>
      <c r="V462" s="96">
        <v>0</v>
      </c>
      <c r="W462" s="96">
        <v>0</v>
      </c>
      <c r="X462" s="96">
        <v>0</v>
      </c>
      <c r="Y462" s="96">
        <v>0</v>
      </c>
      <c r="Z462" s="96"/>
      <c r="AA462" s="19" t="s">
        <v>1047</v>
      </c>
      <c r="AB462" s="42" t="s">
        <v>1048</v>
      </c>
      <c r="AC462" s="19" t="s">
        <v>1049</v>
      </c>
      <c r="AD462" s="42" t="s">
        <v>1050</v>
      </c>
      <c r="AE462" s="24"/>
      <c r="AF462" s="15"/>
      <c r="AG462" t="str">
        <f>VLOOKUP(OfficeForms.Table[[#This Row],[Nama Proyek]],'Nama Proyek'!$D$2:$G$40,4,0)</f>
        <v>-0.88562397,119.85928375</v>
      </c>
      <c r="AH462" s="5"/>
      <c r="AI462" s="5"/>
      <c r="AJ462" s="5"/>
      <c r="AK462" s="5" t="s">
        <v>1051</v>
      </c>
    </row>
    <row r="463" spans="1:37" ht="15" hidden="1" customHeight="1">
      <c r="A463" s="50">
        <v>529</v>
      </c>
      <c r="B463" s="110">
        <v>44942</v>
      </c>
      <c r="C463" s="28">
        <f>B463</f>
        <v>44942</v>
      </c>
      <c r="D463" s="19" t="s">
        <v>37</v>
      </c>
      <c r="E463" s="19" t="s">
        <v>734</v>
      </c>
      <c r="F463" s="5" t="s">
        <v>734</v>
      </c>
      <c r="G463" s="86" t="s">
        <v>735</v>
      </c>
      <c r="H463" s="106"/>
      <c r="I463" s="96">
        <v>0</v>
      </c>
      <c r="J463" s="96">
        <v>0</v>
      </c>
      <c r="K463" s="96">
        <v>0</v>
      </c>
      <c r="L463" s="96">
        <v>0</v>
      </c>
      <c r="M463" s="96">
        <v>0</v>
      </c>
      <c r="N463" s="96">
        <v>0</v>
      </c>
      <c r="O463" s="96">
        <v>0</v>
      </c>
      <c r="P463" s="96">
        <v>0</v>
      </c>
      <c r="Q463" s="96">
        <v>0</v>
      </c>
      <c r="R463" s="96">
        <v>0</v>
      </c>
      <c r="S463" s="96">
        <v>0</v>
      </c>
      <c r="T463" s="96">
        <v>0</v>
      </c>
      <c r="U463" s="96">
        <v>0</v>
      </c>
      <c r="V463" s="96">
        <v>0</v>
      </c>
      <c r="W463" s="96">
        <v>0</v>
      </c>
      <c r="X463" s="96">
        <v>0</v>
      </c>
      <c r="Y463" s="96">
        <v>0</v>
      </c>
      <c r="Z463" s="96"/>
      <c r="AA463" s="19"/>
      <c r="AB463" s="19"/>
      <c r="AC463" s="19"/>
      <c r="AD463" s="19"/>
      <c r="AE463" s="24" t="s">
        <v>1052</v>
      </c>
      <c r="AF463" s="15"/>
      <c r="AG463" t="str">
        <f>VLOOKUP(OfficeForms.Table[[#This Row],[Nama Proyek]],'Nama Proyek'!$D$2:$G$40,4,0)</f>
        <v>-0.88562397,119.85928375</v>
      </c>
      <c r="AH463" s="5"/>
      <c r="AI463" s="5"/>
      <c r="AJ463" s="5"/>
      <c r="AK463" s="5" t="s">
        <v>1053</v>
      </c>
    </row>
    <row r="464" spans="1:37" ht="15" hidden="1" customHeight="1">
      <c r="A464">
        <v>835</v>
      </c>
      <c r="B464" s="110">
        <v>44945</v>
      </c>
      <c r="C464" s="28">
        <f>B464</f>
        <v>44945</v>
      </c>
      <c r="D464" s="19" t="s">
        <v>37</v>
      </c>
      <c r="E464" s="19" t="s">
        <v>64</v>
      </c>
      <c r="F464" s="5" t="str">
        <f>E464</f>
        <v>Nizar Zulkarnain</v>
      </c>
      <c r="G464" s="86" t="s">
        <v>65</v>
      </c>
      <c r="H464" s="106">
        <v>44941</v>
      </c>
      <c r="I464" s="96">
        <v>74.698999999999998</v>
      </c>
      <c r="J464" s="96">
        <v>81.397999999999996</v>
      </c>
      <c r="K464" s="96">
        <v>64.849999999999994</v>
      </c>
      <c r="L464" s="96">
        <v>58.24</v>
      </c>
      <c r="M464" s="96">
        <v>82.3</v>
      </c>
      <c r="N464" s="96">
        <v>83.14</v>
      </c>
      <c r="O464" s="96">
        <v>51.22</v>
      </c>
      <c r="P464" s="96">
        <v>61.7</v>
      </c>
      <c r="Q464" s="96">
        <v>57.62</v>
      </c>
      <c r="R464" s="96">
        <v>55.52</v>
      </c>
      <c r="S464" s="96">
        <v>84.47</v>
      </c>
      <c r="T464" s="96">
        <v>89.92</v>
      </c>
      <c r="U464" s="96">
        <v>35.5</v>
      </c>
      <c r="V464" s="96">
        <v>18.399999999999999</v>
      </c>
      <c r="W464" s="96">
        <v>0</v>
      </c>
      <c r="X464" s="96">
        <v>98.36</v>
      </c>
      <c r="Y464" s="96">
        <v>41.02</v>
      </c>
      <c r="Z464" s="96"/>
      <c r="AA464" s="19"/>
      <c r="AB464" s="19"/>
      <c r="AC464" s="19"/>
      <c r="AD464" s="19"/>
      <c r="AE464" s="24"/>
      <c r="AF464" s="17"/>
      <c r="AG464" t="str">
        <f>VLOOKUP(OfficeForms.Table[[#This Row],[Nama Proyek]],'Nama Proyek'!$D$2:$G$29,4,0)</f>
        <v>-6.35008011,107.02324233</v>
      </c>
      <c r="AH464" s="5"/>
      <c r="AI464" s="5"/>
      <c r="AJ464" s="5"/>
      <c r="AK464" s="5" t="s">
        <v>1054</v>
      </c>
    </row>
    <row r="465" spans="1:37" ht="15" hidden="1" customHeight="1">
      <c r="A465" s="31">
        <v>535</v>
      </c>
      <c r="B465" s="110">
        <v>44946</v>
      </c>
      <c r="C465" s="28">
        <f>B465</f>
        <v>44946</v>
      </c>
      <c r="D465" s="19" t="s">
        <v>37</v>
      </c>
      <c r="E465" s="19" t="s">
        <v>687</v>
      </c>
      <c r="F465" s="5" t="str">
        <f>E465</f>
        <v>Andri Julio Hermawan</v>
      </c>
      <c r="G465" s="207" t="s">
        <v>750</v>
      </c>
      <c r="H465" s="106">
        <v>44941</v>
      </c>
      <c r="I465" s="96">
        <v>6.8860000000000001</v>
      </c>
      <c r="J465" s="96">
        <v>6.7750000000000004</v>
      </c>
      <c r="K465" s="96">
        <v>0</v>
      </c>
      <c r="L465" s="96">
        <v>4.9870000000000001</v>
      </c>
      <c r="M465" s="96">
        <v>0</v>
      </c>
      <c r="N465" s="96">
        <v>0</v>
      </c>
      <c r="O465" s="96">
        <v>0</v>
      </c>
      <c r="P465" s="96">
        <v>1.4179999999999999</v>
      </c>
      <c r="Q465" s="96">
        <v>0</v>
      </c>
      <c r="R465" s="96">
        <v>0</v>
      </c>
      <c r="S465" s="96">
        <v>0</v>
      </c>
      <c r="T465" s="96">
        <v>0</v>
      </c>
      <c r="U465" s="96">
        <v>0</v>
      </c>
      <c r="V465" s="96">
        <v>0</v>
      </c>
      <c r="W465" s="96">
        <v>0</v>
      </c>
      <c r="X465" s="96">
        <v>0</v>
      </c>
      <c r="Y465" s="96">
        <v>0</v>
      </c>
      <c r="Z465" s="96"/>
      <c r="AA465" s="19"/>
      <c r="AB465" s="19"/>
      <c r="AC465" s="19"/>
      <c r="AD465" s="19"/>
      <c r="AE465" s="24"/>
      <c r="AF465" s="15"/>
      <c r="AG465" t="str">
        <f>VLOOKUP(OfficeForms.Table[[#This Row],[Nama Proyek]],'Nama Proyek'!$D$2:$G$29,4,0)</f>
        <v>-1.10415341,116.73424356</v>
      </c>
      <c r="AH465" s="5"/>
      <c r="AI465" s="5"/>
      <c r="AJ465" s="5"/>
      <c r="AK465" s="5" t="s">
        <v>1055</v>
      </c>
    </row>
    <row r="466" spans="1:37" ht="15" hidden="1" customHeight="1">
      <c r="A466" s="31">
        <v>931</v>
      </c>
      <c r="B466" s="110">
        <v>44946</v>
      </c>
      <c r="C466" s="28">
        <f>B466</f>
        <v>44946</v>
      </c>
      <c r="D466" s="19" t="s">
        <v>37</v>
      </c>
      <c r="E466" s="19" t="s">
        <v>109</v>
      </c>
      <c r="F466" s="5" t="str">
        <f>E466</f>
        <v>Muhamad Saifudin Ashari</v>
      </c>
      <c r="G466" s="86" t="s">
        <v>39</v>
      </c>
      <c r="H466" s="106">
        <v>44946</v>
      </c>
      <c r="I466" s="96">
        <v>90.902000000000001</v>
      </c>
      <c r="J466" s="96">
        <v>96.861000000000004</v>
      </c>
      <c r="K466" s="96">
        <v>0.98599999999999999</v>
      </c>
      <c r="L466" s="96">
        <v>0.877</v>
      </c>
      <c r="M466" s="96">
        <v>0.97499999999999998</v>
      </c>
      <c r="N466" s="96">
        <v>0.99</v>
      </c>
      <c r="O466" s="96">
        <v>0.65800000000000003</v>
      </c>
      <c r="P466" s="96">
        <v>0.88100000000000001</v>
      </c>
      <c r="Q466" s="96">
        <v>0.91100000000000003</v>
      </c>
      <c r="R466" s="96">
        <v>0.85</v>
      </c>
      <c r="S466" s="96">
        <v>0.97399999999999998</v>
      </c>
      <c r="T466" s="96">
        <v>0.95799999999999996</v>
      </c>
      <c r="U466" s="96">
        <v>0.64700000000000002</v>
      </c>
      <c r="V466" s="96">
        <v>1.2E-2</v>
      </c>
      <c r="W466" s="96">
        <v>0</v>
      </c>
      <c r="X466" s="96">
        <v>0.31</v>
      </c>
      <c r="Y466" s="96">
        <v>1.4999999999999999E-2</v>
      </c>
      <c r="Z466" s="96"/>
      <c r="AA466" s="19"/>
      <c r="AB466" s="19"/>
      <c r="AC466" s="19"/>
      <c r="AD466" s="19"/>
      <c r="AE466" s="24"/>
      <c r="AF466" s="8"/>
      <c r="AG466" t="str">
        <f>VLOOKUP(OfficeForms.Table[[#This Row],[Nama Proyek]],'Nama Proyek'!$D$2:$G$29,4,0)</f>
        <v>-6.80675464,106.785366</v>
      </c>
      <c r="AH466" s="5"/>
      <c r="AI466" s="5"/>
      <c r="AJ466" s="5"/>
      <c r="AK466" s="5" t="s">
        <v>1056</v>
      </c>
    </row>
    <row r="467" spans="1:37" ht="15" hidden="1" customHeight="1">
      <c r="A467" s="31">
        <v>372</v>
      </c>
      <c r="B467" s="111">
        <v>44946</v>
      </c>
      <c r="C467" s="29">
        <f>B467</f>
        <v>44946</v>
      </c>
      <c r="D467" s="8" t="s">
        <v>37</v>
      </c>
      <c r="E467" s="8" t="s">
        <v>109</v>
      </c>
      <c r="F467" s="5" t="str">
        <f>E467</f>
        <v>Muhamad Saifudin Ashari</v>
      </c>
      <c r="G467" s="185" t="s">
        <v>39</v>
      </c>
      <c r="H467" s="104"/>
      <c r="I467" s="95">
        <v>0</v>
      </c>
      <c r="J467" s="95">
        <v>0</v>
      </c>
      <c r="K467" s="95">
        <v>0</v>
      </c>
      <c r="L467" s="95">
        <v>0</v>
      </c>
      <c r="M467" s="95">
        <v>0</v>
      </c>
      <c r="N467" s="95">
        <v>0</v>
      </c>
      <c r="O467" s="95">
        <v>0</v>
      </c>
      <c r="P467" s="95">
        <v>0</v>
      </c>
      <c r="Q467" s="95">
        <v>0</v>
      </c>
      <c r="R467" s="95">
        <v>0</v>
      </c>
      <c r="S467" s="95">
        <v>0</v>
      </c>
      <c r="T467" s="95">
        <v>0</v>
      </c>
      <c r="U467" s="95">
        <v>0</v>
      </c>
      <c r="V467" s="95">
        <v>0</v>
      </c>
      <c r="W467" s="95">
        <v>0</v>
      </c>
      <c r="X467" s="95">
        <v>0</v>
      </c>
      <c r="Y467" s="95">
        <v>0</v>
      </c>
      <c r="Z467" s="95"/>
      <c r="AA467" s="8"/>
      <c r="AB467" s="8"/>
      <c r="AC467" s="8"/>
      <c r="AD467" s="8"/>
      <c r="AE467" s="11" t="s">
        <v>876</v>
      </c>
      <c r="AF467" s="19"/>
      <c r="AG467" t="str">
        <f>VLOOKUP(OfficeForms.Table[[#This Row],[Nama Proyek]],'Nama Proyek'!$D$2:$G$29,4,0)</f>
        <v>-6.80675464,106.785366</v>
      </c>
      <c r="AH467" s="5"/>
      <c r="AI467" s="5"/>
      <c r="AJ467" s="5"/>
      <c r="AK467" s="5" t="s">
        <v>1057</v>
      </c>
    </row>
    <row r="468" spans="1:37" ht="15" hidden="1" customHeight="1">
      <c r="A468">
        <v>375</v>
      </c>
      <c r="B468" s="110">
        <v>44946</v>
      </c>
      <c r="C468" s="28">
        <f>B468</f>
        <v>44946</v>
      </c>
      <c r="D468" s="19" t="s">
        <v>37</v>
      </c>
      <c r="E468" s="19" t="s">
        <v>109</v>
      </c>
      <c r="F468" s="5" t="str">
        <f>E468</f>
        <v>Muhamad Saifudin Ashari</v>
      </c>
      <c r="G468" s="86" t="s">
        <v>39</v>
      </c>
      <c r="H468" s="106"/>
      <c r="I468" s="96">
        <v>0</v>
      </c>
      <c r="J468" s="96">
        <v>0</v>
      </c>
      <c r="K468" s="96">
        <v>0</v>
      </c>
      <c r="L468" s="96">
        <v>0</v>
      </c>
      <c r="M468" s="96">
        <v>0</v>
      </c>
      <c r="N468" s="96">
        <v>0</v>
      </c>
      <c r="O468" s="96">
        <v>0</v>
      </c>
      <c r="P468" s="96">
        <v>0</v>
      </c>
      <c r="Q468" s="96">
        <v>0</v>
      </c>
      <c r="R468" s="96">
        <v>0</v>
      </c>
      <c r="S468" s="96">
        <v>0</v>
      </c>
      <c r="T468" s="96">
        <v>0</v>
      </c>
      <c r="U468" s="96">
        <v>0</v>
      </c>
      <c r="V468" s="96">
        <v>0</v>
      </c>
      <c r="W468" s="96">
        <v>0</v>
      </c>
      <c r="X468" s="96">
        <v>0</v>
      </c>
      <c r="Y468" s="96">
        <v>0</v>
      </c>
      <c r="Z468" s="96"/>
      <c r="AA468" s="19"/>
      <c r="AB468" s="19"/>
      <c r="AC468" s="19"/>
      <c r="AD468" s="19"/>
      <c r="AE468" s="13" t="s">
        <v>1058</v>
      </c>
      <c r="AF468" s="8"/>
      <c r="AG468" t="str">
        <f>VLOOKUP(OfficeForms.Table[[#This Row],[Nama Proyek]],'Nama Proyek'!$D$2:$G$29,4,0)</f>
        <v>-6.80675464,106.785366</v>
      </c>
      <c r="AH468" s="5"/>
      <c r="AI468" s="5"/>
      <c r="AJ468" s="5"/>
      <c r="AK468" s="5" t="s">
        <v>1059</v>
      </c>
    </row>
    <row r="469" spans="1:37" ht="15" hidden="1" customHeight="1">
      <c r="A469" s="50">
        <v>376</v>
      </c>
      <c r="B469" s="111">
        <v>44946</v>
      </c>
      <c r="C469" s="29">
        <f>B469</f>
        <v>44946</v>
      </c>
      <c r="D469" s="8" t="s">
        <v>37</v>
      </c>
      <c r="E469" s="8" t="s">
        <v>109</v>
      </c>
      <c r="F469" s="5" t="str">
        <f>E469</f>
        <v>Muhamad Saifudin Ashari</v>
      </c>
      <c r="G469" s="185" t="s">
        <v>39</v>
      </c>
      <c r="H469" s="104"/>
      <c r="I469" s="95">
        <v>0</v>
      </c>
      <c r="J469" s="95">
        <v>0</v>
      </c>
      <c r="K469" s="95">
        <v>0</v>
      </c>
      <c r="L469" s="95">
        <v>0</v>
      </c>
      <c r="M469" s="95">
        <v>0</v>
      </c>
      <c r="N469" s="95">
        <v>0</v>
      </c>
      <c r="O469" s="95">
        <v>0</v>
      </c>
      <c r="P469" s="95">
        <v>0</v>
      </c>
      <c r="Q469" s="95">
        <v>0</v>
      </c>
      <c r="R469" s="95">
        <v>0</v>
      </c>
      <c r="S469" s="95">
        <v>0</v>
      </c>
      <c r="T469" s="95">
        <v>0</v>
      </c>
      <c r="U469" s="95">
        <v>0</v>
      </c>
      <c r="V469" s="95">
        <v>0</v>
      </c>
      <c r="W469" s="95">
        <v>0</v>
      </c>
      <c r="X469" s="95">
        <v>0</v>
      </c>
      <c r="Y469" s="95">
        <v>0</v>
      </c>
      <c r="Z469" s="95"/>
      <c r="AA469" s="8" t="s">
        <v>1060</v>
      </c>
      <c r="AB469" s="8" t="s">
        <v>1061</v>
      </c>
      <c r="AC469" s="8" t="s">
        <v>1062</v>
      </c>
      <c r="AD469" s="8" t="s">
        <v>1063</v>
      </c>
      <c r="AE469" s="11"/>
      <c r="AF469" s="42"/>
      <c r="AG469" t="str">
        <f>VLOOKUP(OfficeForms.Table[[#This Row],[Nama Proyek]],'Nama Proyek'!$D$2:$G$29,4,0)</f>
        <v>-6.80675464,106.785366</v>
      </c>
      <c r="AH469" s="5"/>
      <c r="AI469" s="5"/>
      <c r="AJ469" s="5"/>
      <c r="AK469" s="5" t="s">
        <v>1064</v>
      </c>
    </row>
    <row r="470" spans="1:37" ht="15" hidden="1" customHeight="1">
      <c r="A470" s="31">
        <v>536</v>
      </c>
      <c r="B470" s="111">
        <v>44947</v>
      </c>
      <c r="C470" s="29">
        <f>B470</f>
        <v>44947</v>
      </c>
      <c r="D470" s="8" t="s">
        <v>37</v>
      </c>
      <c r="E470" s="8" t="s">
        <v>214</v>
      </c>
      <c r="F470" s="5" t="str">
        <f>E470</f>
        <v>BASUKI RAHMAT HAKIM</v>
      </c>
      <c r="G470" s="211" t="s">
        <v>48</v>
      </c>
      <c r="H470" s="105">
        <v>44947</v>
      </c>
      <c r="I470" s="95">
        <v>45.36</v>
      </c>
      <c r="J470" s="95">
        <v>48.81</v>
      </c>
      <c r="K470" s="95">
        <v>0</v>
      </c>
      <c r="L470" s="95">
        <v>43.613999999999997</v>
      </c>
      <c r="M470" s="95">
        <v>0</v>
      </c>
      <c r="N470" s="95">
        <v>0</v>
      </c>
      <c r="O470" s="95">
        <v>0</v>
      </c>
      <c r="P470" s="95">
        <v>0</v>
      </c>
      <c r="Q470" s="95">
        <v>0</v>
      </c>
      <c r="R470" s="95">
        <v>0.23100000000000001</v>
      </c>
      <c r="S470" s="95">
        <v>0</v>
      </c>
      <c r="T470" s="95">
        <v>0</v>
      </c>
      <c r="U470" s="95">
        <v>0</v>
      </c>
      <c r="V470" s="95">
        <v>0</v>
      </c>
      <c r="W470" s="95">
        <v>0</v>
      </c>
      <c r="X470" s="95">
        <v>0</v>
      </c>
      <c r="Y470" s="95">
        <v>0</v>
      </c>
      <c r="Z470" s="95"/>
      <c r="AA470" s="8"/>
      <c r="AB470" s="8"/>
      <c r="AC470" s="8"/>
      <c r="AD470" s="15"/>
      <c r="AE470" s="16"/>
      <c r="AF470" s="48" t="s">
        <v>1065</v>
      </c>
      <c r="AG470" t="str">
        <f>VLOOKUP(OfficeForms.Table[[#This Row],[Nama Proyek]],'Nama Proyek'!$D$2:$G$29,4,0)</f>
        <v>3.76047575,115.89977678</v>
      </c>
      <c r="AH470" s="5"/>
      <c r="AI470" s="5"/>
      <c r="AJ470" s="5"/>
      <c r="AK470" s="5" t="s">
        <v>1066</v>
      </c>
    </row>
    <row r="471" spans="1:37" ht="15" hidden="1" customHeight="1">
      <c r="A471" s="30">
        <v>537</v>
      </c>
      <c r="B471" s="110">
        <v>44947</v>
      </c>
      <c r="C471" s="28">
        <f>B471</f>
        <v>44947</v>
      </c>
      <c r="D471" s="19" t="s">
        <v>37</v>
      </c>
      <c r="E471" s="19" t="s">
        <v>214</v>
      </c>
      <c r="F471" s="5" t="str">
        <f>E471</f>
        <v>BASUKI RAHMAT HAKIM</v>
      </c>
      <c r="G471" s="211" t="s">
        <v>48</v>
      </c>
      <c r="H471" s="106"/>
      <c r="I471" s="96">
        <v>0</v>
      </c>
      <c r="J471" s="96">
        <v>0</v>
      </c>
      <c r="K471" s="96">
        <v>0</v>
      </c>
      <c r="L471" s="96">
        <v>0</v>
      </c>
      <c r="M471" s="96">
        <v>0</v>
      </c>
      <c r="N471" s="96">
        <v>0</v>
      </c>
      <c r="O471" s="96">
        <v>0</v>
      </c>
      <c r="P471" s="96">
        <v>0</v>
      </c>
      <c r="Q471" s="96">
        <v>0</v>
      </c>
      <c r="R471" s="96">
        <v>0</v>
      </c>
      <c r="S471" s="96">
        <v>0</v>
      </c>
      <c r="T471" s="96">
        <v>0</v>
      </c>
      <c r="U471" s="96">
        <v>0</v>
      </c>
      <c r="V471" s="96">
        <v>0</v>
      </c>
      <c r="W471" s="96">
        <v>0</v>
      </c>
      <c r="X471" s="96">
        <v>0</v>
      </c>
      <c r="Y471" s="96">
        <v>0</v>
      </c>
      <c r="Z471" s="96"/>
      <c r="AA471" s="19"/>
      <c r="AB471" s="19"/>
      <c r="AC471" s="19"/>
      <c r="AD471" s="19"/>
      <c r="AE471" s="24" t="s">
        <v>1067</v>
      </c>
      <c r="AF471" s="8"/>
      <c r="AG471" t="str">
        <f>VLOOKUP(OfficeForms.Table[[#This Row],[Nama Proyek]],'Nama Proyek'!$D$2:$G$29,4,0)</f>
        <v>3.76047575,115.89977678</v>
      </c>
      <c r="AH471" s="5"/>
      <c r="AI471" s="5"/>
      <c r="AJ471" s="5"/>
      <c r="AK471" s="5" t="s">
        <v>1068</v>
      </c>
    </row>
    <row r="472" spans="1:37" ht="15" hidden="1" customHeight="1">
      <c r="A472" s="31">
        <v>538</v>
      </c>
      <c r="B472" s="111">
        <v>44947</v>
      </c>
      <c r="C472" s="29">
        <f>B472</f>
        <v>44947</v>
      </c>
      <c r="D472" s="8" t="s">
        <v>37</v>
      </c>
      <c r="E472" s="8" t="s">
        <v>214</v>
      </c>
      <c r="F472" s="5" t="str">
        <f>E472</f>
        <v>BASUKI RAHMAT HAKIM</v>
      </c>
      <c r="G472" s="211" t="s">
        <v>48</v>
      </c>
      <c r="H472" s="104"/>
      <c r="I472" s="95">
        <v>0</v>
      </c>
      <c r="J472" s="95">
        <v>0</v>
      </c>
      <c r="K472" s="95">
        <v>0</v>
      </c>
      <c r="L472" s="95">
        <v>0</v>
      </c>
      <c r="M472" s="95">
        <v>0</v>
      </c>
      <c r="N472" s="95">
        <v>0</v>
      </c>
      <c r="O472" s="95">
        <v>0</v>
      </c>
      <c r="P472" s="95">
        <v>0</v>
      </c>
      <c r="Q472" s="95">
        <v>0</v>
      </c>
      <c r="R472" s="95">
        <v>0</v>
      </c>
      <c r="S472" s="95">
        <v>0</v>
      </c>
      <c r="T472" s="95">
        <v>0</v>
      </c>
      <c r="U472" s="95">
        <v>0</v>
      </c>
      <c r="V472" s="95">
        <v>0</v>
      </c>
      <c r="W472" s="95">
        <v>0</v>
      </c>
      <c r="X472" s="95">
        <v>0</v>
      </c>
      <c r="Y472" s="95">
        <v>0</v>
      </c>
      <c r="Z472" s="95"/>
      <c r="AA472" s="63" t="s">
        <v>1069</v>
      </c>
      <c r="AB472" s="8" t="s">
        <v>1070</v>
      </c>
      <c r="AC472" s="8" t="s">
        <v>1071</v>
      </c>
      <c r="AD472" s="8"/>
      <c r="AE472" s="11"/>
      <c r="AF472" s="47" t="s">
        <v>1072</v>
      </c>
      <c r="AG472" t="str">
        <f>VLOOKUP(OfficeForms.Table[[#This Row],[Nama Proyek]],'Nama Proyek'!$D$2:$G$29,4,0)</f>
        <v>3.76047575,115.89977678</v>
      </c>
      <c r="AH472" s="5"/>
      <c r="AI472" s="5"/>
      <c r="AJ472" s="5"/>
      <c r="AK472" s="5" t="s">
        <v>1073</v>
      </c>
    </row>
    <row r="473" spans="1:37" ht="15" hidden="1" customHeight="1">
      <c r="A473">
        <v>699</v>
      </c>
      <c r="B473" s="110">
        <v>44948</v>
      </c>
      <c r="C473" s="28">
        <f>B473</f>
        <v>44948</v>
      </c>
      <c r="D473" s="8" t="s">
        <v>37</v>
      </c>
      <c r="E473" s="8" t="s">
        <v>75</v>
      </c>
      <c r="F473" s="5" t="str">
        <f>E473</f>
        <v>Banyu Purwita</v>
      </c>
      <c r="G473" s="208" t="s">
        <v>76</v>
      </c>
      <c r="H473" s="106"/>
      <c r="I473" s="95">
        <v>0</v>
      </c>
      <c r="J473" s="95">
        <v>0</v>
      </c>
      <c r="K473" s="95">
        <v>0</v>
      </c>
      <c r="L473" s="95">
        <v>0</v>
      </c>
      <c r="M473" s="95">
        <v>0</v>
      </c>
      <c r="N473" s="95">
        <v>0</v>
      </c>
      <c r="O473" s="95">
        <v>0</v>
      </c>
      <c r="P473" s="95">
        <v>0</v>
      </c>
      <c r="Q473" s="95">
        <v>0</v>
      </c>
      <c r="R473" s="95">
        <v>0</v>
      </c>
      <c r="S473" s="95">
        <v>0</v>
      </c>
      <c r="T473" s="95">
        <v>0</v>
      </c>
      <c r="U473" s="95">
        <v>0</v>
      </c>
      <c r="V473" s="95">
        <v>0</v>
      </c>
      <c r="W473" s="95">
        <v>0</v>
      </c>
      <c r="X473" s="95">
        <v>0</v>
      </c>
      <c r="Y473" s="95">
        <v>0</v>
      </c>
      <c r="Z473" s="95"/>
      <c r="AA473" s="8"/>
      <c r="AB473" s="8"/>
      <c r="AC473" s="8"/>
      <c r="AD473" s="8"/>
      <c r="AE473" s="16" t="s">
        <v>1074</v>
      </c>
      <c r="AF473" s="15"/>
      <c r="AG473" t="str">
        <f>VLOOKUP(OfficeForms.Table[[#This Row],[Nama Proyek]],'Nama Proyek'!$D$2:$G$29,4,0)</f>
        <v>-2.95293103,104.75455094</v>
      </c>
      <c r="AH473" s="5"/>
      <c r="AI473" s="5"/>
      <c r="AJ473" s="5"/>
      <c r="AK473" s="5" t="s">
        <v>1075</v>
      </c>
    </row>
    <row r="474" spans="1:37" ht="15" hidden="1" customHeight="1">
      <c r="A474" s="50">
        <v>700</v>
      </c>
      <c r="B474" s="111">
        <v>44948</v>
      </c>
      <c r="C474" s="29">
        <f>B474</f>
        <v>44948</v>
      </c>
      <c r="D474" s="8" t="s">
        <v>37</v>
      </c>
      <c r="E474" s="8" t="s">
        <v>75</v>
      </c>
      <c r="F474" s="5" t="str">
        <f>E474</f>
        <v>Banyu Purwita</v>
      </c>
      <c r="G474" s="210" t="s">
        <v>76</v>
      </c>
      <c r="H474" s="104"/>
      <c r="I474" s="95">
        <v>0</v>
      </c>
      <c r="J474" s="95">
        <v>0</v>
      </c>
      <c r="K474" s="95">
        <v>0</v>
      </c>
      <c r="L474" s="95">
        <v>0</v>
      </c>
      <c r="M474" s="95">
        <v>0</v>
      </c>
      <c r="N474" s="95">
        <v>0</v>
      </c>
      <c r="O474" s="95">
        <v>0</v>
      </c>
      <c r="P474" s="95">
        <v>0</v>
      </c>
      <c r="Q474" s="95">
        <v>0</v>
      </c>
      <c r="R474" s="95">
        <v>0</v>
      </c>
      <c r="S474" s="95">
        <v>0</v>
      </c>
      <c r="T474" s="95">
        <v>0</v>
      </c>
      <c r="U474" s="95">
        <v>0</v>
      </c>
      <c r="V474" s="95">
        <v>0</v>
      </c>
      <c r="W474" s="95">
        <v>0</v>
      </c>
      <c r="X474" s="95">
        <v>0</v>
      </c>
      <c r="Y474" s="95">
        <v>0</v>
      </c>
      <c r="Z474" s="95"/>
      <c r="AA474" s="8" t="s">
        <v>1076</v>
      </c>
      <c r="AB474" s="8" t="s">
        <v>1076</v>
      </c>
      <c r="AC474" s="8" t="s">
        <v>1076</v>
      </c>
      <c r="AD474" s="8" t="s">
        <v>1076</v>
      </c>
      <c r="AE474" s="16"/>
      <c r="AF474" s="43" t="s">
        <v>1077</v>
      </c>
      <c r="AG474" t="str">
        <f>VLOOKUP(OfficeForms.Table[[#This Row],[Nama Proyek]],'Nama Proyek'!$D$2:$G$29,4,0)</f>
        <v>-2.95293103,104.75455094</v>
      </c>
      <c r="AH474" s="5"/>
      <c r="AI474" s="5"/>
      <c r="AJ474" s="5"/>
      <c r="AK474" s="5" t="s">
        <v>1078</v>
      </c>
    </row>
    <row r="475" spans="1:37" ht="15" hidden="1" customHeight="1">
      <c r="A475" s="31">
        <v>543</v>
      </c>
      <c r="B475" s="110">
        <v>44949</v>
      </c>
      <c r="C475" s="28">
        <f>B475</f>
        <v>44949</v>
      </c>
      <c r="D475" s="19" t="s">
        <v>37</v>
      </c>
      <c r="E475" s="19" t="s">
        <v>687</v>
      </c>
      <c r="F475" s="5" t="str">
        <f>E475</f>
        <v>Andri Julio Hermawan</v>
      </c>
      <c r="G475" s="23" t="s">
        <v>750</v>
      </c>
      <c r="H475" s="106"/>
      <c r="I475" s="96">
        <v>0</v>
      </c>
      <c r="J475" s="96">
        <v>0</v>
      </c>
      <c r="K475" s="96">
        <v>0</v>
      </c>
      <c r="L475" s="96">
        <v>0</v>
      </c>
      <c r="M475" s="96">
        <v>0</v>
      </c>
      <c r="N475" s="96">
        <v>0</v>
      </c>
      <c r="O475" s="96">
        <v>0</v>
      </c>
      <c r="P475" s="96">
        <v>0</v>
      </c>
      <c r="Q475" s="96">
        <v>0</v>
      </c>
      <c r="R475" s="96">
        <v>0</v>
      </c>
      <c r="S475" s="96">
        <v>0</v>
      </c>
      <c r="T475" s="96">
        <v>0</v>
      </c>
      <c r="U475" s="96">
        <v>0</v>
      </c>
      <c r="V475" s="96">
        <v>0</v>
      </c>
      <c r="W475" s="96">
        <v>0</v>
      </c>
      <c r="X475" s="96">
        <v>0</v>
      </c>
      <c r="Y475" s="96">
        <v>0</v>
      </c>
      <c r="Z475" s="96"/>
      <c r="AA475" s="19" t="s">
        <v>1079</v>
      </c>
      <c r="AB475" s="19" t="s">
        <v>1080</v>
      </c>
      <c r="AC475" s="19" t="s">
        <v>1081</v>
      </c>
      <c r="AD475" s="19" t="s">
        <v>1081</v>
      </c>
      <c r="AE475" s="13"/>
      <c r="AF475" s="8"/>
      <c r="AG475" t="str">
        <f>VLOOKUP(OfficeForms.Table[[#This Row],[Nama Proyek]],'Nama Proyek'!$D$2:$G$29,4,0)</f>
        <v>-1.10415341,116.73424356</v>
      </c>
      <c r="AH475" s="5"/>
      <c r="AI475" s="5"/>
      <c r="AJ475" s="5"/>
      <c r="AK475" s="5" t="s">
        <v>1082</v>
      </c>
    </row>
    <row r="476" spans="1:37" ht="15" hidden="1" customHeight="1">
      <c r="A476" s="31">
        <v>541</v>
      </c>
      <c r="B476" s="110">
        <v>44950</v>
      </c>
      <c r="C476" s="28">
        <f>B476</f>
        <v>44950</v>
      </c>
      <c r="D476" s="19" t="s">
        <v>37</v>
      </c>
      <c r="E476" s="19" t="s">
        <v>166</v>
      </c>
      <c r="F476" s="5" t="str">
        <f>E476</f>
        <v>Ganis Satria Pratama</v>
      </c>
      <c r="G476" s="9" t="s">
        <v>167</v>
      </c>
      <c r="H476" s="106">
        <v>44950</v>
      </c>
      <c r="I476" s="96">
        <v>100</v>
      </c>
      <c r="J476" s="96">
        <v>100</v>
      </c>
      <c r="K476" s="96">
        <v>100</v>
      </c>
      <c r="L476" s="96">
        <v>100</v>
      </c>
      <c r="M476" s="96">
        <v>0</v>
      </c>
      <c r="N476" s="96">
        <v>100</v>
      </c>
      <c r="O476" s="96">
        <v>0</v>
      </c>
      <c r="P476" s="96">
        <v>100</v>
      </c>
      <c r="Q476" s="96">
        <v>0</v>
      </c>
      <c r="R476" s="96">
        <v>0</v>
      </c>
      <c r="S476" s="96">
        <v>0</v>
      </c>
      <c r="T476" s="96">
        <v>0</v>
      </c>
      <c r="U476" s="96">
        <v>0</v>
      </c>
      <c r="V476" s="96">
        <v>0</v>
      </c>
      <c r="W476" s="96">
        <v>0</v>
      </c>
      <c r="X476" s="96">
        <v>0</v>
      </c>
      <c r="Y476" s="96">
        <v>0</v>
      </c>
      <c r="Z476" s="96"/>
      <c r="AA476" s="19"/>
      <c r="AB476" s="19"/>
      <c r="AC476" s="19"/>
      <c r="AD476" s="19"/>
      <c r="AE476" s="13"/>
      <c r="AF476" s="8"/>
      <c r="AG476" t="str">
        <f>VLOOKUP(OfficeForms.Table[[#This Row],[Nama Proyek]],'Nama Proyek'!$D$2:$G$29,4,0)</f>
        <v>2.426249030,128.29766314</v>
      </c>
      <c r="AH476" s="5"/>
      <c r="AI476" s="5"/>
      <c r="AJ476" s="5"/>
      <c r="AK476" s="5" t="s">
        <v>1083</v>
      </c>
    </row>
    <row r="477" spans="1:37" ht="15" hidden="1" customHeight="1">
      <c r="A477" s="30">
        <v>120</v>
      </c>
      <c r="B477" s="111">
        <v>44950</v>
      </c>
      <c r="C477" s="29">
        <f>B477</f>
        <v>44950</v>
      </c>
      <c r="D477" s="9" t="s">
        <v>37</v>
      </c>
      <c r="E477" s="9" t="s">
        <v>166</v>
      </c>
      <c r="F477" s="5" t="str">
        <f>E477</f>
        <v>Ganis Satria Pratama</v>
      </c>
      <c r="G477" s="9" t="s">
        <v>167</v>
      </c>
      <c r="H477" s="104"/>
      <c r="I477" s="94">
        <v>0</v>
      </c>
      <c r="J477" s="94">
        <v>0</v>
      </c>
      <c r="K477" s="94">
        <v>0</v>
      </c>
      <c r="L477" s="94">
        <v>0</v>
      </c>
      <c r="M477" s="94">
        <v>0</v>
      </c>
      <c r="N477" s="94">
        <v>0</v>
      </c>
      <c r="O477" s="94">
        <v>0</v>
      </c>
      <c r="P477" s="94">
        <v>0</v>
      </c>
      <c r="Q477" s="94">
        <v>0</v>
      </c>
      <c r="R477" s="94">
        <v>0</v>
      </c>
      <c r="S477" s="94">
        <v>0</v>
      </c>
      <c r="T477" s="94">
        <v>0</v>
      </c>
      <c r="U477" s="94">
        <v>0</v>
      </c>
      <c r="V477" s="94">
        <v>0</v>
      </c>
      <c r="W477" s="94">
        <v>0</v>
      </c>
      <c r="X477" s="94">
        <v>0</v>
      </c>
      <c r="Y477" s="94">
        <v>0</v>
      </c>
      <c r="Z477" s="94"/>
      <c r="AA477" s="9"/>
      <c r="AB477" s="9"/>
      <c r="AC477" s="9"/>
      <c r="AD477" s="9"/>
      <c r="AE477" s="12" t="s">
        <v>1084</v>
      </c>
      <c r="AF477" s="8"/>
      <c r="AG477" t="str">
        <f>VLOOKUP(OfficeForms.Table[[#This Row],[Nama Proyek]],'Nama Proyek'!$D$2:$G$29,4,0)</f>
        <v>2.426249030,128.29766314</v>
      </c>
      <c r="AH477" s="5"/>
      <c r="AI477" s="5"/>
      <c r="AJ477" s="5"/>
      <c r="AK477" s="5" t="s">
        <v>1085</v>
      </c>
    </row>
    <row r="478" spans="1:37" ht="15" hidden="1" customHeight="1">
      <c r="A478" s="50">
        <v>348</v>
      </c>
      <c r="B478" s="111">
        <v>44950</v>
      </c>
      <c r="C478" s="29">
        <f>B478</f>
        <v>44950</v>
      </c>
      <c r="D478" s="8" t="s">
        <v>37</v>
      </c>
      <c r="E478" s="8" t="s">
        <v>136</v>
      </c>
      <c r="F478" s="5" t="str">
        <f>E478</f>
        <v>Utomo Aryowibowo</v>
      </c>
      <c r="G478" s="8" t="s">
        <v>52</v>
      </c>
      <c r="H478" s="104"/>
      <c r="I478" s="95">
        <v>0</v>
      </c>
      <c r="J478" s="95">
        <v>0</v>
      </c>
      <c r="K478" s="95">
        <v>0</v>
      </c>
      <c r="L478" s="95">
        <v>0</v>
      </c>
      <c r="M478" s="95">
        <v>0</v>
      </c>
      <c r="N478" s="95">
        <v>0</v>
      </c>
      <c r="O478" s="95">
        <v>0</v>
      </c>
      <c r="P478" s="95">
        <v>0</v>
      </c>
      <c r="Q478" s="95">
        <v>0</v>
      </c>
      <c r="R478" s="95">
        <v>0</v>
      </c>
      <c r="S478" s="95">
        <v>0</v>
      </c>
      <c r="T478" s="95">
        <v>0</v>
      </c>
      <c r="U478" s="95">
        <v>0</v>
      </c>
      <c r="V478" s="95">
        <v>0</v>
      </c>
      <c r="W478" s="95">
        <v>0</v>
      </c>
      <c r="X478" s="95">
        <v>0</v>
      </c>
      <c r="Y478" s="95">
        <v>0</v>
      </c>
      <c r="Z478" s="95"/>
      <c r="AA478" s="8" t="s">
        <v>1086</v>
      </c>
      <c r="AB478" s="8" t="s">
        <v>1086</v>
      </c>
      <c r="AC478" s="8" t="s">
        <v>1087</v>
      </c>
      <c r="AD478" s="8" t="s">
        <v>1087</v>
      </c>
      <c r="AE478" s="11"/>
      <c r="AF478" s="41" t="s">
        <v>1088</v>
      </c>
      <c r="AG478" t="str">
        <f>VLOOKUP(OfficeForms.Table[[#This Row],[Nama Proyek]],'Nama Proyek'!$D$2:$G$29,4,0)</f>
        <v>-6.13491053,106.93675986</v>
      </c>
      <c r="AH478" s="5"/>
      <c r="AI478" s="5"/>
      <c r="AJ478" s="5"/>
      <c r="AK478" s="5" t="s">
        <v>1089</v>
      </c>
    </row>
    <row r="479" spans="1:37" ht="15" hidden="1" customHeight="1">
      <c r="A479">
        <v>349</v>
      </c>
      <c r="B479" s="110">
        <v>44950</v>
      </c>
      <c r="C479" s="28">
        <f>B479</f>
        <v>44950</v>
      </c>
      <c r="D479" s="8" t="s">
        <v>37</v>
      </c>
      <c r="E479" s="8" t="s">
        <v>1090</v>
      </c>
      <c r="F479" s="5" t="str">
        <f>E479</f>
        <v>Imam Nur Aziz</v>
      </c>
      <c r="G479" s="8" t="s">
        <v>52</v>
      </c>
      <c r="H479" s="106"/>
      <c r="I479" s="95">
        <v>0</v>
      </c>
      <c r="J479" s="95">
        <v>0</v>
      </c>
      <c r="K479" s="95">
        <v>0</v>
      </c>
      <c r="L479" s="95">
        <v>0</v>
      </c>
      <c r="M479" s="95">
        <v>0</v>
      </c>
      <c r="N479" s="95">
        <v>0</v>
      </c>
      <c r="O479" s="95">
        <v>0</v>
      </c>
      <c r="P479" s="95">
        <v>0</v>
      </c>
      <c r="Q479" s="95">
        <v>0</v>
      </c>
      <c r="R479" s="95">
        <v>0</v>
      </c>
      <c r="S479" s="95">
        <v>0</v>
      </c>
      <c r="T479" s="95">
        <v>0</v>
      </c>
      <c r="U479" s="95">
        <v>0</v>
      </c>
      <c r="V479" s="95">
        <v>0</v>
      </c>
      <c r="W479" s="95">
        <v>0</v>
      </c>
      <c r="X479" s="95">
        <v>0</v>
      </c>
      <c r="Y479" s="95">
        <v>0</v>
      </c>
      <c r="Z479" s="95"/>
      <c r="AA479" s="8"/>
      <c r="AB479" s="8"/>
      <c r="AC479" s="8"/>
      <c r="AD479" s="8"/>
      <c r="AE479" s="11" t="s">
        <v>1084</v>
      </c>
      <c r="AF479" s="8"/>
      <c r="AG479" t="str">
        <f>VLOOKUP(OfficeForms.Table[[#This Row],[Nama Proyek]],'Nama Proyek'!$D$2:$G$29,4,0)</f>
        <v>-6.13491053,106.93675986</v>
      </c>
      <c r="AH479" s="5"/>
      <c r="AI479" s="5"/>
      <c r="AJ479" s="5"/>
      <c r="AK479" s="5" t="s">
        <v>1091</v>
      </c>
    </row>
    <row r="480" spans="1:37" ht="15" hidden="1" customHeight="1">
      <c r="A480" s="31">
        <v>780</v>
      </c>
      <c r="B480" s="111">
        <v>44950</v>
      </c>
      <c r="C480" s="29">
        <f>B480</f>
        <v>44950</v>
      </c>
      <c r="D480" s="9" t="s">
        <v>37</v>
      </c>
      <c r="E480" s="9" t="s">
        <v>734</v>
      </c>
      <c r="F480" s="5" t="s">
        <v>734</v>
      </c>
      <c r="G480" s="8" t="s">
        <v>735</v>
      </c>
      <c r="H480" s="104"/>
      <c r="I480" s="94">
        <v>0</v>
      </c>
      <c r="J480" s="94">
        <v>0</v>
      </c>
      <c r="K480" s="94">
        <v>0</v>
      </c>
      <c r="L480" s="94">
        <v>0</v>
      </c>
      <c r="M480" s="94">
        <v>0</v>
      </c>
      <c r="N480" s="94">
        <v>0</v>
      </c>
      <c r="O480" s="94">
        <v>0</v>
      </c>
      <c r="P480" s="94">
        <v>0</v>
      </c>
      <c r="Q480" s="94">
        <v>0</v>
      </c>
      <c r="R480" s="94">
        <v>0</v>
      </c>
      <c r="S480" s="94">
        <v>0</v>
      </c>
      <c r="T480" s="94">
        <v>0</v>
      </c>
      <c r="U480" s="94">
        <v>0</v>
      </c>
      <c r="V480" s="94">
        <v>0</v>
      </c>
      <c r="W480" s="94">
        <v>0</v>
      </c>
      <c r="X480" s="94">
        <v>0</v>
      </c>
      <c r="Y480" s="94">
        <v>0</v>
      </c>
      <c r="Z480" s="94"/>
      <c r="AA480" s="9"/>
      <c r="AB480" s="9"/>
      <c r="AC480" s="9" t="s">
        <v>1092</v>
      </c>
      <c r="AD480" s="9"/>
      <c r="AE480" s="12"/>
      <c r="AF480" s="43" t="s">
        <v>1093</v>
      </c>
      <c r="AG480" t="str">
        <f>VLOOKUP(OfficeForms.Table[[#This Row],[Nama Proyek]],'Nama Proyek'!$D$2:$G$40,4,0)</f>
        <v>-0.88562397,119.85928375</v>
      </c>
      <c r="AH480" s="5"/>
      <c r="AI480" s="5"/>
      <c r="AJ480" s="5"/>
      <c r="AK480" s="5" t="s">
        <v>1094</v>
      </c>
    </row>
    <row r="481" spans="1:37" ht="15" hidden="1" customHeight="1">
      <c r="A481" s="30">
        <v>848</v>
      </c>
      <c r="B481" s="111">
        <v>44951</v>
      </c>
      <c r="C481" s="29">
        <f>B481</f>
        <v>44951</v>
      </c>
      <c r="D481" s="8" t="s">
        <v>37</v>
      </c>
      <c r="E481" s="8" t="s">
        <v>64</v>
      </c>
      <c r="F481" s="5" t="str">
        <f>E481</f>
        <v>Nizar Zulkarnain</v>
      </c>
      <c r="G481" s="9" t="s">
        <v>65</v>
      </c>
      <c r="H481" s="105">
        <v>44948</v>
      </c>
      <c r="I481" s="95">
        <v>74.748000000000005</v>
      </c>
      <c r="J481" s="95">
        <v>81.849999999999994</v>
      </c>
      <c r="K481" s="95">
        <v>64.849999999999994</v>
      </c>
      <c r="L481" s="95">
        <v>58.24</v>
      </c>
      <c r="M481" s="95">
        <v>82.3</v>
      </c>
      <c r="N481" s="95">
        <v>83.14</v>
      </c>
      <c r="O481" s="95">
        <v>51.2</v>
      </c>
      <c r="P481" s="95">
        <v>61.7</v>
      </c>
      <c r="Q481" s="95">
        <v>57.62</v>
      </c>
      <c r="R481" s="95">
        <v>55.53</v>
      </c>
      <c r="S481" s="95">
        <v>84.53</v>
      </c>
      <c r="T481" s="95">
        <v>89.92</v>
      </c>
      <c r="U481" s="95">
        <v>35.630000000000003</v>
      </c>
      <c r="V481" s="95">
        <v>18.41</v>
      </c>
      <c r="W481" s="95">
        <v>0</v>
      </c>
      <c r="X481" s="95">
        <v>98.36</v>
      </c>
      <c r="Y481" s="95">
        <v>41.02</v>
      </c>
      <c r="Z481" s="95"/>
      <c r="AA481" s="8"/>
      <c r="AB481" s="8"/>
      <c r="AC481" s="8"/>
      <c r="AD481" s="8"/>
      <c r="AE481" s="11"/>
      <c r="AF481" s="19"/>
      <c r="AG481" t="str">
        <f>VLOOKUP(OfficeForms.Table[[#This Row],[Nama Proyek]],'Nama Proyek'!$D$2:$G$29,4,0)</f>
        <v>-6.35008011,107.02324233</v>
      </c>
      <c r="AH481" s="5"/>
      <c r="AI481" s="5"/>
      <c r="AJ481" s="5"/>
      <c r="AK481" s="5" t="s">
        <v>1095</v>
      </c>
    </row>
    <row r="482" spans="1:37" ht="15" hidden="1" customHeight="1">
      <c r="A482" s="31">
        <v>311</v>
      </c>
      <c r="B482" s="110">
        <v>44951</v>
      </c>
      <c r="C482" s="28">
        <f>B482</f>
        <v>44951</v>
      </c>
      <c r="D482" s="19" t="s">
        <v>37</v>
      </c>
      <c r="E482" s="19" t="s">
        <v>64</v>
      </c>
      <c r="F482" s="5" t="str">
        <f>E482</f>
        <v>Nizar Zulkarnain</v>
      </c>
      <c r="G482" s="19" t="s">
        <v>65</v>
      </c>
      <c r="H482" s="106"/>
      <c r="I482" s="96">
        <v>0</v>
      </c>
      <c r="J482" s="96">
        <v>0</v>
      </c>
      <c r="K482" s="96">
        <v>0</v>
      </c>
      <c r="L482" s="96">
        <v>0</v>
      </c>
      <c r="M482" s="96">
        <v>0</v>
      </c>
      <c r="N482" s="96">
        <v>0</v>
      </c>
      <c r="O482" s="96">
        <v>0</v>
      </c>
      <c r="P482" s="96">
        <v>0</v>
      </c>
      <c r="Q482" s="96">
        <v>0</v>
      </c>
      <c r="R482" s="96">
        <v>0</v>
      </c>
      <c r="S482" s="96">
        <v>0</v>
      </c>
      <c r="T482" s="96">
        <v>0</v>
      </c>
      <c r="U482" s="96">
        <v>0</v>
      </c>
      <c r="V482" s="96">
        <v>0</v>
      </c>
      <c r="W482" s="96">
        <v>0</v>
      </c>
      <c r="X482" s="96">
        <v>0</v>
      </c>
      <c r="Y482" s="96">
        <v>0</v>
      </c>
      <c r="Z482" s="96"/>
      <c r="AA482" s="19"/>
      <c r="AB482" s="19"/>
      <c r="AC482" s="19"/>
      <c r="AD482" s="19" t="s">
        <v>1096</v>
      </c>
      <c r="AE482" s="13"/>
      <c r="AF482" s="8"/>
      <c r="AG482" t="str">
        <f>VLOOKUP(OfficeForms.Table[[#This Row],[Nama Proyek]],'Nama Proyek'!$D$2:$G$29,4,0)</f>
        <v>-6.35008011,107.02324233</v>
      </c>
      <c r="AH482" s="5"/>
      <c r="AI482" s="5"/>
      <c r="AJ482" s="5"/>
      <c r="AK482" s="5" t="s">
        <v>1097</v>
      </c>
    </row>
    <row r="483" spans="1:37" ht="15" hidden="1" customHeight="1">
      <c r="A483" s="50">
        <v>317</v>
      </c>
      <c r="B483" s="110">
        <v>44951</v>
      </c>
      <c r="C483" s="28">
        <f>B483</f>
        <v>44951</v>
      </c>
      <c r="D483" s="8" t="s">
        <v>37</v>
      </c>
      <c r="E483" s="8" t="s">
        <v>64</v>
      </c>
      <c r="F483" s="5" t="str">
        <f>E483</f>
        <v>Nizar Zulkarnain</v>
      </c>
      <c r="G483" s="19" t="s">
        <v>65</v>
      </c>
      <c r="H483" s="105"/>
      <c r="I483" s="95">
        <v>0</v>
      </c>
      <c r="J483" s="95">
        <v>0</v>
      </c>
      <c r="K483" s="95">
        <v>0</v>
      </c>
      <c r="L483" s="95">
        <v>0</v>
      </c>
      <c r="M483" s="95">
        <v>0</v>
      </c>
      <c r="N483" s="95">
        <v>0</v>
      </c>
      <c r="O483" s="95">
        <v>0</v>
      </c>
      <c r="P483" s="95">
        <v>0</v>
      </c>
      <c r="Q483" s="95">
        <v>0</v>
      </c>
      <c r="R483" s="95">
        <v>0</v>
      </c>
      <c r="S483" s="95">
        <v>0</v>
      </c>
      <c r="T483" s="95">
        <v>0</v>
      </c>
      <c r="U483" s="95">
        <v>0</v>
      </c>
      <c r="V483" s="95">
        <v>0</v>
      </c>
      <c r="W483" s="95">
        <v>0</v>
      </c>
      <c r="X483" s="95">
        <v>0</v>
      </c>
      <c r="Y483" s="95">
        <v>0</v>
      </c>
      <c r="Z483" s="95"/>
      <c r="AA483" s="8" t="s">
        <v>1098</v>
      </c>
      <c r="AB483" s="8"/>
      <c r="AC483" s="8"/>
      <c r="AD483" s="8"/>
      <c r="AE483" s="11"/>
      <c r="AF483" s="17"/>
      <c r="AG483" t="str">
        <f>VLOOKUP(OfficeForms.Table[[#This Row],[Nama Proyek]],'Nama Proyek'!$D$2:$G$29,4,0)</f>
        <v>-6.35008011,107.02324233</v>
      </c>
      <c r="AH483" s="5"/>
      <c r="AI483" s="5"/>
      <c r="AJ483" s="5"/>
      <c r="AK483" s="5" t="s">
        <v>1099</v>
      </c>
    </row>
    <row r="484" spans="1:37" ht="15" hidden="1" customHeight="1">
      <c r="A484" s="50">
        <v>672</v>
      </c>
      <c r="B484" s="111">
        <v>44952</v>
      </c>
      <c r="C484" s="29">
        <f>B484</f>
        <v>44952</v>
      </c>
      <c r="D484" s="9" t="s">
        <v>37</v>
      </c>
      <c r="E484" s="9" t="s">
        <v>54</v>
      </c>
      <c r="F484" s="5" t="str">
        <f>E484</f>
        <v>Haryo Widiandoko</v>
      </c>
      <c r="G484" s="9" t="s">
        <v>55</v>
      </c>
      <c r="H484" s="104"/>
      <c r="I484" s="94">
        <v>0</v>
      </c>
      <c r="J484" s="94">
        <v>0</v>
      </c>
      <c r="K484" s="94">
        <v>0</v>
      </c>
      <c r="L484" s="94">
        <v>0</v>
      </c>
      <c r="M484" s="94">
        <v>0</v>
      </c>
      <c r="N484" s="94">
        <v>0</v>
      </c>
      <c r="O484" s="94">
        <v>0</v>
      </c>
      <c r="P484" s="94">
        <v>0</v>
      </c>
      <c r="Q484" s="94">
        <v>0</v>
      </c>
      <c r="R484" s="94">
        <v>0</v>
      </c>
      <c r="S484" s="94">
        <v>0</v>
      </c>
      <c r="T484" s="94">
        <v>0</v>
      </c>
      <c r="U484" s="94">
        <v>0</v>
      </c>
      <c r="V484" s="94">
        <v>0</v>
      </c>
      <c r="W484" s="94">
        <v>0</v>
      </c>
      <c r="X484" s="94">
        <v>0</v>
      </c>
      <c r="Y484" s="94">
        <v>0</v>
      </c>
      <c r="Z484" s="94"/>
      <c r="AA484" s="9"/>
      <c r="AB484" s="9"/>
      <c r="AC484" s="9"/>
      <c r="AD484" s="9"/>
      <c r="AE484" s="18" t="s">
        <v>1067</v>
      </c>
      <c r="AF484" s="43" t="s">
        <v>1100</v>
      </c>
      <c r="AG484" t="str">
        <f>VLOOKUP(OfficeForms.Table[[#This Row],[Nama Proyek]],'Nama Proyek'!$D$2:$G$29,4,0)</f>
        <v>-6.42873464,107.19897003</v>
      </c>
      <c r="AH484" s="5"/>
      <c r="AI484" s="5"/>
      <c r="AJ484" s="5"/>
      <c r="AK484" s="5" t="s">
        <v>1101</v>
      </c>
    </row>
    <row r="485" spans="1:37" ht="15" hidden="1" customHeight="1">
      <c r="A485" s="31">
        <v>673</v>
      </c>
      <c r="B485" s="110">
        <v>44952</v>
      </c>
      <c r="C485" s="28">
        <f>B485</f>
        <v>44952</v>
      </c>
      <c r="D485" s="19" t="s">
        <v>37</v>
      </c>
      <c r="E485" s="19" t="s">
        <v>54</v>
      </c>
      <c r="F485" s="5" t="str">
        <f>E485</f>
        <v>Haryo Widiandoko</v>
      </c>
      <c r="G485" s="19" t="s">
        <v>55</v>
      </c>
      <c r="H485" s="106"/>
      <c r="I485" s="96">
        <v>0</v>
      </c>
      <c r="J485" s="96">
        <v>0</v>
      </c>
      <c r="K485" s="96">
        <v>0</v>
      </c>
      <c r="L485" s="96">
        <v>0</v>
      </c>
      <c r="M485" s="96">
        <v>0</v>
      </c>
      <c r="N485" s="96">
        <v>0</v>
      </c>
      <c r="O485" s="96">
        <v>0</v>
      </c>
      <c r="P485" s="96">
        <v>0</v>
      </c>
      <c r="Q485" s="96">
        <v>0</v>
      </c>
      <c r="R485" s="96">
        <v>0</v>
      </c>
      <c r="S485" s="96">
        <v>0</v>
      </c>
      <c r="T485" s="96">
        <v>0</v>
      </c>
      <c r="U485" s="96">
        <v>0</v>
      </c>
      <c r="V485" s="96">
        <v>0</v>
      </c>
      <c r="W485" s="96">
        <v>0</v>
      </c>
      <c r="X485" s="96">
        <v>0</v>
      </c>
      <c r="Y485" s="96">
        <v>0</v>
      </c>
      <c r="Z485" s="96"/>
      <c r="AA485" s="19"/>
      <c r="AB485" s="19"/>
      <c r="AC485" s="19"/>
      <c r="AD485" s="19"/>
      <c r="AE485" s="13" t="s">
        <v>1067</v>
      </c>
      <c r="AF485" s="17"/>
      <c r="AG485" t="str">
        <f>VLOOKUP(OfficeForms.Table[[#This Row],[Nama Proyek]],'Nama Proyek'!$D$2:$G$29,4,0)</f>
        <v>-6.42873464,107.19897003</v>
      </c>
      <c r="AH485" s="5"/>
      <c r="AI485" s="5"/>
      <c r="AJ485" s="5"/>
      <c r="AK485" s="5" t="s">
        <v>1102</v>
      </c>
    </row>
    <row r="486" spans="1:37" ht="15" hidden="1" customHeight="1">
      <c r="A486" s="50">
        <v>726</v>
      </c>
      <c r="B486" s="111">
        <v>44952</v>
      </c>
      <c r="C486" s="29">
        <f>B486</f>
        <v>44952</v>
      </c>
      <c r="D486" s="8" t="s">
        <v>37</v>
      </c>
      <c r="E486" s="8" t="s">
        <v>54</v>
      </c>
      <c r="F486" s="5" t="str">
        <f>E486</f>
        <v>Haryo Widiandoko</v>
      </c>
      <c r="G486" s="17" t="s">
        <v>55</v>
      </c>
      <c r="H486" s="104"/>
      <c r="I486" s="95">
        <v>0</v>
      </c>
      <c r="J486" s="95">
        <v>0</v>
      </c>
      <c r="K486" s="95">
        <v>0</v>
      </c>
      <c r="L486" s="95">
        <v>0</v>
      </c>
      <c r="M486" s="95">
        <v>0</v>
      </c>
      <c r="N486" s="95">
        <v>0</v>
      </c>
      <c r="O486" s="95">
        <v>0</v>
      </c>
      <c r="P486" s="95">
        <v>0</v>
      </c>
      <c r="Q486" s="95">
        <v>0</v>
      </c>
      <c r="R486" s="95">
        <v>0</v>
      </c>
      <c r="S486" s="95">
        <v>0</v>
      </c>
      <c r="T486" s="95">
        <v>0</v>
      </c>
      <c r="U486" s="95">
        <v>0</v>
      </c>
      <c r="V486" s="95">
        <v>0</v>
      </c>
      <c r="W486" s="95">
        <v>0</v>
      </c>
      <c r="X486" s="95">
        <v>0</v>
      </c>
      <c r="Y486" s="95">
        <v>0</v>
      </c>
      <c r="Z486" s="95"/>
      <c r="AA486" s="8"/>
      <c r="AB486" s="8"/>
      <c r="AC486" s="8"/>
      <c r="AD486" s="8"/>
      <c r="AE486" s="16" t="s">
        <v>1067</v>
      </c>
      <c r="AF486" s="25" t="s">
        <v>1103</v>
      </c>
      <c r="AG486" t="str">
        <f>VLOOKUP(OfficeForms.Table[[#This Row],[Nama Proyek]],'Nama Proyek'!$D$2:$G$29,4,0)</f>
        <v>-6.42873464,107.19897003</v>
      </c>
      <c r="AH486" s="5"/>
      <c r="AI486" s="5"/>
      <c r="AJ486" s="5"/>
      <c r="AK486" s="5" t="s">
        <v>1104</v>
      </c>
    </row>
    <row r="487" spans="1:37" ht="15" hidden="1" customHeight="1">
      <c r="A487">
        <v>727</v>
      </c>
      <c r="B487" s="110">
        <v>44952</v>
      </c>
      <c r="C487" s="28">
        <f>B487</f>
        <v>44952</v>
      </c>
      <c r="D487" s="19" t="s">
        <v>37</v>
      </c>
      <c r="E487" s="19" t="s">
        <v>54</v>
      </c>
      <c r="F487" s="5" t="str">
        <f>E487</f>
        <v>Haryo Widiandoko</v>
      </c>
      <c r="G487" s="19" t="s">
        <v>55</v>
      </c>
      <c r="H487" s="106"/>
      <c r="I487" s="96">
        <v>0</v>
      </c>
      <c r="J487" s="96">
        <v>0</v>
      </c>
      <c r="K487" s="96">
        <v>0</v>
      </c>
      <c r="L487" s="96">
        <v>0</v>
      </c>
      <c r="M487" s="96">
        <v>0</v>
      </c>
      <c r="N487" s="96">
        <v>0</v>
      </c>
      <c r="O487" s="96">
        <v>0</v>
      </c>
      <c r="P487" s="96">
        <v>0</v>
      </c>
      <c r="Q487" s="96">
        <v>0</v>
      </c>
      <c r="R487" s="96">
        <v>0</v>
      </c>
      <c r="S487" s="96">
        <v>0</v>
      </c>
      <c r="T487" s="96">
        <v>0</v>
      </c>
      <c r="U487" s="96">
        <v>0</v>
      </c>
      <c r="V487" s="96">
        <v>0</v>
      </c>
      <c r="W487" s="96">
        <v>0</v>
      </c>
      <c r="X487" s="96">
        <v>0</v>
      </c>
      <c r="Y487" s="96">
        <v>0</v>
      </c>
      <c r="Z487" s="96"/>
      <c r="AA487" s="19"/>
      <c r="AB487" s="19"/>
      <c r="AC487" s="19"/>
      <c r="AD487" s="19"/>
      <c r="AE487" s="13" t="s">
        <v>1067</v>
      </c>
      <c r="AF487" s="15"/>
      <c r="AG487" t="str">
        <f>VLOOKUP(OfficeForms.Table[[#This Row],[Nama Proyek]],'Nama Proyek'!$D$2:$G$29,4,0)</f>
        <v>-6.42873464,107.19897003</v>
      </c>
      <c r="AH487" s="5"/>
      <c r="AI487" s="5"/>
      <c r="AJ487" s="5"/>
      <c r="AK487" s="5" t="s">
        <v>1105</v>
      </c>
    </row>
    <row r="488" spans="1:37" ht="15" hidden="1" customHeight="1">
      <c r="A488" s="30">
        <v>728</v>
      </c>
      <c r="B488" s="111">
        <v>44952</v>
      </c>
      <c r="C488" s="29">
        <f>B488</f>
        <v>44952</v>
      </c>
      <c r="D488" s="8" t="s">
        <v>37</v>
      </c>
      <c r="E488" s="8" t="s">
        <v>54</v>
      </c>
      <c r="F488" s="5" t="str">
        <f>E488</f>
        <v>Haryo Widiandoko</v>
      </c>
      <c r="G488" s="9" t="s">
        <v>55</v>
      </c>
      <c r="H488" s="104"/>
      <c r="I488" s="95">
        <v>0</v>
      </c>
      <c r="J488" s="95">
        <v>0</v>
      </c>
      <c r="K488" s="95">
        <v>0</v>
      </c>
      <c r="L488" s="95">
        <v>0</v>
      </c>
      <c r="M488" s="95">
        <v>0</v>
      </c>
      <c r="N488" s="95">
        <v>0</v>
      </c>
      <c r="O488" s="95">
        <v>0</v>
      </c>
      <c r="P488" s="95">
        <v>0</v>
      </c>
      <c r="Q488" s="95">
        <v>0</v>
      </c>
      <c r="R488" s="95">
        <v>0</v>
      </c>
      <c r="S488" s="95">
        <v>0</v>
      </c>
      <c r="T488" s="95">
        <v>0</v>
      </c>
      <c r="U488" s="95">
        <v>0</v>
      </c>
      <c r="V488" s="95">
        <v>0</v>
      </c>
      <c r="W488" s="95">
        <v>0</v>
      </c>
      <c r="X488" s="95">
        <v>0</v>
      </c>
      <c r="Y488" s="95">
        <v>0</v>
      </c>
      <c r="Z488" s="95"/>
      <c r="AA488" s="8" t="s">
        <v>1106</v>
      </c>
      <c r="AB488" s="8" t="s">
        <v>1106</v>
      </c>
      <c r="AC488" s="8" t="s">
        <v>1107</v>
      </c>
      <c r="AD488" s="8"/>
      <c r="AE488" s="16"/>
      <c r="AF488" s="19"/>
      <c r="AG488" t="str">
        <f>VLOOKUP(OfficeForms.Table[[#This Row],[Nama Proyek]],'Nama Proyek'!$D$2:$G$29,4,0)</f>
        <v>-6.42873464,107.19897003</v>
      </c>
      <c r="AH488" s="5"/>
      <c r="AI488" s="5"/>
      <c r="AJ488" s="5"/>
      <c r="AK488" s="5" t="s">
        <v>1108</v>
      </c>
    </row>
    <row r="489" spans="1:37" ht="15" hidden="1" customHeight="1">
      <c r="A489" s="30">
        <v>928</v>
      </c>
      <c r="B489" s="111">
        <v>44953</v>
      </c>
      <c r="C489" s="29">
        <f>B489</f>
        <v>44953</v>
      </c>
      <c r="D489" s="9" t="s">
        <v>37</v>
      </c>
      <c r="E489" s="9" t="s">
        <v>1109</v>
      </c>
      <c r="F489" s="5" t="str">
        <f>E489</f>
        <v>Anzalar Rahman</v>
      </c>
      <c r="G489" s="33" t="s">
        <v>714</v>
      </c>
      <c r="H489" s="104">
        <v>44948</v>
      </c>
      <c r="I489" s="94">
        <v>13.318</v>
      </c>
      <c r="J489" s="94">
        <v>12.861000000000001</v>
      </c>
      <c r="K489" s="94">
        <v>0</v>
      </c>
      <c r="L489" s="94">
        <v>4.2590000000000003</v>
      </c>
      <c r="M489" s="94">
        <v>0</v>
      </c>
      <c r="N489" s="94">
        <v>0</v>
      </c>
      <c r="O489" s="94">
        <v>0</v>
      </c>
      <c r="P489" s="94">
        <v>7.109</v>
      </c>
      <c r="Q489" s="94">
        <v>0</v>
      </c>
      <c r="R489" s="94">
        <v>0</v>
      </c>
      <c r="S489" s="94">
        <v>0</v>
      </c>
      <c r="T489" s="94">
        <v>0</v>
      </c>
      <c r="U489" s="94">
        <v>0</v>
      </c>
      <c r="V489" s="94">
        <v>0</v>
      </c>
      <c r="W489" s="94">
        <v>0</v>
      </c>
      <c r="X489" s="94">
        <v>0</v>
      </c>
      <c r="Y489" s="94">
        <v>0</v>
      </c>
      <c r="Z489" s="94"/>
      <c r="AA489" s="9"/>
      <c r="AB489" s="17"/>
      <c r="AC489" s="17"/>
      <c r="AD489" s="17"/>
      <c r="AE489" s="12"/>
      <c r="AF489" s="15"/>
      <c r="AG489" t="str">
        <f>VLOOKUP(OfficeForms.Table[[#This Row],[Nama Proyek]],'Nama Proyek'!$D$2:$G$29,4,0)</f>
        <v>-0.95259625,116.71704453</v>
      </c>
      <c r="AH489" s="5"/>
      <c r="AI489" s="5"/>
      <c r="AJ489" s="5"/>
      <c r="AK489" s="5" t="s">
        <v>1110</v>
      </c>
    </row>
    <row r="490" spans="1:37" ht="15" hidden="1" customHeight="1">
      <c r="A490" s="31">
        <v>306</v>
      </c>
      <c r="B490" s="111">
        <v>44953</v>
      </c>
      <c r="C490" s="29">
        <f>B490</f>
        <v>44953</v>
      </c>
      <c r="D490" s="8" t="s">
        <v>37</v>
      </c>
      <c r="E490" s="8" t="s">
        <v>75</v>
      </c>
      <c r="F490" s="5" t="str">
        <f>E490</f>
        <v>Banyu Purwita</v>
      </c>
      <c r="G490" s="37" t="s">
        <v>76</v>
      </c>
      <c r="H490" s="105">
        <v>44952</v>
      </c>
      <c r="I490" s="95">
        <v>39.777999999999999</v>
      </c>
      <c r="J490" s="95">
        <v>40.945999999999998</v>
      </c>
      <c r="K490" s="95">
        <v>0</v>
      </c>
      <c r="L490" s="95">
        <v>0</v>
      </c>
      <c r="M490" s="95">
        <v>1.302</v>
      </c>
      <c r="N490" s="95">
        <v>0</v>
      </c>
      <c r="O490" s="95">
        <v>12.013999999999999</v>
      </c>
      <c r="P490" s="95">
        <v>0</v>
      </c>
      <c r="Q490" s="95">
        <v>1.98</v>
      </c>
      <c r="R490" s="95">
        <v>0</v>
      </c>
      <c r="S490" s="95">
        <v>22.934000000000001</v>
      </c>
      <c r="T490" s="95">
        <v>0</v>
      </c>
      <c r="U490" s="95">
        <v>0</v>
      </c>
      <c r="V490" s="95">
        <v>0</v>
      </c>
      <c r="W490" s="95">
        <v>0</v>
      </c>
      <c r="X490" s="95">
        <v>0</v>
      </c>
      <c r="Y490" s="95">
        <v>0</v>
      </c>
      <c r="Z490" s="95"/>
      <c r="AA490" s="8"/>
      <c r="AB490" s="8"/>
      <c r="AC490" s="8"/>
      <c r="AD490" s="8"/>
      <c r="AE490" s="16"/>
      <c r="AF490" s="19"/>
      <c r="AG490" t="str">
        <f>VLOOKUP(OfficeForms.Table[[#This Row],[Nama Proyek]],'Nama Proyek'!$D$2:$G$29,4,0)</f>
        <v>-2.95293103,104.75455094</v>
      </c>
      <c r="AH490" s="5"/>
      <c r="AI490" s="5"/>
      <c r="AJ490" s="5"/>
      <c r="AK490" s="5" t="s">
        <v>1111</v>
      </c>
    </row>
    <row r="491" spans="1:37" ht="15" hidden="1" customHeight="1">
      <c r="A491" s="50">
        <v>307</v>
      </c>
      <c r="B491" s="110">
        <v>44953</v>
      </c>
      <c r="C491" s="28">
        <f>B491</f>
        <v>44953</v>
      </c>
      <c r="D491" s="19" t="s">
        <v>37</v>
      </c>
      <c r="E491" s="19" t="s">
        <v>75</v>
      </c>
      <c r="F491" s="5" t="str">
        <f>E491</f>
        <v>Banyu Purwita</v>
      </c>
      <c r="G491" s="34" t="s">
        <v>76</v>
      </c>
      <c r="H491" s="106">
        <v>44952</v>
      </c>
      <c r="I491" s="96">
        <v>39.777999999999999</v>
      </c>
      <c r="J491" s="96">
        <v>40.945999999999998</v>
      </c>
      <c r="K491" s="96">
        <v>0</v>
      </c>
      <c r="L491" s="96">
        <v>0</v>
      </c>
      <c r="M491" s="96">
        <v>1.302</v>
      </c>
      <c r="N491" s="96">
        <v>0</v>
      </c>
      <c r="O491" s="96">
        <v>12.013999999999999</v>
      </c>
      <c r="P491" s="96">
        <v>0</v>
      </c>
      <c r="Q491" s="96">
        <v>1.98</v>
      </c>
      <c r="R491" s="96">
        <v>0</v>
      </c>
      <c r="S491" s="96">
        <v>22.934000000000001</v>
      </c>
      <c r="T491" s="96">
        <v>0</v>
      </c>
      <c r="U491" s="96">
        <v>6.3E-2</v>
      </c>
      <c r="V491" s="96">
        <v>0</v>
      </c>
      <c r="W491" s="96">
        <v>0</v>
      </c>
      <c r="X491" s="96">
        <v>0</v>
      </c>
      <c r="Y491" s="96">
        <v>0</v>
      </c>
      <c r="Z491" s="96"/>
      <c r="AA491" s="19"/>
      <c r="AB491" s="19"/>
      <c r="AC491" s="19"/>
      <c r="AD491" s="19"/>
      <c r="AE491" s="13"/>
      <c r="AF491" s="8"/>
      <c r="AG491" t="str">
        <f>VLOOKUP(OfficeForms.Table[[#This Row],[Nama Proyek]],'Nama Proyek'!$D$2:$G$29,4,0)</f>
        <v>-2.95293103,104.75455094</v>
      </c>
      <c r="AH491" s="5"/>
      <c r="AI491" s="5"/>
      <c r="AJ491" s="5"/>
      <c r="AK491" s="5" t="s">
        <v>1112</v>
      </c>
    </row>
    <row r="492" spans="1:37" ht="15" hidden="1" customHeight="1">
      <c r="A492" s="50">
        <v>322</v>
      </c>
      <c r="B492" s="111">
        <v>44953</v>
      </c>
      <c r="C492" s="29">
        <f>B492</f>
        <v>44953</v>
      </c>
      <c r="D492" s="8" t="s">
        <v>37</v>
      </c>
      <c r="E492" s="8" t="s">
        <v>64</v>
      </c>
      <c r="F492" s="5" t="str">
        <f>E492</f>
        <v>Nizar Zulkarnain</v>
      </c>
      <c r="G492" s="17" t="s">
        <v>65</v>
      </c>
      <c r="H492" s="105"/>
      <c r="I492" s="95">
        <v>0</v>
      </c>
      <c r="J492" s="95">
        <v>0</v>
      </c>
      <c r="K492" s="95">
        <v>0</v>
      </c>
      <c r="L492" s="95">
        <v>0</v>
      </c>
      <c r="M492" s="95">
        <v>0</v>
      </c>
      <c r="N492" s="95">
        <v>0</v>
      </c>
      <c r="O492" s="95">
        <v>0</v>
      </c>
      <c r="P492" s="95">
        <v>0</v>
      </c>
      <c r="Q492" s="95">
        <v>0</v>
      </c>
      <c r="R492" s="95">
        <v>0</v>
      </c>
      <c r="S492" s="95">
        <v>0</v>
      </c>
      <c r="T492" s="95">
        <v>0</v>
      </c>
      <c r="U492" s="95">
        <v>0</v>
      </c>
      <c r="V492" s="95">
        <v>0</v>
      </c>
      <c r="W492" s="95">
        <v>0</v>
      </c>
      <c r="X492" s="95">
        <v>0</v>
      </c>
      <c r="Y492" s="95">
        <v>0</v>
      </c>
      <c r="Z492" s="95"/>
      <c r="AA492" s="8"/>
      <c r="AB492" s="8"/>
      <c r="AC492" s="8" t="s">
        <v>1113</v>
      </c>
      <c r="AD492" s="8"/>
      <c r="AE492" s="11"/>
      <c r="AF492" s="19" t="s">
        <v>1114</v>
      </c>
      <c r="AG492" t="str">
        <f>VLOOKUP(OfficeForms.Table[[#This Row],[Nama Proyek]],'Nama Proyek'!$D$2:$G$29,4,0)</f>
        <v>-6.35008011,107.02324233</v>
      </c>
      <c r="AH492" s="5"/>
      <c r="AI492" s="5"/>
      <c r="AJ492" s="5"/>
      <c r="AK492" s="5" t="s">
        <v>1115</v>
      </c>
    </row>
    <row r="493" spans="1:37" ht="15" hidden="1" customHeight="1">
      <c r="A493" s="31">
        <v>357</v>
      </c>
      <c r="B493" s="110">
        <v>44953</v>
      </c>
      <c r="C493" s="28">
        <f>B493</f>
        <v>44953</v>
      </c>
      <c r="D493" s="8" t="s">
        <v>37</v>
      </c>
      <c r="E493" s="8" t="s">
        <v>64</v>
      </c>
      <c r="F493" s="5" t="str">
        <f>E493</f>
        <v>Nizar Zulkarnain</v>
      </c>
      <c r="G493" s="42" t="s">
        <v>65</v>
      </c>
      <c r="H493" s="105"/>
      <c r="I493" s="95">
        <v>0</v>
      </c>
      <c r="J493" s="95">
        <v>0</v>
      </c>
      <c r="K493" s="95">
        <v>0</v>
      </c>
      <c r="L493" s="95">
        <v>0</v>
      </c>
      <c r="M493" s="95">
        <v>0</v>
      </c>
      <c r="N493" s="95">
        <v>0</v>
      </c>
      <c r="O493" s="95">
        <v>0</v>
      </c>
      <c r="P493" s="95">
        <v>0</v>
      </c>
      <c r="Q493" s="95">
        <v>0</v>
      </c>
      <c r="R493" s="95">
        <v>0</v>
      </c>
      <c r="S493" s="95">
        <v>0</v>
      </c>
      <c r="T493" s="95">
        <v>0</v>
      </c>
      <c r="U493" s="95">
        <v>0</v>
      </c>
      <c r="V493" s="95">
        <v>0</v>
      </c>
      <c r="W493" s="95">
        <v>0</v>
      </c>
      <c r="X493" s="95">
        <v>0</v>
      </c>
      <c r="Y493" s="95">
        <v>0</v>
      </c>
      <c r="Z493" s="95"/>
      <c r="AA493" s="8"/>
      <c r="AB493" s="8"/>
      <c r="AC493" s="8"/>
      <c r="AD493" s="8"/>
      <c r="AE493" s="11" t="s">
        <v>1116</v>
      </c>
      <c r="AF493" s="8"/>
      <c r="AG493" t="str">
        <f>VLOOKUP(OfficeForms.Table[[#This Row],[Nama Proyek]],'Nama Proyek'!$D$2:$G$29,4,0)</f>
        <v>-6.35008011,107.02324233</v>
      </c>
      <c r="AH493" s="5"/>
      <c r="AI493" s="5"/>
      <c r="AJ493" s="5"/>
      <c r="AK493" s="5" t="s">
        <v>1117</v>
      </c>
    </row>
    <row r="494" spans="1:37" ht="15" hidden="1" customHeight="1">
      <c r="A494" s="31">
        <v>426</v>
      </c>
      <c r="B494" s="111">
        <v>44953</v>
      </c>
      <c r="C494" s="29">
        <f>B494</f>
        <v>44953</v>
      </c>
      <c r="D494" s="9" t="s">
        <v>37</v>
      </c>
      <c r="E494" s="9" t="s">
        <v>1109</v>
      </c>
      <c r="F494" s="5" t="str">
        <f>E494</f>
        <v>Anzalar Rahman</v>
      </c>
      <c r="G494" s="33" t="s">
        <v>714</v>
      </c>
      <c r="H494" s="104"/>
      <c r="I494" s="94">
        <v>0</v>
      </c>
      <c r="J494" s="94">
        <v>0</v>
      </c>
      <c r="K494" s="94">
        <v>0</v>
      </c>
      <c r="L494" s="94">
        <v>0</v>
      </c>
      <c r="M494" s="94">
        <v>0</v>
      </c>
      <c r="N494" s="94">
        <v>0</v>
      </c>
      <c r="O494" s="94">
        <v>0</v>
      </c>
      <c r="P494" s="94">
        <v>0</v>
      </c>
      <c r="Q494" s="94">
        <v>0</v>
      </c>
      <c r="R494" s="94">
        <v>0</v>
      </c>
      <c r="S494" s="94">
        <v>0</v>
      </c>
      <c r="T494" s="94">
        <v>0</v>
      </c>
      <c r="U494" s="94">
        <v>0</v>
      </c>
      <c r="V494" s="94">
        <v>0</v>
      </c>
      <c r="W494" s="94">
        <v>0</v>
      </c>
      <c r="X494" s="94">
        <v>0</v>
      </c>
      <c r="Y494" s="94">
        <v>0</v>
      </c>
      <c r="Z494" s="94"/>
      <c r="AA494" s="9" t="s">
        <v>1118</v>
      </c>
      <c r="AB494" s="9" t="s">
        <v>1119</v>
      </c>
      <c r="AC494" s="9" t="s">
        <v>1120</v>
      </c>
      <c r="AD494" s="9" t="s">
        <v>1121</v>
      </c>
      <c r="AE494" s="12"/>
      <c r="AF494" s="42" t="s">
        <v>1122</v>
      </c>
      <c r="AG494" t="str">
        <f>VLOOKUP(OfficeForms.Table[[#This Row],[Nama Proyek]],'Nama Proyek'!$D$2:$G$29,4,0)</f>
        <v>-0.95259625,116.71704453</v>
      </c>
      <c r="AH494" s="5"/>
      <c r="AI494" s="5"/>
      <c r="AJ494" s="5"/>
      <c r="AK494" s="5" t="s">
        <v>1123</v>
      </c>
    </row>
    <row r="495" spans="1:37" ht="15" hidden="1" customHeight="1">
      <c r="A495" s="30">
        <v>452</v>
      </c>
      <c r="B495" s="111">
        <v>44953</v>
      </c>
      <c r="C495" s="29">
        <f>B495</f>
        <v>44953</v>
      </c>
      <c r="D495" s="9" t="s">
        <v>37</v>
      </c>
      <c r="E495" s="9" t="s">
        <v>1109</v>
      </c>
      <c r="F495" s="5" t="str">
        <f>E495</f>
        <v>Anzalar Rahman</v>
      </c>
      <c r="G495" s="36" t="s">
        <v>714</v>
      </c>
      <c r="H495" s="104"/>
      <c r="I495" s="94">
        <v>0</v>
      </c>
      <c r="J495" s="94">
        <v>0</v>
      </c>
      <c r="K495" s="94">
        <v>0</v>
      </c>
      <c r="L495" s="94">
        <v>0</v>
      </c>
      <c r="M495" s="94">
        <v>0</v>
      </c>
      <c r="N495" s="94">
        <v>0</v>
      </c>
      <c r="O495" s="94">
        <v>0</v>
      </c>
      <c r="P495" s="94">
        <v>0</v>
      </c>
      <c r="Q495" s="94">
        <v>0</v>
      </c>
      <c r="R495" s="94">
        <v>0</v>
      </c>
      <c r="S495" s="94">
        <v>0</v>
      </c>
      <c r="T495" s="94">
        <v>0</v>
      </c>
      <c r="U495" s="94">
        <v>0</v>
      </c>
      <c r="V495" s="94">
        <v>0</v>
      </c>
      <c r="W495" s="94">
        <v>0</v>
      </c>
      <c r="X495" s="94">
        <v>0</v>
      </c>
      <c r="Y495" s="94">
        <v>0</v>
      </c>
      <c r="Z495" s="94"/>
      <c r="AA495" s="9"/>
      <c r="AB495" s="9"/>
      <c r="AC495" s="9"/>
      <c r="AD495" s="9"/>
      <c r="AE495" s="18" t="s">
        <v>1124</v>
      </c>
      <c r="AF495" s="8" t="s">
        <v>1125</v>
      </c>
      <c r="AG495" t="str">
        <f>VLOOKUP(OfficeForms.Table[[#This Row],[Nama Proyek]],'Nama Proyek'!$D$2:$G$29,4,0)</f>
        <v>-0.95259625,116.71704453</v>
      </c>
      <c r="AH495" s="5"/>
      <c r="AI495" s="5"/>
      <c r="AJ495" s="5"/>
      <c r="AK495" s="5" t="s">
        <v>1126</v>
      </c>
    </row>
    <row r="496" spans="1:37" ht="15" hidden="1" customHeight="1">
      <c r="A496">
        <v>464</v>
      </c>
      <c r="B496" s="111">
        <v>44953</v>
      </c>
      <c r="C496" s="29">
        <f>B496</f>
        <v>44953</v>
      </c>
      <c r="D496" s="8" t="s">
        <v>37</v>
      </c>
      <c r="E496" s="8" t="s">
        <v>1109</v>
      </c>
      <c r="F496" s="5" t="str">
        <f>E496</f>
        <v>Anzalar Rahman</v>
      </c>
      <c r="G496" s="36" t="s">
        <v>714</v>
      </c>
      <c r="H496" s="104"/>
      <c r="I496" s="95">
        <v>0</v>
      </c>
      <c r="J496" s="95">
        <v>0</v>
      </c>
      <c r="K496" s="95">
        <v>0</v>
      </c>
      <c r="L496" s="95">
        <v>0</v>
      </c>
      <c r="M496" s="95">
        <v>0</v>
      </c>
      <c r="N496" s="95">
        <v>0</v>
      </c>
      <c r="O496" s="95">
        <v>0</v>
      </c>
      <c r="P496" s="95">
        <v>0</v>
      </c>
      <c r="Q496" s="95">
        <v>0</v>
      </c>
      <c r="R496" s="95">
        <v>0</v>
      </c>
      <c r="S496" s="95">
        <v>0</v>
      </c>
      <c r="T496" s="95">
        <v>0</v>
      </c>
      <c r="U496" s="95">
        <v>0</v>
      </c>
      <c r="V496" s="95">
        <v>0</v>
      </c>
      <c r="W496" s="95">
        <v>0</v>
      </c>
      <c r="X496" s="95">
        <v>0</v>
      </c>
      <c r="Y496" s="95">
        <v>0</v>
      </c>
      <c r="Z496" s="95"/>
      <c r="AA496" s="8"/>
      <c r="AB496" s="8"/>
      <c r="AC496" s="8"/>
      <c r="AD496" s="8"/>
      <c r="AE496" s="11" t="s">
        <v>1124</v>
      </c>
      <c r="AF496" s="19"/>
      <c r="AG496" t="str">
        <f>VLOOKUP(OfficeForms.Table[[#This Row],[Nama Proyek]],'Nama Proyek'!$D$2:$G$29,4,0)</f>
        <v>-0.95259625,116.71704453</v>
      </c>
      <c r="AH496" s="5"/>
      <c r="AI496" s="5"/>
      <c r="AJ496" s="5"/>
      <c r="AK496" s="5" t="s">
        <v>1127</v>
      </c>
    </row>
    <row r="497" spans="1:37" ht="15" hidden="1" customHeight="1">
      <c r="A497">
        <v>484</v>
      </c>
      <c r="B497" s="111">
        <v>44953</v>
      </c>
      <c r="C497" s="29">
        <f>B497</f>
        <v>44953</v>
      </c>
      <c r="D497" s="9" t="s">
        <v>37</v>
      </c>
      <c r="E497" s="9" t="s">
        <v>773</v>
      </c>
      <c r="F497" s="5" t="str">
        <f>E497</f>
        <v>Rasendriya Ramanda Darettamarlan</v>
      </c>
      <c r="G497" s="33" t="s">
        <v>714</v>
      </c>
      <c r="H497" s="104"/>
      <c r="I497" s="94">
        <v>0</v>
      </c>
      <c r="J497" s="94">
        <v>0</v>
      </c>
      <c r="K497" s="94">
        <v>0</v>
      </c>
      <c r="L497" s="94">
        <v>0</v>
      </c>
      <c r="M497" s="94">
        <v>0</v>
      </c>
      <c r="N497" s="94">
        <v>0</v>
      </c>
      <c r="O497" s="94">
        <v>0</v>
      </c>
      <c r="P497" s="94">
        <v>0</v>
      </c>
      <c r="Q497" s="94">
        <v>0</v>
      </c>
      <c r="R497" s="94">
        <v>0</v>
      </c>
      <c r="S497" s="94">
        <v>0</v>
      </c>
      <c r="T497" s="94">
        <v>0</v>
      </c>
      <c r="U497" s="94">
        <v>0</v>
      </c>
      <c r="V497" s="94">
        <v>0</v>
      </c>
      <c r="W497" s="94">
        <v>0</v>
      </c>
      <c r="X497" s="94">
        <v>0</v>
      </c>
      <c r="Y497" s="94">
        <v>0</v>
      </c>
      <c r="Z497" s="94"/>
      <c r="AA497" s="9"/>
      <c r="AB497" s="9"/>
      <c r="AC497" s="9"/>
      <c r="AD497" s="9"/>
      <c r="AE497" s="12" t="s">
        <v>948</v>
      </c>
      <c r="AF497" s="8" t="s">
        <v>1128</v>
      </c>
      <c r="AG497" t="str">
        <f>VLOOKUP(OfficeForms.Table[[#This Row],[Nama Proyek]],'Nama Proyek'!$D$2:$G$29,4,0)</f>
        <v>-0.95259625,116.71704453</v>
      </c>
      <c r="AH497" s="5"/>
      <c r="AI497" s="5"/>
      <c r="AJ497" s="5"/>
      <c r="AK497" s="5" t="s">
        <v>1129</v>
      </c>
    </row>
    <row r="498" spans="1:37" ht="15" hidden="1" customHeight="1">
      <c r="A498" s="30">
        <v>491</v>
      </c>
      <c r="B498" s="110">
        <v>44953</v>
      </c>
      <c r="C498" s="28">
        <f>B498</f>
        <v>44953</v>
      </c>
      <c r="D498" s="8" t="s">
        <v>37</v>
      </c>
      <c r="E498" s="8" t="s">
        <v>773</v>
      </c>
      <c r="F498" s="5" t="str">
        <f>E498</f>
        <v>Rasendriya Ramanda Darettamarlan</v>
      </c>
      <c r="G498" s="38" t="s">
        <v>714</v>
      </c>
      <c r="H498" s="106"/>
      <c r="I498" s="95">
        <v>0</v>
      </c>
      <c r="J498" s="95">
        <v>0</v>
      </c>
      <c r="K498" s="95">
        <v>0</v>
      </c>
      <c r="L498" s="95">
        <v>0</v>
      </c>
      <c r="M498" s="95">
        <v>0</v>
      </c>
      <c r="N498" s="95">
        <v>0</v>
      </c>
      <c r="O498" s="95">
        <v>0</v>
      </c>
      <c r="P498" s="95">
        <v>0</v>
      </c>
      <c r="Q498" s="95">
        <v>0</v>
      </c>
      <c r="R498" s="95">
        <v>0</v>
      </c>
      <c r="S498" s="95">
        <v>0</v>
      </c>
      <c r="T498" s="95">
        <v>0</v>
      </c>
      <c r="U498" s="95">
        <v>0</v>
      </c>
      <c r="V498" s="95">
        <v>0</v>
      </c>
      <c r="W498" s="95">
        <v>0</v>
      </c>
      <c r="X498" s="95">
        <v>0</v>
      </c>
      <c r="Y498" s="95">
        <v>0</v>
      </c>
      <c r="Z498" s="95"/>
      <c r="AA498" s="8"/>
      <c r="AB498" s="8"/>
      <c r="AC498" s="8"/>
      <c r="AD498" s="8"/>
      <c r="AE498" s="11" t="s">
        <v>786</v>
      </c>
      <c r="AF498" s="8" t="s">
        <v>1130</v>
      </c>
      <c r="AG498" t="str">
        <f>VLOOKUP(OfficeForms.Table[[#This Row],[Nama Proyek]],'Nama Proyek'!$D$2:$G$29,4,0)</f>
        <v>-0.95259625,116.71704453</v>
      </c>
      <c r="AH498" s="5"/>
      <c r="AI498" s="5"/>
      <c r="AJ498" s="5"/>
      <c r="AK498" s="5" t="s">
        <v>1131</v>
      </c>
    </row>
    <row r="499" spans="1:37" ht="15" hidden="1" customHeight="1">
      <c r="A499" s="30">
        <v>560</v>
      </c>
      <c r="B499" s="111">
        <v>44953</v>
      </c>
      <c r="C499" s="29">
        <f>B499</f>
        <v>44953</v>
      </c>
      <c r="D499" s="8" t="s">
        <v>37</v>
      </c>
      <c r="E499" s="8" t="s">
        <v>773</v>
      </c>
      <c r="F499" s="5" t="str">
        <f>E499</f>
        <v>Rasendriya Ramanda Darettamarlan</v>
      </c>
      <c r="G499" s="33" t="s">
        <v>714</v>
      </c>
      <c r="H499" s="104"/>
      <c r="I499" s="95">
        <v>0</v>
      </c>
      <c r="J499" s="95">
        <v>0</v>
      </c>
      <c r="K499" s="95">
        <v>0</v>
      </c>
      <c r="L499" s="95">
        <v>0</v>
      </c>
      <c r="M499" s="95">
        <v>0</v>
      </c>
      <c r="N499" s="95">
        <v>0</v>
      </c>
      <c r="O499" s="95">
        <v>0</v>
      </c>
      <c r="P499" s="95">
        <v>0</v>
      </c>
      <c r="Q499" s="95">
        <v>0</v>
      </c>
      <c r="R499" s="95">
        <v>0</v>
      </c>
      <c r="S499" s="95">
        <v>0</v>
      </c>
      <c r="T499" s="95">
        <v>0</v>
      </c>
      <c r="U499" s="95">
        <v>0</v>
      </c>
      <c r="V499" s="95">
        <v>0</v>
      </c>
      <c r="W499" s="95">
        <v>0</v>
      </c>
      <c r="X499" s="95">
        <v>0</v>
      </c>
      <c r="Y499" s="95">
        <v>0</v>
      </c>
      <c r="Z499" s="95"/>
      <c r="AA499" s="8"/>
      <c r="AB499" s="8"/>
      <c r="AC499" s="8"/>
      <c r="AD499" s="8"/>
      <c r="AE499" s="11" t="s">
        <v>786</v>
      </c>
      <c r="AF499" s="41" t="s">
        <v>1132</v>
      </c>
      <c r="AG499" t="str">
        <f>VLOOKUP(OfficeForms.Table[[#This Row],[Nama Proyek]],'Nama Proyek'!$D$2:$G$29,4,0)</f>
        <v>-0.95259625,116.71704453</v>
      </c>
      <c r="AH499" s="5"/>
      <c r="AI499" s="5"/>
      <c r="AJ499" s="5"/>
      <c r="AK499" s="5" t="s">
        <v>1133</v>
      </c>
    </row>
    <row r="500" spans="1:37" ht="15" hidden="1" customHeight="1">
      <c r="A500" s="30">
        <v>562</v>
      </c>
      <c r="B500" s="111">
        <v>44953</v>
      </c>
      <c r="C500" s="29">
        <f>B500</f>
        <v>44953</v>
      </c>
      <c r="D500" s="9" t="s">
        <v>37</v>
      </c>
      <c r="E500" s="9" t="s">
        <v>773</v>
      </c>
      <c r="F500" s="5" t="str">
        <f>E500</f>
        <v>Rasendriya Ramanda Darettamarlan</v>
      </c>
      <c r="G500" s="33" t="s">
        <v>714</v>
      </c>
      <c r="H500" s="104"/>
      <c r="I500" s="94">
        <v>0</v>
      </c>
      <c r="J500" s="94">
        <v>0</v>
      </c>
      <c r="K500" s="94">
        <v>0</v>
      </c>
      <c r="L500" s="94">
        <v>0</v>
      </c>
      <c r="M500" s="94">
        <v>0</v>
      </c>
      <c r="N500" s="94">
        <v>0</v>
      </c>
      <c r="O500" s="94">
        <v>0</v>
      </c>
      <c r="P500" s="94">
        <v>0</v>
      </c>
      <c r="Q500" s="94">
        <v>0</v>
      </c>
      <c r="R500" s="94">
        <v>0</v>
      </c>
      <c r="S500" s="94">
        <v>0</v>
      </c>
      <c r="T500" s="94">
        <v>0</v>
      </c>
      <c r="U500" s="94">
        <v>0</v>
      </c>
      <c r="V500" s="94">
        <v>0</v>
      </c>
      <c r="W500" s="94">
        <v>0</v>
      </c>
      <c r="X500" s="94">
        <v>0</v>
      </c>
      <c r="Y500" s="94">
        <v>0</v>
      </c>
      <c r="Z500" s="94"/>
      <c r="AA500" s="9"/>
      <c r="AB500" s="9"/>
      <c r="AC500" s="9"/>
      <c r="AD500" s="9"/>
      <c r="AE500" s="12" t="s">
        <v>948</v>
      </c>
      <c r="AF500" s="8" t="s">
        <v>1134</v>
      </c>
      <c r="AG500" t="str">
        <f>VLOOKUP(OfficeForms.Table[[#This Row],[Nama Proyek]],'Nama Proyek'!$D$2:$G$29,4,0)</f>
        <v>-0.95259625,116.71704453</v>
      </c>
      <c r="AH500" s="5"/>
      <c r="AI500" s="5"/>
      <c r="AJ500" s="5"/>
      <c r="AK500" s="5" t="s">
        <v>1135</v>
      </c>
    </row>
    <row r="501" spans="1:37" ht="15" hidden="1" customHeight="1">
      <c r="A501">
        <v>563</v>
      </c>
      <c r="B501" s="110">
        <v>44953</v>
      </c>
      <c r="C501" s="28">
        <f>B501</f>
        <v>44953</v>
      </c>
      <c r="D501" s="8" t="s">
        <v>37</v>
      </c>
      <c r="E501" s="8" t="s">
        <v>687</v>
      </c>
      <c r="F501" s="5" t="str">
        <f>E501</f>
        <v>Andri Julio Hermawan</v>
      </c>
      <c r="G501" s="39" t="s">
        <v>750</v>
      </c>
      <c r="H501" s="106"/>
      <c r="I501" s="95">
        <v>0</v>
      </c>
      <c r="J501" s="95">
        <v>0</v>
      </c>
      <c r="K501" s="95">
        <v>0</v>
      </c>
      <c r="L501" s="95">
        <v>0</v>
      </c>
      <c r="M501" s="95">
        <v>0</v>
      </c>
      <c r="N501" s="95">
        <v>0</v>
      </c>
      <c r="O501" s="95">
        <v>0</v>
      </c>
      <c r="P501" s="95">
        <v>0</v>
      </c>
      <c r="Q501" s="95">
        <v>0</v>
      </c>
      <c r="R501" s="95">
        <v>0</v>
      </c>
      <c r="S501" s="95">
        <v>0</v>
      </c>
      <c r="T501" s="95">
        <v>0</v>
      </c>
      <c r="U501" s="95">
        <v>0</v>
      </c>
      <c r="V501" s="95">
        <v>0</v>
      </c>
      <c r="W501" s="95">
        <v>0</v>
      </c>
      <c r="X501" s="95">
        <v>0</v>
      </c>
      <c r="Y501" s="95">
        <v>0</v>
      </c>
      <c r="Z501" s="95"/>
      <c r="AA501" s="8"/>
      <c r="AB501" s="8"/>
      <c r="AC501" s="8"/>
      <c r="AD501" s="8"/>
      <c r="AE501" s="11" t="s">
        <v>786</v>
      </c>
      <c r="AF501" s="17"/>
      <c r="AG501" t="str">
        <f>VLOOKUP(OfficeForms.Table[[#This Row],[Nama Proyek]],'Nama Proyek'!$D$2:$G$29,4,0)</f>
        <v>-1.10415341,116.73424356</v>
      </c>
      <c r="AH501" s="5"/>
      <c r="AI501" s="5"/>
      <c r="AJ501" s="5"/>
      <c r="AK501" s="5" t="s">
        <v>1136</v>
      </c>
    </row>
    <row r="502" spans="1:37" ht="15" hidden="1" customHeight="1">
      <c r="A502">
        <v>566</v>
      </c>
      <c r="B502" s="111">
        <v>44953</v>
      </c>
      <c r="C502" s="29">
        <f>B502</f>
        <v>44953</v>
      </c>
      <c r="D502" s="9" t="s">
        <v>37</v>
      </c>
      <c r="E502" s="9" t="s">
        <v>687</v>
      </c>
      <c r="F502" s="5" t="str">
        <f>E502</f>
        <v>Andri Julio Hermawan</v>
      </c>
      <c r="G502" s="22" t="s">
        <v>750</v>
      </c>
      <c r="H502" s="104"/>
      <c r="I502" s="94">
        <v>0</v>
      </c>
      <c r="J502" s="94">
        <v>0</v>
      </c>
      <c r="K502" s="94">
        <v>0</v>
      </c>
      <c r="L502" s="94">
        <v>0</v>
      </c>
      <c r="M502" s="94">
        <v>0</v>
      </c>
      <c r="N502" s="94">
        <v>0</v>
      </c>
      <c r="O502" s="94">
        <v>0</v>
      </c>
      <c r="P502" s="94">
        <v>0</v>
      </c>
      <c r="Q502" s="94">
        <v>0</v>
      </c>
      <c r="R502" s="94">
        <v>0</v>
      </c>
      <c r="S502" s="94">
        <v>0</v>
      </c>
      <c r="T502" s="94">
        <v>0</v>
      </c>
      <c r="U502" s="94">
        <v>0</v>
      </c>
      <c r="V502" s="94">
        <v>0</v>
      </c>
      <c r="W502" s="94">
        <v>0</v>
      </c>
      <c r="X502" s="94">
        <v>0</v>
      </c>
      <c r="Y502" s="94">
        <v>0</v>
      </c>
      <c r="Z502" s="94"/>
      <c r="AA502" s="9"/>
      <c r="AB502" s="9"/>
      <c r="AC502" s="9"/>
      <c r="AD502" s="9"/>
      <c r="AE502" s="18">
        <v>44907</v>
      </c>
      <c r="AF502" s="15" t="s">
        <v>1137</v>
      </c>
      <c r="AG502" t="str">
        <f>VLOOKUP(OfficeForms.Table[[#This Row],[Nama Proyek]],'Nama Proyek'!$D$2:$G$29,4,0)</f>
        <v>-1.10415341,116.73424356</v>
      </c>
      <c r="AH502" s="5"/>
      <c r="AI502" s="5"/>
      <c r="AJ502" s="5"/>
      <c r="AK502" s="5" t="s">
        <v>1138</v>
      </c>
    </row>
    <row r="503" spans="1:37" ht="15" hidden="1" customHeight="1">
      <c r="A503" s="30">
        <v>567</v>
      </c>
      <c r="B503" s="110">
        <v>44953</v>
      </c>
      <c r="C503" s="28">
        <f>B503</f>
        <v>44953</v>
      </c>
      <c r="D503" s="8" t="s">
        <v>37</v>
      </c>
      <c r="E503" s="8" t="s">
        <v>687</v>
      </c>
      <c r="F503" s="5" t="str">
        <f>E503</f>
        <v>Andri Julio Hermawan</v>
      </c>
      <c r="G503" s="39" t="s">
        <v>750</v>
      </c>
      <c r="H503" s="106"/>
      <c r="I503" s="95">
        <v>0</v>
      </c>
      <c r="J503" s="95">
        <v>0</v>
      </c>
      <c r="K503" s="95">
        <v>0</v>
      </c>
      <c r="L503" s="95">
        <v>0</v>
      </c>
      <c r="M503" s="95">
        <v>0</v>
      </c>
      <c r="N503" s="95">
        <v>0</v>
      </c>
      <c r="O503" s="95">
        <v>0</v>
      </c>
      <c r="P503" s="95">
        <v>0</v>
      </c>
      <c r="Q503" s="95">
        <v>0</v>
      </c>
      <c r="R503" s="95">
        <v>0</v>
      </c>
      <c r="S503" s="95">
        <v>0</v>
      </c>
      <c r="T503" s="95">
        <v>0</v>
      </c>
      <c r="U503" s="95">
        <v>0</v>
      </c>
      <c r="V503" s="95">
        <v>0</v>
      </c>
      <c r="W503" s="95">
        <v>0</v>
      </c>
      <c r="X503" s="95">
        <v>0</v>
      </c>
      <c r="Y503" s="95">
        <v>0</v>
      </c>
      <c r="Z503" s="95"/>
      <c r="AA503" s="8"/>
      <c r="AB503" s="15"/>
      <c r="AC503" s="15"/>
      <c r="AD503" s="15"/>
      <c r="AE503" s="16" t="s">
        <v>1139</v>
      </c>
      <c r="AF503" s="9" t="s">
        <v>1140</v>
      </c>
      <c r="AG503" t="str">
        <f>VLOOKUP(OfficeForms.Table[[#This Row],[Nama Proyek]],'Nama Proyek'!$D$2:$G$29,4,0)</f>
        <v>-1.10415341,116.73424356</v>
      </c>
      <c r="AH503" s="5"/>
      <c r="AI503" s="5"/>
      <c r="AJ503" s="5"/>
      <c r="AK503" s="5" t="s">
        <v>1141</v>
      </c>
    </row>
    <row r="504" spans="1:37" ht="15" hidden="1" customHeight="1">
      <c r="A504" s="31">
        <v>701</v>
      </c>
      <c r="B504" s="110">
        <v>44953</v>
      </c>
      <c r="C504" s="28">
        <f>B504</f>
        <v>44953</v>
      </c>
      <c r="D504" s="19" t="s">
        <v>37</v>
      </c>
      <c r="E504" s="19" t="s">
        <v>75</v>
      </c>
      <c r="F504" s="5" t="str">
        <f>E504</f>
        <v>Banyu Purwita</v>
      </c>
      <c r="G504" s="55" t="s">
        <v>76</v>
      </c>
      <c r="H504" s="106"/>
      <c r="I504" s="96">
        <v>0</v>
      </c>
      <c r="J504" s="96">
        <v>0</v>
      </c>
      <c r="K504" s="96">
        <v>0</v>
      </c>
      <c r="L504" s="96">
        <v>0</v>
      </c>
      <c r="M504" s="96">
        <v>0</v>
      </c>
      <c r="N504" s="96">
        <v>0</v>
      </c>
      <c r="O504" s="96">
        <v>0</v>
      </c>
      <c r="P504" s="96">
        <v>0</v>
      </c>
      <c r="Q504" s="96">
        <v>0</v>
      </c>
      <c r="R504" s="96">
        <v>0</v>
      </c>
      <c r="S504" s="96">
        <v>0</v>
      </c>
      <c r="T504" s="96">
        <v>0</v>
      </c>
      <c r="U504" s="96">
        <v>0</v>
      </c>
      <c r="V504" s="96">
        <v>0</v>
      </c>
      <c r="W504" s="96">
        <v>0</v>
      </c>
      <c r="X504" s="96">
        <v>0</v>
      </c>
      <c r="Y504" s="96">
        <v>0</v>
      </c>
      <c r="Z504" s="96"/>
      <c r="AA504" s="19"/>
      <c r="AB504" s="19"/>
      <c r="AC504" s="19"/>
      <c r="AD504" s="19"/>
      <c r="AE504" s="13" t="s">
        <v>1142</v>
      </c>
      <c r="AF504" s="17"/>
      <c r="AG504" t="str">
        <f>VLOOKUP(OfficeForms.Table[[#This Row],[Nama Proyek]],'Nama Proyek'!$D$2:$G$29,4,0)</f>
        <v>-2.95293103,104.75455094</v>
      </c>
      <c r="AH504" s="5"/>
      <c r="AI504" s="5"/>
      <c r="AJ504" s="5"/>
      <c r="AK504" s="5" t="s">
        <v>1143</v>
      </c>
    </row>
    <row r="505" spans="1:37" ht="15" hidden="1" customHeight="1">
      <c r="A505" s="31">
        <v>704</v>
      </c>
      <c r="B505" s="111">
        <v>44953</v>
      </c>
      <c r="C505" s="29">
        <f>B505</f>
        <v>44953</v>
      </c>
      <c r="D505" s="8" t="s">
        <v>37</v>
      </c>
      <c r="E505" s="8" t="s">
        <v>75</v>
      </c>
      <c r="F505" s="5" t="str">
        <f>E505</f>
        <v>Banyu Purwita</v>
      </c>
      <c r="G505" s="54" t="s">
        <v>76</v>
      </c>
      <c r="H505" s="104"/>
      <c r="I505" s="95">
        <v>0</v>
      </c>
      <c r="J505" s="95">
        <v>0</v>
      </c>
      <c r="K505" s="95">
        <v>0</v>
      </c>
      <c r="L505" s="95">
        <v>0</v>
      </c>
      <c r="M505" s="95">
        <v>0</v>
      </c>
      <c r="N505" s="95">
        <v>0</v>
      </c>
      <c r="O505" s="95">
        <v>0</v>
      </c>
      <c r="P505" s="95">
        <v>0</v>
      </c>
      <c r="Q505" s="95">
        <v>0</v>
      </c>
      <c r="R505" s="95">
        <v>0</v>
      </c>
      <c r="S505" s="95">
        <v>0</v>
      </c>
      <c r="T505" s="95">
        <v>0</v>
      </c>
      <c r="U505" s="95">
        <v>0</v>
      </c>
      <c r="V505" s="95">
        <v>0</v>
      </c>
      <c r="W505" s="95">
        <v>0</v>
      </c>
      <c r="X505" s="95">
        <v>0</v>
      </c>
      <c r="Y505" s="95">
        <v>0</v>
      </c>
      <c r="Z505" s="95"/>
      <c r="AA505" s="8" t="s">
        <v>1144</v>
      </c>
      <c r="AB505" s="8" t="s">
        <v>1144</v>
      </c>
      <c r="AC505" s="15" t="s">
        <v>1144</v>
      </c>
      <c r="AD505" s="15" t="s">
        <v>1144</v>
      </c>
      <c r="AE505" s="16"/>
      <c r="AF505" s="48" t="s">
        <v>1145</v>
      </c>
      <c r="AG505" t="str">
        <f>VLOOKUP(OfficeForms.Table[[#This Row],[Nama Proyek]],'Nama Proyek'!$D$2:$G$29,4,0)</f>
        <v>-2.95293103,104.75455094</v>
      </c>
      <c r="AH505" s="5"/>
      <c r="AI505" s="5"/>
      <c r="AJ505" s="5"/>
      <c r="AK505" s="5" t="s">
        <v>1146</v>
      </c>
    </row>
    <row r="506" spans="1:37" ht="15" hidden="1" customHeight="1">
      <c r="A506">
        <v>209</v>
      </c>
      <c r="B506" s="110">
        <v>44956</v>
      </c>
      <c r="C506" s="28">
        <f>B506</f>
        <v>44956</v>
      </c>
      <c r="D506" s="19" t="s">
        <v>37</v>
      </c>
      <c r="E506" s="19" t="s">
        <v>54</v>
      </c>
      <c r="F506" s="5" t="str">
        <f>E506</f>
        <v>Haryo Widiandoko</v>
      </c>
      <c r="G506" s="19" t="s">
        <v>55</v>
      </c>
      <c r="H506" s="106">
        <v>44951</v>
      </c>
      <c r="I506" s="96">
        <v>75.23</v>
      </c>
      <c r="J506" s="96">
        <v>76.338999999999999</v>
      </c>
      <c r="K506" s="96">
        <v>0.112</v>
      </c>
      <c r="L506" s="96">
        <v>0.128</v>
      </c>
      <c r="M506" s="96">
        <v>24.023</v>
      </c>
      <c r="N506" s="96">
        <v>2.08</v>
      </c>
      <c r="O506" s="96">
        <v>2.4900000000000002</v>
      </c>
      <c r="P506" s="96">
        <v>5.1999999999999998E-2</v>
      </c>
      <c r="Q506" s="96">
        <v>0.63300000000000001</v>
      </c>
      <c r="R506" s="96">
        <v>11.311999999999999</v>
      </c>
      <c r="S506" s="96">
        <v>31.395</v>
      </c>
      <c r="T506" s="96">
        <v>0.61199999999999999</v>
      </c>
      <c r="U506" s="96">
        <v>1.415</v>
      </c>
      <c r="V506" s="96">
        <v>3.1E-2</v>
      </c>
      <c r="W506" s="96">
        <v>0</v>
      </c>
      <c r="X506" s="96">
        <v>0.73899999999999999</v>
      </c>
      <c r="Y506" s="96">
        <v>0</v>
      </c>
      <c r="Z506" s="96"/>
      <c r="AA506" s="19"/>
      <c r="AB506" s="42"/>
      <c r="AC506" s="19"/>
      <c r="AD506" s="19"/>
      <c r="AE506" s="24"/>
      <c r="AF506" s="9"/>
      <c r="AG506" t="str">
        <f>VLOOKUP(OfficeForms.Table[[#This Row],[Nama Proyek]],'Nama Proyek'!$D$2:$G$29,4,0)</f>
        <v>-6.42873464,107.19897003</v>
      </c>
      <c r="AH506" s="5"/>
      <c r="AI506" s="5"/>
      <c r="AJ506" s="5"/>
      <c r="AK506" s="5" t="s">
        <v>1147</v>
      </c>
    </row>
    <row r="507" spans="1:37" ht="15" hidden="1" customHeight="1">
      <c r="A507">
        <v>218</v>
      </c>
      <c r="B507" s="111">
        <v>44956</v>
      </c>
      <c r="C507" s="29">
        <f>B507</f>
        <v>44956</v>
      </c>
      <c r="D507" s="9" t="s">
        <v>37</v>
      </c>
      <c r="E507" s="9" t="s">
        <v>51</v>
      </c>
      <c r="F507" s="5" t="str">
        <f>E507</f>
        <v>Riezky Ibnu Prasetyo</v>
      </c>
      <c r="G507" s="8" t="s">
        <v>52</v>
      </c>
      <c r="H507" s="104">
        <v>44951</v>
      </c>
      <c r="I507" s="94">
        <v>92.856999999999999</v>
      </c>
      <c r="J507" s="94">
        <v>100</v>
      </c>
      <c r="K507" s="94">
        <v>0</v>
      </c>
      <c r="L507" s="94">
        <v>0</v>
      </c>
      <c r="M507" s="94">
        <v>0</v>
      </c>
      <c r="N507" s="94">
        <v>0</v>
      </c>
      <c r="O507" s="94">
        <v>0</v>
      </c>
      <c r="P507" s="94">
        <v>0</v>
      </c>
      <c r="Q507" s="94">
        <v>2.1999999999999999E-2</v>
      </c>
      <c r="R507" s="94">
        <v>0.05</v>
      </c>
      <c r="S507" s="94">
        <v>2.1339999999999999</v>
      </c>
      <c r="T507" s="94">
        <v>0</v>
      </c>
      <c r="U507" s="94">
        <v>3.4000000000000002E-2</v>
      </c>
      <c r="V507" s="94">
        <v>5.8000000000000003E-2</v>
      </c>
      <c r="W507" s="94">
        <v>0.06</v>
      </c>
      <c r="X507" s="94">
        <v>0</v>
      </c>
      <c r="Y507" s="94">
        <v>0</v>
      </c>
      <c r="Z507" s="94"/>
      <c r="AA507" s="9"/>
      <c r="AB507" s="9"/>
      <c r="AC507" s="9"/>
      <c r="AD507" s="9"/>
      <c r="AE507" s="12"/>
      <c r="AF507" s="19" t="s">
        <v>1148</v>
      </c>
      <c r="AG507" t="str">
        <f>VLOOKUP(OfficeForms.Table[[#This Row],[Nama Proyek]],'Nama Proyek'!$D$2:$G$29,4,0)</f>
        <v>-6.13491053,106.93675986</v>
      </c>
      <c r="AH507" s="5"/>
      <c r="AI507" s="5"/>
      <c r="AJ507" s="5"/>
      <c r="AK507" s="5" t="s">
        <v>1149</v>
      </c>
    </row>
    <row r="508" spans="1:37" ht="15" hidden="1" customHeight="1">
      <c r="A508" s="31">
        <v>929</v>
      </c>
      <c r="B508" s="110">
        <v>44956</v>
      </c>
      <c r="C508" s="28">
        <f>B508</f>
        <v>44956</v>
      </c>
      <c r="D508" s="8" t="s">
        <v>37</v>
      </c>
      <c r="E508" s="8" t="s">
        <v>1109</v>
      </c>
      <c r="F508" s="5" t="str">
        <f>E508</f>
        <v>Anzalar Rahman</v>
      </c>
      <c r="G508" s="38" t="s">
        <v>714</v>
      </c>
      <c r="H508" s="105">
        <v>44951</v>
      </c>
      <c r="I508" s="95">
        <v>13.933</v>
      </c>
      <c r="J508" s="95">
        <v>12.861000000000001</v>
      </c>
      <c r="K508" s="95">
        <v>0</v>
      </c>
      <c r="L508" s="95">
        <v>4.181</v>
      </c>
      <c r="M508" s="95">
        <v>0</v>
      </c>
      <c r="N508" s="95">
        <v>4.181</v>
      </c>
      <c r="O508" s="95">
        <v>0</v>
      </c>
      <c r="P508" s="95">
        <v>4.181</v>
      </c>
      <c r="Q508" s="95">
        <v>0</v>
      </c>
      <c r="R508" s="95">
        <v>0</v>
      </c>
      <c r="S508" s="95">
        <v>0</v>
      </c>
      <c r="T508" s="95">
        <v>1.796</v>
      </c>
      <c r="U508" s="95">
        <v>0</v>
      </c>
      <c r="V508" s="95">
        <v>0</v>
      </c>
      <c r="W508" s="95">
        <v>0</v>
      </c>
      <c r="X508" s="95">
        <v>0</v>
      </c>
      <c r="Y508" s="95">
        <v>0</v>
      </c>
      <c r="Z508" s="95"/>
      <c r="AA508" s="8"/>
      <c r="AB508" s="8"/>
      <c r="AC508" s="8"/>
      <c r="AD508" s="8"/>
      <c r="AE508" s="11"/>
      <c r="AF508" s="9"/>
      <c r="AG508" t="str">
        <f>VLOOKUP(OfficeForms.Table[[#This Row],[Nama Proyek]],'Nama Proyek'!$D$2:$G$29,4,0)</f>
        <v>-0.95259625,116.71704453</v>
      </c>
      <c r="AH508" s="5"/>
      <c r="AI508" s="5"/>
      <c r="AJ508" s="5"/>
      <c r="AK508" s="5" t="s">
        <v>1150</v>
      </c>
    </row>
    <row r="509" spans="1:37" ht="15" hidden="1" customHeight="1">
      <c r="A509">
        <v>597</v>
      </c>
      <c r="B509" s="110">
        <v>44956</v>
      </c>
      <c r="C509" s="28">
        <f>B509</f>
        <v>44956</v>
      </c>
      <c r="D509" s="8" t="s">
        <v>37</v>
      </c>
      <c r="E509" s="8" t="s">
        <v>923</v>
      </c>
      <c r="F509" s="5" t="str">
        <f>E509</f>
        <v>Nizar Tarmidzi</v>
      </c>
      <c r="G509" s="39" t="s">
        <v>924</v>
      </c>
      <c r="H509" s="105">
        <v>44954</v>
      </c>
      <c r="I509" s="95">
        <v>5.0289999999999999</v>
      </c>
      <c r="J509" s="95">
        <v>9.4949999999999992</v>
      </c>
      <c r="K509" s="95">
        <v>1.0900000000000001</v>
      </c>
      <c r="L509" s="95">
        <v>2.06</v>
      </c>
      <c r="M509" s="95">
        <v>0</v>
      </c>
      <c r="N509" s="95">
        <v>0.1</v>
      </c>
      <c r="O509" s="95">
        <v>0</v>
      </c>
      <c r="P509" s="95">
        <v>0.46</v>
      </c>
      <c r="Q509" s="95">
        <v>0</v>
      </c>
      <c r="R509" s="95">
        <v>0</v>
      </c>
      <c r="S509" s="95">
        <v>0</v>
      </c>
      <c r="T509" s="95">
        <v>0</v>
      </c>
      <c r="U509" s="95">
        <v>0</v>
      </c>
      <c r="V509" s="95">
        <v>0</v>
      </c>
      <c r="W509" s="95">
        <v>0</v>
      </c>
      <c r="X509" s="95">
        <v>0</v>
      </c>
      <c r="Y509" s="95">
        <v>0</v>
      </c>
      <c r="Z509" s="95"/>
      <c r="AA509" s="8"/>
      <c r="AB509" s="8"/>
      <c r="AC509" s="8"/>
      <c r="AD509" s="8"/>
      <c r="AE509" s="11"/>
      <c r="AF509" s="40" t="s">
        <v>1151</v>
      </c>
      <c r="AG509" t="str">
        <f>VLOOKUP(OfficeForms.Table[[#This Row],[Nama Proyek]],'Nama Proyek'!$D$2:$G$40,4,0)</f>
        <v>-3.25078511,134.87791156</v>
      </c>
      <c r="AH509" s="5"/>
      <c r="AI509" s="5"/>
      <c r="AJ509" s="5"/>
      <c r="AK509" s="5" t="s">
        <v>1152</v>
      </c>
    </row>
    <row r="510" spans="1:37" ht="15" hidden="1" customHeight="1">
      <c r="A510" s="50">
        <v>580</v>
      </c>
      <c r="B510" s="111">
        <v>44956</v>
      </c>
      <c r="C510" s="29">
        <f>B510</f>
        <v>44956</v>
      </c>
      <c r="D510" s="9" t="s">
        <v>37</v>
      </c>
      <c r="E510" s="9" t="s">
        <v>734</v>
      </c>
      <c r="F510" s="5" t="str">
        <f>E510</f>
        <v>Aldian Winata</v>
      </c>
      <c r="G510" s="9" t="s">
        <v>735</v>
      </c>
      <c r="H510" s="104">
        <v>44955</v>
      </c>
      <c r="I510" s="94">
        <v>20.495999999999999</v>
      </c>
      <c r="J510" s="94">
        <v>33.856000000000002</v>
      </c>
      <c r="K510" s="94">
        <v>2.2189999999999999</v>
      </c>
      <c r="L510" s="94">
        <v>14.228999999999999</v>
      </c>
      <c r="M510" s="94">
        <v>0</v>
      </c>
      <c r="N510" s="94">
        <v>0</v>
      </c>
      <c r="O510" s="94">
        <v>2.4E-2</v>
      </c>
      <c r="P510" s="94">
        <v>0</v>
      </c>
      <c r="Q510" s="94">
        <v>0</v>
      </c>
      <c r="R510" s="94">
        <v>0</v>
      </c>
      <c r="S510" s="94">
        <v>0</v>
      </c>
      <c r="T510" s="94">
        <v>0</v>
      </c>
      <c r="U510" s="94">
        <v>0</v>
      </c>
      <c r="V510" s="94">
        <v>0</v>
      </c>
      <c r="W510" s="94">
        <v>0</v>
      </c>
      <c r="X510" s="94">
        <v>0</v>
      </c>
      <c r="Y510" s="94">
        <v>0</v>
      </c>
      <c r="Z510" s="94"/>
      <c r="AA510" s="9"/>
      <c r="AB510" s="9"/>
      <c r="AC510" s="9"/>
      <c r="AD510" s="9"/>
      <c r="AE510" s="12"/>
      <c r="AF510" s="15" t="s">
        <v>1153</v>
      </c>
      <c r="AG510" t="str">
        <f>VLOOKUP(OfficeForms.Table[[#This Row],[Nama Proyek]],'Nama Proyek'!$D$2:$G$40,4,0)</f>
        <v>-0.88562397,119.85928375</v>
      </c>
      <c r="AH510" s="5"/>
      <c r="AI510" s="5"/>
      <c r="AJ510" s="5"/>
      <c r="AK510" s="5" t="s">
        <v>1154</v>
      </c>
    </row>
    <row r="511" spans="1:37" ht="15" hidden="1" customHeight="1">
      <c r="A511" s="30">
        <v>588</v>
      </c>
      <c r="B511" s="111">
        <v>44956</v>
      </c>
      <c r="C511" s="29">
        <f>B511</f>
        <v>44956</v>
      </c>
      <c r="D511" s="9" t="s">
        <v>37</v>
      </c>
      <c r="E511" s="9" t="s">
        <v>57</v>
      </c>
      <c r="F511" s="5" t="str">
        <f>E511</f>
        <v>Alfian Budi Prasetya</v>
      </c>
      <c r="G511" s="9" t="s">
        <v>58</v>
      </c>
      <c r="H511" s="104">
        <v>44955</v>
      </c>
      <c r="I511" s="94">
        <v>25.989000000000001</v>
      </c>
      <c r="J511" s="94">
        <v>65.09</v>
      </c>
      <c r="K511" s="94">
        <v>0</v>
      </c>
      <c r="L511" s="94">
        <v>0.35699999999999998</v>
      </c>
      <c r="M511" s="94">
        <v>0.26200000000000001</v>
      </c>
      <c r="N511" s="94">
        <v>13.222</v>
      </c>
      <c r="O511" s="94">
        <v>6.819</v>
      </c>
      <c r="P511" s="94">
        <v>0.20499999999999999</v>
      </c>
      <c r="Q511" s="94">
        <v>1.1859999999999999</v>
      </c>
      <c r="R511" s="94">
        <v>0.32400000000000001</v>
      </c>
      <c r="S511" s="94">
        <v>0</v>
      </c>
      <c r="T511" s="94">
        <v>0.24</v>
      </c>
      <c r="U511" s="94">
        <v>0</v>
      </c>
      <c r="V511" s="94">
        <v>0</v>
      </c>
      <c r="W511" s="94">
        <v>0</v>
      </c>
      <c r="X511" s="94">
        <v>0</v>
      </c>
      <c r="Y511" s="94">
        <v>0</v>
      </c>
      <c r="Z511" s="94"/>
      <c r="AA511" s="9"/>
      <c r="AB511" s="9"/>
      <c r="AC511" s="9"/>
      <c r="AD511" s="9"/>
      <c r="AE511" s="18"/>
      <c r="AF511" s="15" t="s">
        <v>1155</v>
      </c>
      <c r="AG511" t="str">
        <f>VLOOKUP(OfficeForms.Table[[#This Row],[Nama Proyek]],'Nama Proyek'!$D$2:$G$29,4,0)</f>
        <v>-6.12967558,107.07321308</v>
      </c>
      <c r="AH511" s="5"/>
      <c r="AI511" s="5"/>
      <c r="AJ511" s="5"/>
      <c r="AK511" s="5" t="s">
        <v>1156</v>
      </c>
    </row>
    <row r="512" spans="1:37" ht="15" hidden="1" customHeight="1">
      <c r="A512" s="31">
        <v>849</v>
      </c>
      <c r="B512" s="110">
        <v>44956</v>
      </c>
      <c r="C512" s="28">
        <f>B512</f>
        <v>44956</v>
      </c>
      <c r="D512" s="19" t="s">
        <v>37</v>
      </c>
      <c r="E512" s="19" t="s">
        <v>64</v>
      </c>
      <c r="F512" s="5" t="str">
        <f>E512</f>
        <v>Nizar Zulkarnain</v>
      </c>
      <c r="G512" s="19" t="s">
        <v>65</v>
      </c>
      <c r="H512" s="106">
        <v>44955</v>
      </c>
      <c r="I512" s="96">
        <v>74.905000000000001</v>
      </c>
      <c r="J512" s="96">
        <v>81.849999999999994</v>
      </c>
      <c r="K512" s="96">
        <v>65.819999999999993</v>
      </c>
      <c r="L512" s="96">
        <v>58.24</v>
      </c>
      <c r="M512" s="96">
        <v>82.63</v>
      </c>
      <c r="N512" s="96">
        <v>83.14</v>
      </c>
      <c r="O512" s="96">
        <v>51.41</v>
      </c>
      <c r="P512" s="96">
        <v>64.19</v>
      </c>
      <c r="Q512" s="96">
        <v>57.9</v>
      </c>
      <c r="R512" s="96">
        <v>55.6</v>
      </c>
      <c r="S512" s="96">
        <v>84.56</v>
      </c>
      <c r="T512" s="96">
        <v>89.92</v>
      </c>
      <c r="U512" s="96">
        <v>35.92</v>
      </c>
      <c r="V512" s="96">
        <v>18.399999999999999</v>
      </c>
      <c r="W512" s="96">
        <v>0</v>
      </c>
      <c r="X512" s="96">
        <v>98.36</v>
      </c>
      <c r="Y512" s="96">
        <v>41.02</v>
      </c>
      <c r="Z512" s="96"/>
      <c r="AA512" s="19"/>
      <c r="AB512" s="19"/>
      <c r="AC512" s="42"/>
      <c r="AD512" s="42"/>
      <c r="AE512" s="24"/>
      <c r="AF512" s="44" t="s">
        <v>1157</v>
      </c>
      <c r="AG512" t="str">
        <f>VLOOKUP(OfficeForms.Table[[#This Row],[Nama Proyek]],'Nama Proyek'!$D$2:$G$29,4,0)</f>
        <v>-6.35008011,107.02324233</v>
      </c>
      <c r="AH512" s="5"/>
      <c r="AI512" s="5"/>
      <c r="AJ512" s="5"/>
      <c r="AK512" s="5" t="s">
        <v>1158</v>
      </c>
    </row>
    <row r="513" spans="1:37" ht="15" hidden="1" customHeight="1">
      <c r="A513" s="30">
        <v>572</v>
      </c>
      <c r="B513" s="111">
        <v>44956</v>
      </c>
      <c r="C513" s="29">
        <f>B513</f>
        <v>44956</v>
      </c>
      <c r="D513" s="9" t="s">
        <v>37</v>
      </c>
      <c r="E513" s="9" t="s">
        <v>716</v>
      </c>
      <c r="F513" s="5" t="str">
        <f>E513</f>
        <v>Tri Suseno</v>
      </c>
      <c r="G513" s="15" t="s">
        <v>717</v>
      </c>
      <c r="H513" s="104">
        <v>44956</v>
      </c>
      <c r="I513" s="94">
        <v>97.441999999999993</v>
      </c>
      <c r="J513" s="94">
        <v>100</v>
      </c>
      <c r="K513" s="94">
        <v>0</v>
      </c>
      <c r="L513" s="94">
        <v>0</v>
      </c>
      <c r="M513" s="94">
        <v>2.7879999999999998</v>
      </c>
      <c r="N513" s="94">
        <v>0</v>
      </c>
      <c r="O513" s="94">
        <v>10.734</v>
      </c>
      <c r="P513" s="94">
        <v>0</v>
      </c>
      <c r="Q513" s="94">
        <v>15.523999999999999</v>
      </c>
      <c r="R513" s="94">
        <v>37.529000000000003</v>
      </c>
      <c r="S513" s="94">
        <v>21.623000000000001</v>
      </c>
      <c r="T513" s="94">
        <v>0</v>
      </c>
      <c r="U513" s="94">
        <v>8.1229999999999993</v>
      </c>
      <c r="V513" s="94">
        <v>0</v>
      </c>
      <c r="W513" s="94">
        <v>0</v>
      </c>
      <c r="X513" s="94">
        <v>0</v>
      </c>
      <c r="Y513" s="94">
        <v>0</v>
      </c>
      <c r="Z513" s="94"/>
      <c r="AA513" s="9"/>
      <c r="AB513" s="9"/>
      <c r="AC513" s="9"/>
      <c r="AD513" s="9"/>
      <c r="AE513" s="12"/>
      <c r="AF513" s="8"/>
      <c r="AG513" t="str">
        <f>VLOOKUP(OfficeForms.Table[[#This Row],[Nama Proyek]],'Nama Proyek'!$D$2:$G$29,4,0)</f>
        <v>3.76271056,115.88262689</v>
      </c>
      <c r="AH513" s="5"/>
      <c r="AI513" s="5"/>
      <c r="AJ513" s="5"/>
      <c r="AK513" s="5" t="s">
        <v>1159</v>
      </c>
    </row>
    <row r="514" spans="1:37" ht="15" hidden="1" customHeight="1">
      <c r="A514">
        <v>577</v>
      </c>
      <c r="B514" s="110">
        <v>44956</v>
      </c>
      <c r="C514" s="28">
        <f>B514</f>
        <v>44956</v>
      </c>
      <c r="D514" s="8" t="s">
        <v>37</v>
      </c>
      <c r="E514" s="8" t="s">
        <v>687</v>
      </c>
      <c r="F514" s="5" t="str">
        <f>E514</f>
        <v>Andri Julio Hermawan</v>
      </c>
      <c r="G514" s="23" t="s">
        <v>750</v>
      </c>
      <c r="H514" s="105">
        <v>44956</v>
      </c>
      <c r="I514" s="95">
        <v>8.1989999999999998</v>
      </c>
      <c r="J514" s="95">
        <v>7.968</v>
      </c>
      <c r="K514" s="95">
        <v>0</v>
      </c>
      <c r="L514" s="95">
        <v>0</v>
      </c>
      <c r="M514" s="95">
        <v>6.1230000000000002</v>
      </c>
      <c r="N514" s="95">
        <v>0</v>
      </c>
      <c r="O514" s="95">
        <v>0</v>
      </c>
      <c r="P514" s="95">
        <v>0</v>
      </c>
      <c r="Q514" s="95">
        <v>0</v>
      </c>
      <c r="R514" s="95">
        <v>0</v>
      </c>
      <c r="S514" s="95">
        <v>1.5960000000000001</v>
      </c>
      <c r="T514" s="95">
        <v>0</v>
      </c>
      <c r="U514" s="95">
        <v>0</v>
      </c>
      <c r="V514" s="95">
        <v>0</v>
      </c>
      <c r="W514" s="95">
        <v>0</v>
      </c>
      <c r="X514" s="95">
        <v>0</v>
      </c>
      <c r="Y514" s="95">
        <v>0</v>
      </c>
      <c r="Z514" s="95"/>
      <c r="AA514" s="8"/>
      <c r="AB514" s="8"/>
      <c r="AC514" s="8"/>
      <c r="AD514" s="8"/>
      <c r="AE514" s="11"/>
      <c r="AF514" s="9" t="s">
        <v>1160</v>
      </c>
      <c r="AG514" t="str">
        <f>VLOOKUP(OfficeForms.Table[[#This Row],[Nama Proyek]],'Nama Proyek'!$D$2:$G$29,4,0)</f>
        <v>-1.10415341,116.73424356</v>
      </c>
      <c r="AH514" s="5"/>
      <c r="AI514" s="5"/>
      <c r="AJ514" s="5"/>
      <c r="AK514" s="5" t="s">
        <v>1161</v>
      </c>
    </row>
    <row r="515" spans="1:37" ht="15" hidden="1" customHeight="1">
      <c r="A515" s="50">
        <v>585</v>
      </c>
      <c r="B515" s="110">
        <v>44956</v>
      </c>
      <c r="C515" s="28">
        <f>B515</f>
        <v>44956</v>
      </c>
      <c r="D515" s="8" t="s">
        <v>37</v>
      </c>
      <c r="E515" s="8" t="s">
        <v>82</v>
      </c>
      <c r="F515" s="5" t="str">
        <f>E515</f>
        <v>Ajik Prastiyo</v>
      </c>
      <c r="G515" s="35" t="s">
        <v>80</v>
      </c>
      <c r="H515" s="105">
        <v>44956</v>
      </c>
      <c r="I515" s="95">
        <v>88.745981540000002</v>
      </c>
      <c r="J515" s="95">
        <v>100</v>
      </c>
      <c r="K515" s="95">
        <v>0.40369513000000001</v>
      </c>
      <c r="L515" s="95">
        <v>0.15046996000000001</v>
      </c>
      <c r="M515" s="95">
        <v>31.55396468</v>
      </c>
      <c r="N515" s="95">
        <v>0.53471208999999997</v>
      </c>
      <c r="O515" s="95">
        <v>2.92608449</v>
      </c>
      <c r="P515" s="95">
        <v>0.2209641</v>
      </c>
      <c r="Q515" s="95">
        <v>6.4946299999999998E-2</v>
      </c>
      <c r="R515" s="95">
        <v>13.58560844</v>
      </c>
      <c r="S515" s="95">
        <v>28.80715047</v>
      </c>
      <c r="T515" s="95">
        <v>0</v>
      </c>
      <c r="U515" s="95">
        <v>7.7708395899999996</v>
      </c>
      <c r="V515" s="95">
        <v>1.3521264099999999</v>
      </c>
      <c r="W515" s="95">
        <v>0.30964185</v>
      </c>
      <c r="X515" s="95">
        <v>0.18598693999999999</v>
      </c>
      <c r="Y515" s="95">
        <v>0.43368559000000001</v>
      </c>
      <c r="Z515" s="95"/>
      <c r="AA515" s="8"/>
      <c r="AB515" s="8"/>
      <c r="AC515" s="8"/>
      <c r="AD515" s="8"/>
      <c r="AE515" s="11"/>
      <c r="AF515" s="9" t="s">
        <v>1162</v>
      </c>
      <c r="AG515" t="str">
        <f>VLOOKUP(OfficeForms.Table[[#This Row],[Nama Proyek]],'Nama Proyek'!$D$2:$G$29,4,0)</f>
        <v>-7.82225167,113.29968319</v>
      </c>
      <c r="AH515" s="5"/>
      <c r="AI515" s="5"/>
      <c r="AJ515" s="5"/>
      <c r="AK515" s="5" t="s">
        <v>1163</v>
      </c>
    </row>
    <row r="516" spans="1:37" ht="15" hidden="1" customHeight="1">
      <c r="A516" s="31">
        <v>1029</v>
      </c>
      <c r="B516" s="110">
        <v>44956</v>
      </c>
      <c r="C516" s="28">
        <f>B516</f>
        <v>44956</v>
      </c>
      <c r="D516" s="19" t="s">
        <v>37</v>
      </c>
      <c r="E516" s="19" t="s">
        <v>504</v>
      </c>
      <c r="F516" s="5" t="str">
        <f>E516</f>
        <v>Fathan Zul Waskito</v>
      </c>
      <c r="G516" s="42" t="s">
        <v>472</v>
      </c>
      <c r="H516" s="106">
        <v>44956</v>
      </c>
      <c r="I516" s="96">
        <v>48.587000000000003</v>
      </c>
      <c r="J516" s="96">
        <v>80.031000000000006</v>
      </c>
      <c r="K516" s="96">
        <v>0.34200000000000003</v>
      </c>
      <c r="L516" s="96">
        <v>0</v>
      </c>
      <c r="M516" s="96">
        <v>44.779000000000003</v>
      </c>
      <c r="N516" s="96">
        <v>3.0000000000000001E-3</v>
      </c>
      <c r="O516" s="96">
        <v>0.12</v>
      </c>
      <c r="P516" s="96">
        <v>2.9000000000000001E-2</v>
      </c>
      <c r="Q516" s="96">
        <v>0.20100000000000001</v>
      </c>
      <c r="R516" s="96">
        <v>0</v>
      </c>
      <c r="S516" s="96">
        <v>1.6930000000000001</v>
      </c>
      <c r="T516" s="96">
        <v>0</v>
      </c>
      <c r="U516" s="96">
        <v>0</v>
      </c>
      <c r="V516" s="96">
        <v>0</v>
      </c>
      <c r="W516" s="96">
        <v>0</v>
      </c>
      <c r="X516" s="96">
        <v>0</v>
      </c>
      <c r="Y516" s="96">
        <v>0</v>
      </c>
      <c r="Z516" s="96"/>
      <c r="AA516" s="19"/>
      <c r="AB516" s="19"/>
      <c r="AC516" s="19"/>
      <c r="AD516" s="19"/>
      <c r="AE516" s="13"/>
      <c r="AF516" s="8"/>
      <c r="AG516" t="str">
        <f>VLOOKUP(OfficeForms.Table[[#This Row],[Nama Proyek]],'Nama Proyek'!$D$2:$G$29,4,0)</f>
        <v>-8.29394978,112.00545006</v>
      </c>
      <c r="AH516" s="5"/>
      <c r="AI516" s="5"/>
      <c r="AJ516" s="5"/>
      <c r="AK516" s="5" t="s">
        <v>1164</v>
      </c>
    </row>
    <row r="517" spans="1:37" ht="15" hidden="1" customHeight="1">
      <c r="A517" s="31">
        <v>121</v>
      </c>
      <c r="B517" s="110">
        <v>44956</v>
      </c>
      <c r="C517" s="28">
        <f>B517</f>
        <v>44956</v>
      </c>
      <c r="D517" s="8" t="s">
        <v>37</v>
      </c>
      <c r="E517" s="8" t="s">
        <v>278</v>
      </c>
      <c r="F517" s="5" t="str">
        <f>E517</f>
        <v>Teddy Pradana</v>
      </c>
      <c r="G517" s="17" t="s">
        <v>167</v>
      </c>
      <c r="H517" s="106"/>
      <c r="I517" s="95">
        <v>0</v>
      </c>
      <c r="J517" s="95">
        <v>0</v>
      </c>
      <c r="K517" s="95">
        <v>0</v>
      </c>
      <c r="L517" s="95">
        <v>0</v>
      </c>
      <c r="M517" s="95">
        <v>0</v>
      </c>
      <c r="N517" s="95">
        <v>0</v>
      </c>
      <c r="O517" s="95">
        <v>0</v>
      </c>
      <c r="P517" s="95">
        <v>0</v>
      </c>
      <c r="Q517" s="95">
        <v>0</v>
      </c>
      <c r="R517" s="95">
        <v>0</v>
      </c>
      <c r="S517" s="95">
        <v>0</v>
      </c>
      <c r="T517" s="95">
        <v>0</v>
      </c>
      <c r="U517" s="95">
        <v>0</v>
      </c>
      <c r="V517" s="95">
        <v>0</v>
      </c>
      <c r="W517" s="95">
        <v>0</v>
      </c>
      <c r="X517" s="95">
        <v>0</v>
      </c>
      <c r="Y517" s="95">
        <v>0</v>
      </c>
      <c r="Z517" s="95"/>
      <c r="AA517" s="8" t="s">
        <v>1165</v>
      </c>
      <c r="AB517" s="8" t="s">
        <v>1166</v>
      </c>
      <c r="AC517" s="8" t="s">
        <v>1167</v>
      </c>
      <c r="AD517" s="8" t="s">
        <v>1168</v>
      </c>
      <c r="AE517" s="11"/>
      <c r="AF517" s="15"/>
      <c r="AG517" t="str">
        <f>VLOOKUP(OfficeForms.Table[[#This Row],[Nama Proyek]],'Nama Proyek'!$D$2:$G$29,4,0)</f>
        <v>2.426249030,128.29766314</v>
      </c>
      <c r="AH517" s="5"/>
      <c r="AI517" s="5"/>
      <c r="AJ517" s="5"/>
      <c r="AK517" s="5" t="s">
        <v>1169</v>
      </c>
    </row>
    <row r="518" spans="1:37" ht="15" hidden="1" customHeight="1">
      <c r="A518" s="30">
        <v>578</v>
      </c>
      <c r="B518" s="111">
        <v>44956</v>
      </c>
      <c r="C518" s="29">
        <f>B518</f>
        <v>44956</v>
      </c>
      <c r="D518" s="9" t="s">
        <v>37</v>
      </c>
      <c r="E518" s="9" t="s">
        <v>687</v>
      </c>
      <c r="F518" s="5" t="str">
        <f>E518</f>
        <v>Andri Julio Hermawan</v>
      </c>
      <c r="G518" s="32" t="s">
        <v>750</v>
      </c>
      <c r="H518" s="104"/>
      <c r="I518" s="94">
        <v>0</v>
      </c>
      <c r="J518" s="94">
        <v>0</v>
      </c>
      <c r="K518" s="94">
        <v>0</v>
      </c>
      <c r="L518" s="94">
        <v>0</v>
      </c>
      <c r="M518" s="94">
        <v>0</v>
      </c>
      <c r="N518" s="94">
        <v>0</v>
      </c>
      <c r="O518" s="94">
        <v>0</v>
      </c>
      <c r="P518" s="94">
        <v>0</v>
      </c>
      <c r="Q518" s="94">
        <v>0</v>
      </c>
      <c r="R518" s="94">
        <v>0</v>
      </c>
      <c r="S518" s="94">
        <v>0</v>
      </c>
      <c r="T518" s="94">
        <v>0</v>
      </c>
      <c r="U518" s="94">
        <v>0</v>
      </c>
      <c r="V518" s="94">
        <v>0</v>
      </c>
      <c r="W518" s="94">
        <v>0</v>
      </c>
      <c r="X518" s="94">
        <v>0</v>
      </c>
      <c r="Y518" s="94">
        <v>0</v>
      </c>
      <c r="Z518" s="94"/>
      <c r="AA518" s="9"/>
      <c r="AB518" s="17"/>
      <c r="AC518" s="9"/>
      <c r="AD518" s="17"/>
      <c r="AE518" s="18" t="s">
        <v>1170</v>
      </c>
      <c r="AF518" s="8" t="s">
        <v>1171</v>
      </c>
      <c r="AG518" t="str">
        <f>VLOOKUP(OfficeForms.Table[[#This Row],[Nama Proyek]],'Nama Proyek'!$D$2:$G$29,4,0)</f>
        <v>-1.10415341,116.73424356</v>
      </c>
      <c r="AH518" s="5"/>
      <c r="AI518" s="5"/>
      <c r="AJ518" s="5"/>
      <c r="AK518" s="5" t="s">
        <v>1172</v>
      </c>
    </row>
    <row r="519" spans="1:37" ht="15" hidden="1" customHeight="1">
      <c r="A519">
        <v>581</v>
      </c>
      <c r="B519" s="110">
        <v>44956</v>
      </c>
      <c r="C519" s="28">
        <f>B519</f>
        <v>44956</v>
      </c>
      <c r="D519" s="8" t="s">
        <v>37</v>
      </c>
      <c r="E519" s="8" t="s">
        <v>734</v>
      </c>
      <c r="F519" s="5" t="str">
        <f>E519</f>
        <v>Aldian Winata</v>
      </c>
      <c r="G519" s="8" t="s">
        <v>735</v>
      </c>
      <c r="H519" s="106"/>
      <c r="I519" s="95">
        <v>0</v>
      </c>
      <c r="J519" s="95">
        <v>0</v>
      </c>
      <c r="K519" s="95">
        <v>0</v>
      </c>
      <c r="L519" s="95">
        <v>0</v>
      </c>
      <c r="M519" s="95">
        <v>0</v>
      </c>
      <c r="N519" s="95">
        <v>0</v>
      </c>
      <c r="O519" s="95">
        <v>0</v>
      </c>
      <c r="P519" s="95">
        <v>0</v>
      </c>
      <c r="Q519" s="95">
        <v>0</v>
      </c>
      <c r="R519" s="95">
        <v>0</v>
      </c>
      <c r="S519" s="95">
        <v>0</v>
      </c>
      <c r="T519" s="95">
        <v>0</v>
      </c>
      <c r="U519" s="95">
        <v>0</v>
      </c>
      <c r="V519" s="95">
        <v>0</v>
      </c>
      <c r="W519" s="95">
        <v>0</v>
      </c>
      <c r="X519" s="95">
        <v>0</v>
      </c>
      <c r="Y519" s="95">
        <v>0</v>
      </c>
      <c r="Z519" s="95"/>
      <c r="AA519" s="8"/>
      <c r="AB519" s="8"/>
      <c r="AC519" s="8"/>
      <c r="AD519" s="8"/>
      <c r="AE519" s="11" t="s">
        <v>1170</v>
      </c>
      <c r="AF519" s="9"/>
      <c r="AG519" t="str">
        <f>VLOOKUP(OfficeForms.Table[[#This Row],[Nama Proyek]],'Nama Proyek'!$D$2:$G$40,4,0)</f>
        <v>-0.88562397,119.85928375</v>
      </c>
      <c r="AH519" s="5"/>
      <c r="AI519" s="5"/>
      <c r="AJ519" s="5"/>
      <c r="AK519" s="5" t="s">
        <v>1173</v>
      </c>
    </row>
    <row r="520" spans="1:37" ht="15" hidden="1" customHeight="1">
      <c r="A520">
        <v>582</v>
      </c>
      <c r="B520" s="111">
        <v>44956</v>
      </c>
      <c r="C520" s="29">
        <f>B520</f>
        <v>44956</v>
      </c>
      <c r="D520" s="9" t="s">
        <v>37</v>
      </c>
      <c r="E520" s="9" t="s">
        <v>734</v>
      </c>
      <c r="F520" s="5" t="str">
        <f>E520</f>
        <v>Aldian Winata</v>
      </c>
      <c r="G520" s="9" t="s">
        <v>735</v>
      </c>
      <c r="H520" s="104"/>
      <c r="I520" s="94">
        <v>0</v>
      </c>
      <c r="J520" s="94">
        <v>0</v>
      </c>
      <c r="K520" s="94">
        <v>0</v>
      </c>
      <c r="L520" s="94">
        <v>0</v>
      </c>
      <c r="M520" s="94">
        <v>0</v>
      </c>
      <c r="N520" s="94">
        <v>0</v>
      </c>
      <c r="O520" s="94">
        <v>0</v>
      </c>
      <c r="P520" s="94">
        <v>0</v>
      </c>
      <c r="Q520" s="94">
        <v>0</v>
      </c>
      <c r="R520" s="94">
        <v>0</v>
      </c>
      <c r="S520" s="94">
        <v>0</v>
      </c>
      <c r="T520" s="94">
        <v>0</v>
      </c>
      <c r="U520" s="94">
        <v>0</v>
      </c>
      <c r="V520" s="94">
        <v>0</v>
      </c>
      <c r="W520" s="94">
        <v>0</v>
      </c>
      <c r="X520" s="94">
        <v>0</v>
      </c>
      <c r="Y520" s="94">
        <v>0</v>
      </c>
      <c r="Z520" s="94"/>
      <c r="AA520" s="9" t="s">
        <v>1174</v>
      </c>
      <c r="AB520" s="9" t="s">
        <v>1175</v>
      </c>
      <c r="AC520" s="9" t="s">
        <v>1176</v>
      </c>
      <c r="AD520" s="9"/>
      <c r="AE520" s="12"/>
      <c r="AF520" s="8"/>
      <c r="AG520" t="str">
        <f>VLOOKUP(OfficeForms.Table[[#This Row],[Nama Proyek]],'Nama Proyek'!$D$2:$G$40,4,0)</f>
        <v>-0.88562397,119.85928375</v>
      </c>
      <c r="AH520" s="5"/>
      <c r="AI520" s="5"/>
      <c r="AJ520" s="5"/>
      <c r="AK520" s="5" t="s">
        <v>1177</v>
      </c>
    </row>
    <row r="521" spans="1:37" ht="15" hidden="1" customHeight="1">
      <c r="A521" s="30">
        <v>583</v>
      </c>
      <c r="B521" s="110">
        <v>44956</v>
      </c>
      <c r="C521" s="28">
        <f>B521</f>
        <v>44956</v>
      </c>
      <c r="D521" s="8" t="s">
        <v>37</v>
      </c>
      <c r="E521" s="8" t="s">
        <v>734</v>
      </c>
      <c r="F521" s="5" t="str">
        <f>E521</f>
        <v>Aldian Winata</v>
      </c>
      <c r="G521" s="8" t="s">
        <v>735</v>
      </c>
      <c r="H521" s="106"/>
      <c r="I521" s="95">
        <v>0</v>
      </c>
      <c r="J521" s="95">
        <v>0</v>
      </c>
      <c r="K521" s="95">
        <v>0</v>
      </c>
      <c r="L521" s="95">
        <v>0</v>
      </c>
      <c r="M521" s="95">
        <v>0</v>
      </c>
      <c r="N521" s="95">
        <v>0</v>
      </c>
      <c r="O521" s="95">
        <v>0</v>
      </c>
      <c r="P521" s="95">
        <v>0</v>
      </c>
      <c r="Q521" s="95">
        <v>0</v>
      </c>
      <c r="R521" s="95">
        <v>0</v>
      </c>
      <c r="S521" s="95">
        <v>0</v>
      </c>
      <c r="T521" s="95">
        <v>0</v>
      </c>
      <c r="U521" s="95">
        <v>0</v>
      </c>
      <c r="V521" s="95">
        <v>0</v>
      </c>
      <c r="W521" s="95">
        <v>0</v>
      </c>
      <c r="X521" s="95">
        <v>0</v>
      </c>
      <c r="Y521" s="95">
        <v>0</v>
      </c>
      <c r="Z521" s="95"/>
      <c r="AA521" s="8"/>
      <c r="AB521" s="8"/>
      <c r="AC521" s="8"/>
      <c r="AD521" s="8" t="s">
        <v>1178</v>
      </c>
      <c r="AE521" s="11"/>
      <c r="AF521" s="9" t="s">
        <v>1179</v>
      </c>
      <c r="AG521" t="str">
        <f>VLOOKUP(OfficeForms.Table[[#This Row],[Nama Proyek]],'Nama Proyek'!$D$2:$G$40,4,0)</f>
        <v>-0.88562397,119.85928375</v>
      </c>
      <c r="AH521" s="5"/>
      <c r="AI521" s="5"/>
      <c r="AJ521" s="5"/>
      <c r="AK521" s="5" t="s">
        <v>1180</v>
      </c>
    </row>
    <row r="522" spans="1:37" ht="15" hidden="1" customHeight="1">
      <c r="A522" s="31">
        <v>586</v>
      </c>
      <c r="B522" s="111">
        <v>44956</v>
      </c>
      <c r="C522" s="29">
        <f>B522</f>
        <v>44956</v>
      </c>
      <c r="D522" s="9" t="s">
        <v>37</v>
      </c>
      <c r="E522" s="9" t="s">
        <v>82</v>
      </c>
      <c r="F522" s="5" t="str">
        <f>E522</f>
        <v>Ajik Prastiyo</v>
      </c>
      <c r="G522" s="36" t="s">
        <v>80</v>
      </c>
      <c r="H522" s="104"/>
      <c r="I522" s="94">
        <v>0</v>
      </c>
      <c r="J522" s="94">
        <v>0</v>
      </c>
      <c r="K522" s="94">
        <v>0</v>
      </c>
      <c r="L522" s="94">
        <v>0</v>
      </c>
      <c r="M522" s="94">
        <v>0</v>
      </c>
      <c r="N522" s="94">
        <v>0</v>
      </c>
      <c r="O522" s="94">
        <v>0</v>
      </c>
      <c r="P522" s="94">
        <v>0</v>
      </c>
      <c r="Q522" s="94">
        <v>0</v>
      </c>
      <c r="R522" s="94">
        <v>0</v>
      </c>
      <c r="S522" s="94">
        <v>0</v>
      </c>
      <c r="T522" s="94">
        <v>0</v>
      </c>
      <c r="U522" s="94">
        <v>0</v>
      </c>
      <c r="V522" s="94">
        <v>0</v>
      </c>
      <c r="W522" s="94">
        <v>0</v>
      </c>
      <c r="X522" s="94">
        <v>0</v>
      </c>
      <c r="Y522" s="94">
        <v>0</v>
      </c>
      <c r="Z522" s="94"/>
      <c r="AA522" s="9"/>
      <c r="AB522" s="9"/>
      <c r="AC522" s="9"/>
      <c r="AD522" s="9"/>
      <c r="AE522" s="12" t="s">
        <v>1170</v>
      </c>
      <c r="AF522" s="15" t="s">
        <v>1181</v>
      </c>
      <c r="AG522" t="str">
        <f>VLOOKUP(OfficeForms.Table[[#This Row],[Nama Proyek]],'Nama Proyek'!$D$2:$G$29,4,0)</f>
        <v>-7.82225167,113.29968319</v>
      </c>
      <c r="AH522" s="5"/>
      <c r="AI522" s="5"/>
      <c r="AJ522" s="5"/>
      <c r="AK522" s="5" t="s">
        <v>1182</v>
      </c>
    </row>
    <row r="523" spans="1:37" ht="15" hidden="1" customHeight="1">
      <c r="A523" s="31">
        <v>587</v>
      </c>
      <c r="B523" s="110">
        <v>44956</v>
      </c>
      <c r="C523" s="28">
        <f>B523</f>
        <v>44956</v>
      </c>
      <c r="D523" s="8" t="s">
        <v>37</v>
      </c>
      <c r="E523" s="8" t="s">
        <v>82</v>
      </c>
      <c r="F523" s="5" t="str">
        <f>E523</f>
        <v>Ajik Prastiyo</v>
      </c>
      <c r="G523" s="35" t="s">
        <v>80</v>
      </c>
      <c r="H523" s="106"/>
      <c r="I523" s="95">
        <v>0</v>
      </c>
      <c r="J523" s="95">
        <v>0</v>
      </c>
      <c r="K523" s="95">
        <v>0</v>
      </c>
      <c r="L523" s="95">
        <v>0</v>
      </c>
      <c r="M523" s="95">
        <v>0</v>
      </c>
      <c r="N523" s="95">
        <v>0</v>
      </c>
      <c r="O523" s="95">
        <v>0</v>
      </c>
      <c r="P523" s="95">
        <v>0</v>
      </c>
      <c r="Q523" s="95">
        <v>0</v>
      </c>
      <c r="R523" s="95">
        <v>0</v>
      </c>
      <c r="S523" s="95">
        <v>0</v>
      </c>
      <c r="T523" s="95">
        <v>0</v>
      </c>
      <c r="U523" s="95">
        <v>0</v>
      </c>
      <c r="V523" s="95">
        <v>0</v>
      </c>
      <c r="W523" s="95">
        <v>0</v>
      </c>
      <c r="X523" s="95">
        <v>0</v>
      </c>
      <c r="Y523" s="95">
        <v>0</v>
      </c>
      <c r="Z523" s="95"/>
      <c r="AA523" s="8"/>
      <c r="AB523" s="8"/>
      <c r="AC523" s="8"/>
      <c r="AD523" s="8"/>
      <c r="AE523" s="16" t="s">
        <v>1170</v>
      </c>
      <c r="AF523" s="9"/>
      <c r="AG523" t="str">
        <f>VLOOKUP(OfficeForms.Table[[#This Row],[Nama Proyek]],'Nama Proyek'!$D$2:$G$29,4,0)</f>
        <v>-7.82225167,113.29968319</v>
      </c>
      <c r="AH523" s="5"/>
      <c r="AI523" s="5"/>
      <c r="AJ523" s="5"/>
      <c r="AK523" s="5" t="s">
        <v>1183</v>
      </c>
    </row>
    <row r="524" spans="1:37" ht="15" hidden="1" customHeight="1">
      <c r="A524">
        <v>589</v>
      </c>
      <c r="B524" s="110">
        <v>44956</v>
      </c>
      <c r="C524" s="28">
        <f>B524</f>
        <v>44956</v>
      </c>
      <c r="D524" s="8" t="s">
        <v>37</v>
      </c>
      <c r="E524" s="8" t="s">
        <v>57</v>
      </c>
      <c r="F524" s="5" t="str">
        <f>E524</f>
        <v>Alfian Budi Prasetya</v>
      </c>
      <c r="G524" s="15" t="s">
        <v>58</v>
      </c>
      <c r="H524" s="106"/>
      <c r="I524" s="95">
        <v>0</v>
      </c>
      <c r="J524" s="95">
        <v>0</v>
      </c>
      <c r="K524" s="95">
        <v>0</v>
      </c>
      <c r="L524" s="95">
        <v>0</v>
      </c>
      <c r="M524" s="95">
        <v>0</v>
      </c>
      <c r="N524" s="95">
        <v>0</v>
      </c>
      <c r="O524" s="95">
        <v>0</v>
      </c>
      <c r="P524" s="95">
        <v>0</v>
      </c>
      <c r="Q524" s="95">
        <v>0</v>
      </c>
      <c r="R524" s="95">
        <v>0</v>
      </c>
      <c r="S524" s="95">
        <v>0</v>
      </c>
      <c r="T524" s="95">
        <v>0</v>
      </c>
      <c r="U524" s="95">
        <v>0</v>
      </c>
      <c r="V524" s="95">
        <v>0</v>
      </c>
      <c r="W524" s="95">
        <v>0</v>
      </c>
      <c r="X524" s="95">
        <v>0</v>
      </c>
      <c r="Y524" s="95">
        <v>0</v>
      </c>
      <c r="Z524" s="95"/>
      <c r="AA524" s="8"/>
      <c r="AB524" s="8"/>
      <c r="AC524" s="8"/>
      <c r="AD524" s="8"/>
      <c r="AE524" s="11">
        <v>45170</v>
      </c>
      <c r="AF524" s="8" t="s">
        <v>1184</v>
      </c>
      <c r="AG524" t="str">
        <f>VLOOKUP(OfficeForms.Table[[#This Row],[Nama Proyek]],'Nama Proyek'!$D$2:$G$29,4,0)</f>
        <v>-6.12967558,107.07321308</v>
      </c>
      <c r="AH524" s="5"/>
      <c r="AI524" s="5"/>
      <c r="AJ524" s="5"/>
      <c r="AK524" s="5" t="s">
        <v>1185</v>
      </c>
    </row>
    <row r="525" spans="1:37" ht="15" hidden="1" customHeight="1">
      <c r="A525">
        <v>594</v>
      </c>
      <c r="B525" s="111">
        <v>44956</v>
      </c>
      <c r="C525" s="29">
        <f>B525</f>
        <v>44956</v>
      </c>
      <c r="D525" s="9" t="s">
        <v>37</v>
      </c>
      <c r="E525" s="9" t="s">
        <v>79</v>
      </c>
      <c r="F525" s="5" t="str">
        <f>E525</f>
        <v>Fajar Sodiq Febriansyah</v>
      </c>
      <c r="G525" s="36" t="s">
        <v>80</v>
      </c>
      <c r="H525" s="104"/>
      <c r="I525" s="94">
        <v>0</v>
      </c>
      <c r="J525" s="94">
        <v>0</v>
      </c>
      <c r="K525" s="94">
        <v>0</v>
      </c>
      <c r="L525" s="94">
        <v>0</v>
      </c>
      <c r="M525" s="94">
        <v>0</v>
      </c>
      <c r="N525" s="94">
        <v>0</v>
      </c>
      <c r="O525" s="94">
        <v>0</v>
      </c>
      <c r="P525" s="94">
        <v>0</v>
      </c>
      <c r="Q525" s="94">
        <v>0</v>
      </c>
      <c r="R525" s="94">
        <v>0</v>
      </c>
      <c r="S525" s="94">
        <v>0</v>
      </c>
      <c r="T525" s="94">
        <v>0</v>
      </c>
      <c r="U525" s="94">
        <v>0</v>
      </c>
      <c r="V525" s="94">
        <v>0</v>
      </c>
      <c r="W525" s="94">
        <v>0</v>
      </c>
      <c r="X525" s="94">
        <v>0</v>
      </c>
      <c r="Y525" s="94">
        <v>0</v>
      </c>
      <c r="Z525" s="94"/>
      <c r="AA525" s="9" t="s">
        <v>421</v>
      </c>
      <c r="AB525" s="9" t="s">
        <v>261</v>
      </c>
      <c r="AC525" s="9" t="s">
        <v>1186</v>
      </c>
      <c r="AD525" s="9" t="s">
        <v>1186</v>
      </c>
      <c r="AE525" s="12"/>
      <c r="AF525" s="42"/>
      <c r="AG525" t="str">
        <f>VLOOKUP(OfficeForms.Table[[#This Row],[Nama Proyek]],'Nama Proyek'!$D$2:$G$29,4,0)</f>
        <v>-7.82225167,113.29968319</v>
      </c>
      <c r="AH525" s="5"/>
      <c r="AI525" s="5"/>
      <c r="AJ525" s="5"/>
      <c r="AK525" s="5" t="s">
        <v>1187</v>
      </c>
    </row>
    <row r="526" spans="1:37" ht="15" hidden="1" customHeight="1">
      <c r="A526" s="31">
        <v>596</v>
      </c>
      <c r="B526" s="111">
        <v>44956</v>
      </c>
      <c r="C526" s="29">
        <f>B526</f>
        <v>44956</v>
      </c>
      <c r="D526" s="9" t="s">
        <v>37</v>
      </c>
      <c r="E526" s="9" t="s">
        <v>716</v>
      </c>
      <c r="F526" s="5" t="str">
        <f>E526</f>
        <v>Tri Suseno</v>
      </c>
      <c r="G526" s="15" t="s">
        <v>717</v>
      </c>
      <c r="H526" s="104"/>
      <c r="I526" s="94">
        <v>0</v>
      </c>
      <c r="J526" s="94">
        <v>0</v>
      </c>
      <c r="K526" s="94">
        <v>0</v>
      </c>
      <c r="L526" s="94">
        <v>0</v>
      </c>
      <c r="M526" s="94">
        <v>0</v>
      </c>
      <c r="N526" s="94">
        <v>0</v>
      </c>
      <c r="O526" s="94">
        <v>0</v>
      </c>
      <c r="P526" s="94">
        <v>0</v>
      </c>
      <c r="Q526" s="94">
        <v>0</v>
      </c>
      <c r="R526" s="94">
        <v>0</v>
      </c>
      <c r="S526" s="94">
        <v>0</v>
      </c>
      <c r="T526" s="94">
        <v>0</v>
      </c>
      <c r="U526" s="94">
        <v>0</v>
      </c>
      <c r="V526" s="94">
        <v>0</v>
      </c>
      <c r="W526" s="94">
        <v>0</v>
      </c>
      <c r="X526" s="94">
        <v>0</v>
      </c>
      <c r="Y526" s="94">
        <v>0</v>
      </c>
      <c r="Z526" s="94"/>
      <c r="AA526" s="9"/>
      <c r="AB526" s="20" t="s">
        <v>1188</v>
      </c>
      <c r="AC526" s="9"/>
      <c r="AD526" s="9"/>
      <c r="AE526" s="18"/>
      <c r="AF526" s="8"/>
      <c r="AG526" t="str">
        <f>VLOOKUP(OfficeForms.Table[[#This Row],[Nama Proyek]],'Nama Proyek'!$D$2:$G$29,4,0)</f>
        <v>3.76271056,115.88262689</v>
      </c>
      <c r="AH526" s="5"/>
      <c r="AI526" s="5"/>
      <c r="AJ526" s="5"/>
      <c r="AK526" s="5" t="s">
        <v>1189</v>
      </c>
    </row>
    <row r="527" spans="1:37" ht="15" hidden="1" customHeight="1">
      <c r="A527" s="30">
        <v>598</v>
      </c>
      <c r="B527" s="111">
        <v>44956</v>
      </c>
      <c r="C527" s="29">
        <f>B527</f>
        <v>44956</v>
      </c>
      <c r="D527" s="9" t="s">
        <v>37</v>
      </c>
      <c r="E527" s="9" t="s">
        <v>923</v>
      </c>
      <c r="F527" s="5" t="str">
        <f>E527</f>
        <v>Nizar Tarmidzi</v>
      </c>
      <c r="G527" s="39" t="s">
        <v>924</v>
      </c>
      <c r="H527" s="104"/>
      <c r="I527" s="94">
        <v>0</v>
      </c>
      <c r="J527" s="94">
        <v>0</v>
      </c>
      <c r="K527" s="94">
        <v>0</v>
      </c>
      <c r="L527" s="94">
        <v>0</v>
      </c>
      <c r="M527" s="94">
        <v>0</v>
      </c>
      <c r="N527" s="94">
        <v>0</v>
      </c>
      <c r="O527" s="94">
        <v>0</v>
      </c>
      <c r="P527" s="94">
        <v>0</v>
      </c>
      <c r="Q527" s="94">
        <v>0</v>
      </c>
      <c r="R527" s="94">
        <v>0</v>
      </c>
      <c r="S527" s="94">
        <v>0</v>
      </c>
      <c r="T527" s="94">
        <v>0</v>
      </c>
      <c r="U527" s="94">
        <v>0</v>
      </c>
      <c r="V527" s="94">
        <v>0</v>
      </c>
      <c r="W527" s="94">
        <v>0</v>
      </c>
      <c r="X527" s="94">
        <v>0</v>
      </c>
      <c r="Y527" s="94">
        <v>0</v>
      </c>
      <c r="Z527" s="94"/>
      <c r="AA527" s="9"/>
      <c r="AB527" s="9"/>
      <c r="AC527" s="9"/>
      <c r="AD527" s="9"/>
      <c r="AE527" s="12" t="s">
        <v>1190</v>
      </c>
      <c r="AF527" s="8"/>
      <c r="AG527" t="str">
        <f>VLOOKUP(OfficeForms.Table[[#This Row],[Nama Proyek]],'Nama Proyek'!$D$2:$G$40,4,0)</f>
        <v>-3.25078511,134.87791156</v>
      </c>
      <c r="AH527" s="5"/>
      <c r="AI527" s="5"/>
      <c r="AJ527" s="5"/>
      <c r="AK527" s="5" t="s">
        <v>1191</v>
      </c>
    </row>
    <row r="528" spans="1:37" ht="15" hidden="1" customHeight="1">
      <c r="A528" s="31">
        <v>599</v>
      </c>
      <c r="B528" s="110">
        <v>44956</v>
      </c>
      <c r="C528" s="28">
        <f>B528</f>
        <v>44956</v>
      </c>
      <c r="D528" s="8" t="s">
        <v>37</v>
      </c>
      <c r="E528" s="8" t="s">
        <v>923</v>
      </c>
      <c r="F528" s="5" t="str">
        <f>E528</f>
        <v>Nizar Tarmidzi</v>
      </c>
      <c r="G528" s="39" t="s">
        <v>924</v>
      </c>
      <c r="H528" s="105"/>
      <c r="I528" s="95">
        <v>0</v>
      </c>
      <c r="J528" s="95">
        <v>0</v>
      </c>
      <c r="K528" s="95">
        <v>0</v>
      </c>
      <c r="L528" s="95">
        <v>0</v>
      </c>
      <c r="M528" s="95">
        <v>0</v>
      </c>
      <c r="N528" s="95">
        <v>0</v>
      </c>
      <c r="O528" s="95">
        <v>0</v>
      </c>
      <c r="P528" s="95">
        <v>0</v>
      </c>
      <c r="Q528" s="95">
        <v>0</v>
      </c>
      <c r="R528" s="95">
        <v>0</v>
      </c>
      <c r="S528" s="95">
        <v>0</v>
      </c>
      <c r="T528" s="95">
        <v>0</v>
      </c>
      <c r="U528" s="95">
        <v>0</v>
      </c>
      <c r="V528" s="95">
        <v>0</v>
      </c>
      <c r="W528" s="95">
        <v>0</v>
      </c>
      <c r="X528" s="95">
        <v>0</v>
      </c>
      <c r="Y528" s="95">
        <v>0</v>
      </c>
      <c r="Z528" s="95"/>
      <c r="AA528" s="41" t="s">
        <v>1192</v>
      </c>
      <c r="AB528" s="41" t="s">
        <v>1193</v>
      </c>
      <c r="AC528" s="8"/>
      <c r="AD528" s="8"/>
      <c r="AE528" s="11"/>
      <c r="AF528" s="17" t="s">
        <v>1194</v>
      </c>
      <c r="AG528" t="str">
        <f>VLOOKUP(OfficeForms.Table[[#This Row],[Nama Proyek]],'Nama Proyek'!$D$2:$G$40,4,0)</f>
        <v>-3.25078511,134.87791156</v>
      </c>
      <c r="AH528" s="5"/>
      <c r="AI528" s="5"/>
      <c r="AJ528" s="5"/>
      <c r="AK528" s="5" t="s">
        <v>1195</v>
      </c>
    </row>
    <row r="529" spans="1:37" ht="15" hidden="1" customHeight="1">
      <c r="A529">
        <v>602</v>
      </c>
      <c r="B529" s="111">
        <v>44957</v>
      </c>
      <c r="C529" s="29">
        <f>B529</f>
        <v>44957</v>
      </c>
      <c r="D529" s="9" t="s">
        <v>37</v>
      </c>
      <c r="E529" s="9" t="s">
        <v>716</v>
      </c>
      <c r="F529" s="5" t="str">
        <f>E529</f>
        <v>Tri Suseno</v>
      </c>
      <c r="G529" s="8" t="s">
        <v>717</v>
      </c>
      <c r="H529" s="104">
        <v>44955</v>
      </c>
      <c r="I529" s="94">
        <v>97.263599999999997</v>
      </c>
      <c r="J529" s="94">
        <v>100</v>
      </c>
      <c r="K529" s="94">
        <v>0</v>
      </c>
      <c r="L529" s="94">
        <v>0</v>
      </c>
      <c r="M529" s="94">
        <v>0</v>
      </c>
      <c r="N529" s="94">
        <v>0</v>
      </c>
      <c r="O529" s="94">
        <v>0</v>
      </c>
      <c r="P529" s="94">
        <v>0</v>
      </c>
      <c r="Q529" s="94">
        <v>0</v>
      </c>
      <c r="R529" s="94">
        <v>0</v>
      </c>
      <c r="S529" s="94">
        <v>0</v>
      </c>
      <c r="T529" s="94">
        <v>0</v>
      </c>
      <c r="U529" s="94">
        <v>0</v>
      </c>
      <c r="V529" s="94">
        <v>0</v>
      </c>
      <c r="W529" s="94">
        <v>0</v>
      </c>
      <c r="X529" s="94">
        <v>0</v>
      </c>
      <c r="Y529" s="94">
        <v>0</v>
      </c>
      <c r="Z529" s="94"/>
      <c r="AA529" s="9"/>
      <c r="AB529" s="9"/>
      <c r="AC529" s="9"/>
      <c r="AD529" s="9"/>
      <c r="AE529" s="18"/>
      <c r="AF529" s="8" t="s">
        <v>1196</v>
      </c>
      <c r="AG529" t="str">
        <f>VLOOKUP(OfficeForms.Table[[#This Row],[Nama Proyek]],'Nama Proyek'!$D$2:$G$29,4,0)</f>
        <v>3.76271056,115.88262689</v>
      </c>
      <c r="AH529" s="5"/>
      <c r="AI529" s="5"/>
      <c r="AJ529" s="5"/>
      <c r="AK529" s="5" t="s">
        <v>1197</v>
      </c>
    </row>
    <row r="530" spans="1:37" ht="15" hidden="1" customHeight="1">
      <c r="A530" s="50">
        <v>447</v>
      </c>
      <c r="B530" s="110">
        <v>44957</v>
      </c>
      <c r="C530" s="28">
        <f>B530</f>
        <v>44957</v>
      </c>
      <c r="D530" s="8" t="s">
        <v>37</v>
      </c>
      <c r="E530" s="8" t="s">
        <v>504</v>
      </c>
      <c r="F530" s="5" t="str">
        <f>E530</f>
        <v>Fathan Zul Waskito</v>
      </c>
      <c r="G530" s="19" t="s">
        <v>472</v>
      </c>
      <c r="H530" s="105"/>
      <c r="I530" s="95">
        <v>0</v>
      </c>
      <c r="J530" s="95">
        <v>0</v>
      </c>
      <c r="K530" s="95">
        <v>0</v>
      </c>
      <c r="L530" s="95">
        <v>0</v>
      </c>
      <c r="M530" s="95">
        <v>0</v>
      </c>
      <c r="N530" s="95">
        <v>0</v>
      </c>
      <c r="O530" s="95">
        <v>0</v>
      </c>
      <c r="P530" s="95">
        <v>0</v>
      </c>
      <c r="Q530" s="95">
        <v>0</v>
      </c>
      <c r="R530" s="95">
        <v>0</v>
      </c>
      <c r="S530" s="95">
        <v>0</v>
      </c>
      <c r="T530" s="95">
        <v>0</v>
      </c>
      <c r="U530" s="95">
        <v>0</v>
      </c>
      <c r="V530" s="95">
        <v>0</v>
      </c>
      <c r="W530" s="95">
        <v>0</v>
      </c>
      <c r="X530" s="95">
        <v>0</v>
      </c>
      <c r="Y530" s="95">
        <v>0</v>
      </c>
      <c r="Z530" s="95"/>
      <c r="AA530" s="8"/>
      <c r="AB530" s="8"/>
      <c r="AC530" s="8"/>
      <c r="AD530" s="8"/>
      <c r="AE530" s="11">
        <v>44876</v>
      </c>
      <c r="AF530" s="9" t="s">
        <v>905</v>
      </c>
      <c r="AG530" t="str">
        <f>VLOOKUP(OfficeForms.Table[[#This Row],[Nama Proyek]],'Nama Proyek'!$D$2:$G$29,4,0)</f>
        <v>-8.29394978,112.00545006</v>
      </c>
      <c r="AH530" s="5"/>
      <c r="AI530" s="5"/>
      <c r="AJ530" s="5"/>
      <c r="AK530" s="5" t="s">
        <v>1198</v>
      </c>
    </row>
    <row r="531" spans="1:37" ht="15" hidden="1" customHeight="1">
      <c r="A531" s="31">
        <v>448</v>
      </c>
      <c r="B531" s="111">
        <v>44957</v>
      </c>
      <c r="C531" s="29">
        <f>B531</f>
        <v>44957</v>
      </c>
      <c r="D531" s="9" t="s">
        <v>37</v>
      </c>
      <c r="E531" s="9" t="s">
        <v>504</v>
      </c>
      <c r="F531" s="5" t="str">
        <f>E531</f>
        <v>Fathan Zul Waskito</v>
      </c>
      <c r="G531" s="9" t="s">
        <v>472</v>
      </c>
      <c r="H531" s="104"/>
      <c r="I531" s="94">
        <v>0</v>
      </c>
      <c r="J531" s="94">
        <v>0</v>
      </c>
      <c r="K531" s="94">
        <v>0</v>
      </c>
      <c r="L531" s="94">
        <v>0</v>
      </c>
      <c r="M531" s="94">
        <v>0</v>
      </c>
      <c r="N531" s="94">
        <v>0</v>
      </c>
      <c r="O531" s="94">
        <v>0</v>
      </c>
      <c r="P531" s="94">
        <v>0</v>
      </c>
      <c r="Q531" s="94">
        <v>0</v>
      </c>
      <c r="R531" s="94">
        <v>0</v>
      </c>
      <c r="S531" s="94">
        <v>0</v>
      </c>
      <c r="T531" s="94">
        <v>0</v>
      </c>
      <c r="U531" s="94">
        <v>0</v>
      </c>
      <c r="V531" s="94">
        <v>0</v>
      </c>
      <c r="W531" s="94">
        <v>0</v>
      </c>
      <c r="X531" s="94">
        <v>0</v>
      </c>
      <c r="Y531" s="94">
        <v>0</v>
      </c>
      <c r="Z531" s="94"/>
      <c r="AA531" s="9"/>
      <c r="AB531" s="9"/>
      <c r="AC531" s="9"/>
      <c r="AD531" s="9"/>
      <c r="AE531" s="12" t="s">
        <v>1199</v>
      </c>
      <c r="AF531" s="42" t="s">
        <v>1200</v>
      </c>
      <c r="AG531" t="str">
        <f>VLOOKUP(OfficeForms.Table[[#This Row],[Nama Proyek]],'Nama Proyek'!$D$2:$G$29,4,0)</f>
        <v>-8.29394978,112.00545006</v>
      </c>
      <c r="AH531" s="5"/>
      <c r="AI531" s="5"/>
      <c r="AJ531" s="5"/>
      <c r="AK531" s="5" t="s">
        <v>1201</v>
      </c>
    </row>
    <row r="532" spans="1:37" ht="15" hidden="1" customHeight="1">
      <c r="A532">
        <v>600</v>
      </c>
      <c r="B532" s="111">
        <v>44957</v>
      </c>
      <c r="C532" s="29">
        <f>B532</f>
        <v>44957</v>
      </c>
      <c r="D532" s="9" t="s">
        <v>37</v>
      </c>
      <c r="E532" s="9" t="s">
        <v>716</v>
      </c>
      <c r="F532" s="5" t="str">
        <f>E532</f>
        <v>Tri Suseno</v>
      </c>
      <c r="G532" s="8" t="s">
        <v>717</v>
      </c>
      <c r="H532" s="104"/>
      <c r="I532" s="94">
        <v>0</v>
      </c>
      <c r="J532" s="94">
        <v>0</v>
      </c>
      <c r="K532" s="94">
        <v>0</v>
      </c>
      <c r="L532" s="94">
        <v>0</v>
      </c>
      <c r="M532" s="94">
        <v>0</v>
      </c>
      <c r="N532" s="94">
        <v>0</v>
      </c>
      <c r="O532" s="94">
        <v>0</v>
      </c>
      <c r="P532" s="94">
        <v>0</v>
      </c>
      <c r="Q532" s="94">
        <v>0</v>
      </c>
      <c r="R532" s="94">
        <v>0</v>
      </c>
      <c r="S532" s="94">
        <v>0</v>
      </c>
      <c r="T532" s="94">
        <v>0</v>
      </c>
      <c r="U532" s="94">
        <v>0</v>
      </c>
      <c r="V532" s="94">
        <v>0</v>
      </c>
      <c r="W532" s="94">
        <v>0</v>
      </c>
      <c r="X532" s="94">
        <v>0</v>
      </c>
      <c r="Y532" s="94">
        <v>0</v>
      </c>
      <c r="Z532" s="94"/>
      <c r="AA532" s="9"/>
      <c r="AB532" s="9"/>
      <c r="AC532" s="9"/>
      <c r="AD532" s="17"/>
      <c r="AE532" s="18">
        <v>44927</v>
      </c>
      <c r="AF532" s="8" t="s">
        <v>1202</v>
      </c>
      <c r="AG532" t="str">
        <f>VLOOKUP(OfficeForms.Table[[#This Row],[Nama Proyek]],'Nama Proyek'!$D$2:$G$29,4,0)</f>
        <v>3.76271056,115.88262689</v>
      </c>
      <c r="AH532" s="5"/>
      <c r="AI532" s="5"/>
      <c r="AJ532" s="5"/>
      <c r="AK532" s="5" t="s">
        <v>1203</v>
      </c>
    </row>
    <row r="533" spans="1:37" ht="15" hidden="1" customHeight="1">
      <c r="A533" s="50">
        <v>601</v>
      </c>
      <c r="B533" s="110">
        <v>44957</v>
      </c>
      <c r="C533" s="28">
        <f>B533</f>
        <v>44957</v>
      </c>
      <c r="D533" s="8" t="s">
        <v>37</v>
      </c>
      <c r="E533" s="8" t="s">
        <v>716</v>
      </c>
      <c r="F533" s="5" t="str">
        <f>E533</f>
        <v>Tri Suseno</v>
      </c>
      <c r="G533" s="8" t="s">
        <v>717</v>
      </c>
      <c r="H533" s="105"/>
      <c r="I533" s="95">
        <v>0</v>
      </c>
      <c r="J533" s="95">
        <v>0</v>
      </c>
      <c r="K533" s="95">
        <v>0</v>
      </c>
      <c r="L533" s="95">
        <v>0</v>
      </c>
      <c r="M533" s="95">
        <v>0</v>
      </c>
      <c r="N533" s="95">
        <v>0</v>
      </c>
      <c r="O533" s="95">
        <v>0</v>
      </c>
      <c r="P533" s="95">
        <v>0</v>
      </c>
      <c r="Q533" s="95">
        <v>0</v>
      </c>
      <c r="R533" s="95">
        <v>0</v>
      </c>
      <c r="S533" s="95">
        <v>0</v>
      </c>
      <c r="T533" s="95">
        <v>0</v>
      </c>
      <c r="U533" s="95">
        <v>0</v>
      </c>
      <c r="V533" s="95">
        <v>0</v>
      </c>
      <c r="W533" s="95">
        <v>0</v>
      </c>
      <c r="X533" s="95">
        <v>0</v>
      </c>
      <c r="Y533" s="95">
        <v>0</v>
      </c>
      <c r="Z533" s="95"/>
      <c r="AA533" s="8"/>
      <c r="AB533" s="8"/>
      <c r="AC533" s="8"/>
      <c r="AD533" s="8"/>
      <c r="AE533" s="11">
        <v>44927</v>
      </c>
      <c r="AF533" s="9"/>
      <c r="AG533" t="str">
        <f>VLOOKUP(OfficeForms.Table[[#This Row],[Nama Proyek]],'Nama Proyek'!$D$2:$G$29,4,0)</f>
        <v>3.76271056,115.88262689</v>
      </c>
      <c r="AH533" s="5"/>
      <c r="AI533" s="5"/>
      <c r="AJ533" s="5"/>
      <c r="AK533" s="5" t="s">
        <v>1204</v>
      </c>
    </row>
    <row r="534" spans="1:37" ht="15" hidden="1" customHeight="1">
      <c r="A534" s="30">
        <v>603</v>
      </c>
      <c r="B534" s="110">
        <v>44957</v>
      </c>
      <c r="C534" s="28">
        <f>B534</f>
        <v>44957</v>
      </c>
      <c r="D534" s="8" t="s">
        <v>37</v>
      </c>
      <c r="E534" s="8" t="s">
        <v>716</v>
      </c>
      <c r="F534" s="5" t="str">
        <f>E534</f>
        <v>Tri Suseno</v>
      </c>
      <c r="G534" s="8" t="s">
        <v>717</v>
      </c>
      <c r="H534" s="105"/>
      <c r="I534" s="95">
        <v>0</v>
      </c>
      <c r="J534" s="95">
        <v>0</v>
      </c>
      <c r="K534" s="95">
        <v>0</v>
      </c>
      <c r="L534" s="95">
        <v>0</v>
      </c>
      <c r="M534" s="95">
        <v>0</v>
      </c>
      <c r="N534" s="95">
        <v>0</v>
      </c>
      <c r="O534" s="95">
        <v>0</v>
      </c>
      <c r="P534" s="95">
        <v>0</v>
      </c>
      <c r="Q534" s="95">
        <v>0</v>
      </c>
      <c r="R534" s="95">
        <v>0</v>
      </c>
      <c r="S534" s="95">
        <v>0</v>
      </c>
      <c r="T534" s="95">
        <v>0</v>
      </c>
      <c r="U534" s="95">
        <v>0</v>
      </c>
      <c r="V534" s="95">
        <v>0</v>
      </c>
      <c r="W534" s="95">
        <v>0</v>
      </c>
      <c r="X534" s="95">
        <v>0</v>
      </c>
      <c r="Y534" s="95">
        <v>0</v>
      </c>
      <c r="Z534" s="95"/>
      <c r="AA534" s="8"/>
      <c r="AB534" s="8"/>
      <c r="AC534" s="8"/>
      <c r="AD534" s="8"/>
      <c r="AE534" s="11">
        <v>44927</v>
      </c>
      <c r="AF534" s="8"/>
      <c r="AG534" t="str">
        <f>VLOOKUP(OfficeForms.Table[[#This Row],[Nama Proyek]],'Nama Proyek'!$D$2:$G$29,4,0)</f>
        <v>3.76271056,115.88262689</v>
      </c>
      <c r="AH534" s="5"/>
      <c r="AI534" s="5"/>
      <c r="AJ534" s="5"/>
      <c r="AK534" s="5" t="s">
        <v>1205</v>
      </c>
    </row>
    <row r="535" spans="1:37" ht="15" hidden="1" customHeight="1">
      <c r="A535" s="30">
        <v>281</v>
      </c>
      <c r="B535" s="110">
        <v>44958</v>
      </c>
      <c r="C535" s="28">
        <f>B535</f>
        <v>44958</v>
      </c>
      <c r="D535" s="19" t="s">
        <v>37</v>
      </c>
      <c r="E535" s="19" t="s">
        <v>64</v>
      </c>
      <c r="F535" s="5" t="str">
        <f>E535</f>
        <v>Nizar Zulkarnain</v>
      </c>
      <c r="G535" s="19" t="s">
        <v>65</v>
      </c>
      <c r="H535" s="106"/>
      <c r="I535" s="96">
        <v>0</v>
      </c>
      <c r="J535" s="96">
        <v>0</v>
      </c>
      <c r="K535" s="96">
        <v>0</v>
      </c>
      <c r="L535" s="96">
        <v>0</v>
      </c>
      <c r="M535" s="96">
        <v>0</v>
      </c>
      <c r="N535" s="96">
        <v>0</v>
      </c>
      <c r="O535" s="96">
        <v>0</v>
      </c>
      <c r="P535" s="96">
        <v>0</v>
      </c>
      <c r="Q535" s="96">
        <v>0</v>
      </c>
      <c r="R535" s="96">
        <v>0</v>
      </c>
      <c r="S535" s="96">
        <v>0</v>
      </c>
      <c r="T535" s="96">
        <v>0</v>
      </c>
      <c r="U535" s="96">
        <v>0</v>
      </c>
      <c r="V535" s="96">
        <v>0</v>
      </c>
      <c r="W535" s="96">
        <v>0</v>
      </c>
      <c r="X535" s="96">
        <v>0</v>
      </c>
      <c r="Y535" s="96">
        <v>0</v>
      </c>
      <c r="Z535" s="96"/>
      <c r="AA535" s="19"/>
      <c r="AB535" s="19"/>
      <c r="AC535" s="19" t="s">
        <v>1206</v>
      </c>
      <c r="AD535" s="19"/>
      <c r="AE535" s="13"/>
      <c r="AF535" s="15"/>
      <c r="AG535" t="str">
        <f>VLOOKUP(OfficeForms.Table[[#This Row],[Nama Proyek]],'Nama Proyek'!$D$2:$G$29,4,0)</f>
        <v>-6.35008011,107.02324233</v>
      </c>
      <c r="AH535" s="5"/>
      <c r="AI535" s="5"/>
      <c r="AJ535" s="5"/>
      <c r="AK535" s="5" t="s">
        <v>1207</v>
      </c>
    </row>
    <row r="536" spans="1:37" ht="15" hidden="1" customHeight="1">
      <c r="A536" s="30">
        <v>363</v>
      </c>
      <c r="B536" s="110">
        <v>44958</v>
      </c>
      <c r="C536" s="28">
        <f>B536</f>
        <v>44958</v>
      </c>
      <c r="D536" s="19" t="s">
        <v>37</v>
      </c>
      <c r="E536" s="19" t="s">
        <v>504</v>
      </c>
      <c r="F536" s="5" t="str">
        <f>E536</f>
        <v>Fathan Zul Waskito</v>
      </c>
      <c r="G536" s="19" t="s">
        <v>472</v>
      </c>
      <c r="H536" s="106"/>
      <c r="I536" s="96">
        <v>0</v>
      </c>
      <c r="J536" s="96">
        <v>0</v>
      </c>
      <c r="K536" s="96">
        <v>0</v>
      </c>
      <c r="L536" s="96">
        <v>0</v>
      </c>
      <c r="M536" s="96">
        <v>0</v>
      </c>
      <c r="N536" s="96">
        <v>0</v>
      </c>
      <c r="O536" s="96">
        <v>0</v>
      </c>
      <c r="P536" s="96">
        <v>0</v>
      </c>
      <c r="Q536" s="96">
        <v>0</v>
      </c>
      <c r="R536" s="96">
        <v>0</v>
      </c>
      <c r="S536" s="96">
        <v>0</v>
      </c>
      <c r="T536" s="96">
        <v>0</v>
      </c>
      <c r="U536" s="96">
        <v>0</v>
      </c>
      <c r="V536" s="96">
        <v>0</v>
      </c>
      <c r="W536" s="96">
        <v>0</v>
      </c>
      <c r="X536" s="96">
        <v>0</v>
      </c>
      <c r="Y536" s="96">
        <v>0</v>
      </c>
      <c r="Z536" s="96"/>
      <c r="AA536" s="19"/>
      <c r="AB536" s="19"/>
      <c r="AC536" s="19"/>
      <c r="AD536" s="19"/>
      <c r="AE536" s="24" t="s">
        <v>1208</v>
      </c>
      <c r="AF536" s="8"/>
      <c r="AG536" t="str">
        <f>VLOOKUP(OfficeForms.Table[[#This Row],[Nama Proyek]],'Nama Proyek'!$D$2:$G$29,4,0)</f>
        <v>-8.29394978,112.00545006</v>
      </c>
      <c r="AH536" s="5"/>
      <c r="AI536" s="5"/>
      <c r="AJ536" s="5"/>
      <c r="AK536" s="5" t="s">
        <v>1209</v>
      </c>
    </row>
    <row r="537" spans="1:37" ht="15" hidden="1" customHeight="1">
      <c r="A537" s="50">
        <v>399</v>
      </c>
      <c r="B537" s="110">
        <v>44958</v>
      </c>
      <c r="C537" s="28">
        <f>B537</f>
        <v>44958</v>
      </c>
      <c r="D537" s="8" t="s">
        <v>37</v>
      </c>
      <c r="E537" s="8" t="s">
        <v>504</v>
      </c>
      <c r="F537" s="5" t="str">
        <f>E537</f>
        <v>Fathan Zul Waskito</v>
      </c>
      <c r="G537" s="42" t="s">
        <v>472</v>
      </c>
      <c r="H537" s="106"/>
      <c r="I537" s="95">
        <v>0</v>
      </c>
      <c r="J537" s="95">
        <v>0</v>
      </c>
      <c r="K537" s="95">
        <v>0</v>
      </c>
      <c r="L537" s="95">
        <v>0</v>
      </c>
      <c r="M537" s="95">
        <v>0</v>
      </c>
      <c r="N537" s="95">
        <v>0</v>
      </c>
      <c r="O537" s="95">
        <v>0</v>
      </c>
      <c r="P537" s="95">
        <v>0</v>
      </c>
      <c r="Q537" s="95">
        <v>0</v>
      </c>
      <c r="R537" s="95">
        <v>0</v>
      </c>
      <c r="S537" s="95">
        <v>0</v>
      </c>
      <c r="T537" s="95">
        <v>0</v>
      </c>
      <c r="U537" s="95">
        <v>0</v>
      </c>
      <c r="V537" s="95">
        <v>0</v>
      </c>
      <c r="W537" s="95">
        <v>0</v>
      </c>
      <c r="X537" s="95">
        <v>0</v>
      </c>
      <c r="Y537" s="95">
        <v>0</v>
      </c>
      <c r="Z537" s="95"/>
      <c r="AA537" s="8"/>
      <c r="AB537" s="8"/>
      <c r="AC537" s="8"/>
      <c r="AD537" s="8"/>
      <c r="AE537" s="11">
        <v>44958</v>
      </c>
      <c r="AF537" s="8"/>
      <c r="AG537" t="str">
        <f>VLOOKUP(OfficeForms.Table[[#This Row],[Nama Proyek]],'Nama Proyek'!$D$2:$G$29,4,0)</f>
        <v>-8.29394978,112.00545006</v>
      </c>
      <c r="AH537" s="5"/>
      <c r="AI537" s="5"/>
      <c r="AJ537" s="5"/>
      <c r="AK537" s="5" t="s">
        <v>1210</v>
      </c>
    </row>
    <row r="538" spans="1:37" ht="15" hidden="1" customHeight="1">
      <c r="A538">
        <v>446</v>
      </c>
      <c r="B538" s="111">
        <v>44958</v>
      </c>
      <c r="C538" s="29">
        <f>B538</f>
        <v>44958</v>
      </c>
      <c r="D538" s="9" t="s">
        <v>37</v>
      </c>
      <c r="E538" s="9" t="s">
        <v>504</v>
      </c>
      <c r="F538" s="5" t="str">
        <f>E538</f>
        <v>Fathan Zul Waskito</v>
      </c>
      <c r="G538" s="17" t="s">
        <v>472</v>
      </c>
      <c r="H538" s="104"/>
      <c r="I538" s="94">
        <v>0</v>
      </c>
      <c r="J538" s="94">
        <v>0</v>
      </c>
      <c r="K538" s="94">
        <v>0</v>
      </c>
      <c r="L538" s="94">
        <v>0</v>
      </c>
      <c r="M538" s="94">
        <v>0</v>
      </c>
      <c r="N538" s="94">
        <v>0</v>
      </c>
      <c r="O538" s="94">
        <v>0</v>
      </c>
      <c r="P538" s="94">
        <v>0</v>
      </c>
      <c r="Q538" s="94">
        <v>0</v>
      </c>
      <c r="R538" s="94">
        <v>0</v>
      </c>
      <c r="S538" s="94">
        <v>0</v>
      </c>
      <c r="T538" s="94">
        <v>0</v>
      </c>
      <c r="U538" s="94">
        <v>0</v>
      </c>
      <c r="V538" s="94">
        <v>0</v>
      </c>
      <c r="W538" s="94">
        <v>0</v>
      </c>
      <c r="X538" s="94">
        <v>0</v>
      </c>
      <c r="Y538" s="94">
        <v>0</v>
      </c>
      <c r="Z538" s="94"/>
      <c r="AA538" s="9"/>
      <c r="AB538" s="9"/>
      <c r="AC538" s="9"/>
      <c r="AD538" s="9"/>
      <c r="AE538" s="12">
        <v>44958</v>
      </c>
      <c r="AF538" s="45" t="s">
        <v>1211</v>
      </c>
      <c r="AG538" t="str">
        <f>VLOOKUP(OfficeForms.Table[[#This Row],[Nama Proyek]],'Nama Proyek'!$D$2:$G$29,4,0)</f>
        <v>-8.29394978,112.00545006</v>
      </c>
      <c r="AH538" s="5"/>
      <c r="AI538" s="5"/>
      <c r="AJ538" s="5"/>
      <c r="AK538" s="5" t="s">
        <v>1212</v>
      </c>
    </row>
    <row r="539" spans="1:37" ht="15" hidden="1" customHeight="1">
      <c r="A539" s="31">
        <v>510</v>
      </c>
      <c r="B539" s="111">
        <v>44958</v>
      </c>
      <c r="C539" s="29">
        <f>B539</f>
        <v>44958</v>
      </c>
      <c r="D539" s="8" t="s">
        <v>37</v>
      </c>
      <c r="E539" s="8" t="s">
        <v>278</v>
      </c>
      <c r="F539" s="5" t="str">
        <f>E539</f>
        <v>Teddy Pradana</v>
      </c>
      <c r="G539" s="17" t="s">
        <v>167</v>
      </c>
      <c r="H539" s="104"/>
      <c r="I539" s="95">
        <v>0</v>
      </c>
      <c r="J539" s="95">
        <v>0</v>
      </c>
      <c r="K539" s="95">
        <v>0</v>
      </c>
      <c r="L539" s="95">
        <v>0</v>
      </c>
      <c r="M539" s="95">
        <v>0</v>
      </c>
      <c r="N539" s="95">
        <v>0</v>
      </c>
      <c r="O539" s="95">
        <v>0</v>
      </c>
      <c r="P539" s="95">
        <v>0</v>
      </c>
      <c r="Q539" s="95">
        <v>0</v>
      </c>
      <c r="R539" s="95">
        <v>0</v>
      </c>
      <c r="S539" s="95">
        <v>0</v>
      </c>
      <c r="T539" s="95">
        <v>0</v>
      </c>
      <c r="U539" s="95">
        <v>0</v>
      </c>
      <c r="V539" s="95">
        <v>0</v>
      </c>
      <c r="W539" s="95">
        <v>0</v>
      </c>
      <c r="X539" s="95">
        <v>0</v>
      </c>
      <c r="Y539" s="95">
        <v>0</v>
      </c>
      <c r="Z539" s="95"/>
      <c r="AA539" s="8" t="s">
        <v>1213</v>
      </c>
      <c r="AB539" s="8" t="s">
        <v>1214</v>
      </c>
      <c r="AC539" s="8"/>
      <c r="AD539" s="8"/>
      <c r="AE539" s="11"/>
      <c r="AF539" s="42" t="s">
        <v>1215</v>
      </c>
      <c r="AG539" t="str">
        <f>VLOOKUP(OfficeForms.Table[[#This Row],[Nama Proyek]],'Nama Proyek'!$D$2:$G$29,4,0)</f>
        <v>2.426249030,128.29766314</v>
      </c>
      <c r="AH539" s="5"/>
      <c r="AI539" s="5"/>
      <c r="AJ539" s="5"/>
      <c r="AK539" s="5" t="s">
        <v>1216</v>
      </c>
    </row>
    <row r="540" spans="1:37" ht="15" hidden="1" customHeight="1">
      <c r="A540" s="30">
        <v>511</v>
      </c>
      <c r="B540" s="110">
        <v>44958</v>
      </c>
      <c r="C540" s="28">
        <f>B540</f>
        <v>44958</v>
      </c>
      <c r="D540" s="19" t="s">
        <v>37</v>
      </c>
      <c r="E540" s="19" t="s">
        <v>82</v>
      </c>
      <c r="F540" s="5" t="str">
        <f>E540</f>
        <v>Ajik Prastiyo</v>
      </c>
      <c r="G540" s="35" t="s">
        <v>80</v>
      </c>
      <c r="H540" s="106"/>
      <c r="I540" s="96">
        <v>0</v>
      </c>
      <c r="J540" s="96">
        <v>0</v>
      </c>
      <c r="K540" s="96">
        <v>0</v>
      </c>
      <c r="L540" s="96">
        <v>0</v>
      </c>
      <c r="M540" s="96">
        <v>0</v>
      </c>
      <c r="N540" s="96">
        <v>0</v>
      </c>
      <c r="O540" s="96">
        <v>0</v>
      </c>
      <c r="P540" s="96">
        <v>0</v>
      </c>
      <c r="Q540" s="96">
        <v>0</v>
      </c>
      <c r="R540" s="96">
        <v>0</v>
      </c>
      <c r="S540" s="96">
        <v>0</v>
      </c>
      <c r="T540" s="96">
        <v>0</v>
      </c>
      <c r="U540" s="96">
        <v>0</v>
      </c>
      <c r="V540" s="96">
        <v>0</v>
      </c>
      <c r="W540" s="96">
        <v>0</v>
      </c>
      <c r="X540" s="96">
        <v>0</v>
      </c>
      <c r="Y540" s="96">
        <v>0</v>
      </c>
      <c r="Z540" s="96"/>
      <c r="AA540" s="19"/>
      <c r="AB540" s="19"/>
      <c r="AC540" s="19"/>
      <c r="AD540" s="42"/>
      <c r="AE540" s="24">
        <v>44927</v>
      </c>
      <c r="AF540" s="45" t="s">
        <v>1217</v>
      </c>
      <c r="AG540" t="str">
        <f>VLOOKUP(OfficeForms.Table[[#This Row],[Nama Proyek]],'Nama Proyek'!$D$2:$G$29,4,0)</f>
        <v>-7.82225167,113.29968319</v>
      </c>
      <c r="AH540" s="5"/>
      <c r="AI540" s="5"/>
      <c r="AJ540" s="5"/>
      <c r="AK540" s="5" t="s">
        <v>1218</v>
      </c>
    </row>
    <row r="541" spans="1:37" ht="15" hidden="1" customHeight="1">
      <c r="A541" s="31">
        <v>512</v>
      </c>
      <c r="B541" s="111">
        <v>44958</v>
      </c>
      <c r="C541" s="29">
        <f>B541</f>
        <v>44958</v>
      </c>
      <c r="D541" s="8" t="s">
        <v>37</v>
      </c>
      <c r="E541" s="8" t="s">
        <v>82</v>
      </c>
      <c r="F541" s="5" t="str">
        <f>E541</f>
        <v>Ajik Prastiyo</v>
      </c>
      <c r="G541" s="36" t="s">
        <v>80</v>
      </c>
      <c r="H541" s="104"/>
      <c r="I541" s="95">
        <v>0</v>
      </c>
      <c r="J541" s="95">
        <v>0</v>
      </c>
      <c r="K541" s="95">
        <v>0</v>
      </c>
      <c r="L541" s="95">
        <v>0</v>
      </c>
      <c r="M541" s="95">
        <v>0</v>
      </c>
      <c r="N541" s="95">
        <v>0</v>
      </c>
      <c r="O541" s="95">
        <v>0</v>
      </c>
      <c r="P541" s="95">
        <v>0</v>
      </c>
      <c r="Q541" s="95">
        <v>0</v>
      </c>
      <c r="R541" s="95">
        <v>0</v>
      </c>
      <c r="S541" s="95">
        <v>0</v>
      </c>
      <c r="T541" s="95">
        <v>0</v>
      </c>
      <c r="U541" s="95">
        <v>0</v>
      </c>
      <c r="V541" s="95">
        <v>0</v>
      </c>
      <c r="W541" s="95">
        <v>0</v>
      </c>
      <c r="X541" s="95">
        <v>0</v>
      </c>
      <c r="Y541" s="95">
        <v>0</v>
      </c>
      <c r="Z541" s="95"/>
      <c r="AA541" s="8"/>
      <c r="AB541" s="8"/>
      <c r="AC541" s="8"/>
      <c r="AD541" s="8"/>
      <c r="AE541" s="11">
        <v>44927</v>
      </c>
      <c r="AF541" s="19" t="s">
        <v>1219</v>
      </c>
      <c r="AG541" t="str">
        <f>VLOOKUP(OfficeForms.Table[[#This Row],[Nama Proyek]],'Nama Proyek'!$D$2:$G$29,4,0)</f>
        <v>-7.82225167,113.29968319</v>
      </c>
      <c r="AH541" s="5"/>
      <c r="AI541" s="5"/>
      <c r="AJ541" s="5"/>
      <c r="AK541" s="5" t="s">
        <v>1220</v>
      </c>
    </row>
    <row r="542" spans="1:37" ht="15" hidden="1" customHeight="1">
      <c r="A542">
        <v>513</v>
      </c>
      <c r="B542" s="110">
        <v>44958</v>
      </c>
      <c r="C542" s="28">
        <f>B542</f>
        <v>44958</v>
      </c>
      <c r="D542" s="19" t="s">
        <v>37</v>
      </c>
      <c r="E542" s="19" t="s">
        <v>82</v>
      </c>
      <c r="F542" s="5" t="str">
        <f>E542</f>
        <v>Ajik Prastiyo</v>
      </c>
      <c r="G542" s="35" t="s">
        <v>80</v>
      </c>
      <c r="H542" s="106"/>
      <c r="I542" s="96">
        <v>0</v>
      </c>
      <c r="J542" s="96">
        <v>0</v>
      </c>
      <c r="K542" s="96">
        <v>0</v>
      </c>
      <c r="L542" s="96">
        <v>0</v>
      </c>
      <c r="M542" s="96">
        <v>0</v>
      </c>
      <c r="N542" s="96">
        <v>0</v>
      </c>
      <c r="O542" s="96">
        <v>0</v>
      </c>
      <c r="P542" s="96">
        <v>0</v>
      </c>
      <c r="Q542" s="96">
        <v>0</v>
      </c>
      <c r="R542" s="96">
        <v>0</v>
      </c>
      <c r="S542" s="96">
        <v>0</v>
      </c>
      <c r="T542" s="96">
        <v>0</v>
      </c>
      <c r="U542" s="96">
        <v>0</v>
      </c>
      <c r="V542" s="96">
        <v>0</v>
      </c>
      <c r="W542" s="96">
        <v>0</v>
      </c>
      <c r="X542" s="96">
        <v>0</v>
      </c>
      <c r="Y542" s="96">
        <v>0</v>
      </c>
      <c r="Z542" s="96"/>
      <c r="AA542" s="19"/>
      <c r="AB542" s="19"/>
      <c r="AC542" s="19"/>
      <c r="AD542" s="19"/>
      <c r="AE542" s="13">
        <v>44927</v>
      </c>
      <c r="AF542" s="41" t="s">
        <v>1221</v>
      </c>
      <c r="AG542" t="str">
        <f>VLOOKUP(OfficeForms.Table[[#This Row],[Nama Proyek]],'Nama Proyek'!$D$2:$G$29,4,0)</f>
        <v>-7.82225167,113.29968319</v>
      </c>
      <c r="AH542" s="5"/>
      <c r="AI542" s="5"/>
      <c r="AJ542" s="5"/>
      <c r="AK542" s="5" t="s">
        <v>1222</v>
      </c>
    </row>
    <row r="543" spans="1:37" ht="15" hidden="1" customHeight="1">
      <c r="A543" s="50">
        <v>514</v>
      </c>
      <c r="B543" s="111">
        <v>44958</v>
      </c>
      <c r="C543" s="29">
        <f>B543</f>
        <v>44958</v>
      </c>
      <c r="D543" s="8" t="s">
        <v>37</v>
      </c>
      <c r="E543" s="8" t="s">
        <v>82</v>
      </c>
      <c r="F543" s="5" t="str">
        <f>E543</f>
        <v>Ajik Prastiyo</v>
      </c>
      <c r="G543" s="33" t="s">
        <v>80</v>
      </c>
      <c r="H543" s="104"/>
      <c r="I543" s="95">
        <v>0</v>
      </c>
      <c r="J543" s="95">
        <v>0</v>
      </c>
      <c r="K543" s="95">
        <v>0</v>
      </c>
      <c r="L543" s="95">
        <v>0</v>
      </c>
      <c r="M543" s="95">
        <v>0</v>
      </c>
      <c r="N543" s="95">
        <v>0</v>
      </c>
      <c r="O543" s="95">
        <v>0</v>
      </c>
      <c r="P543" s="95">
        <v>0</v>
      </c>
      <c r="Q543" s="95">
        <v>0</v>
      </c>
      <c r="R543" s="95">
        <v>0</v>
      </c>
      <c r="S543" s="95">
        <v>0</v>
      </c>
      <c r="T543" s="95">
        <v>0</v>
      </c>
      <c r="U543" s="95">
        <v>0</v>
      </c>
      <c r="V543" s="95">
        <v>0</v>
      </c>
      <c r="W543" s="95">
        <v>0</v>
      </c>
      <c r="X543" s="95">
        <v>0</v>
      </c>
      <c r="Y543" s="95">
        <v>0</v>
      </c>
      <c r="Z543" s="95"/>
      <c r="AA543" s="8"/>
      <c r="AB543" s="8"/>
      <c r="AC543" s="8"/>
      <c r="AD543" s="8"/>
      <c r="AE543" s="11">
        <v>44927</v>
      </c>
      <c r="AF543" s="42" t="s">
        <v>1223</v>
      </c>
      <c r="AG543" t="str">
        <f>VLOOKUP(OfficeForms.Table[[#This Row],[Nama Proyek]],'Nama Proyek'!$D$2:$G$29,4,0)</f>
        <v>-7.82225167,113.29968319</v>
      </c>
      <c r="AH543" s="5"/>
      <c r="AI543" s="5"/>
      <c r="AJ543" s="5"/>
      <c r="AK543" s="5" t="s">
        <v>1224</v>
      </c>
    </row>
    <row r="544" spans="1:37" ht="15" hidden="1" customHeight="1">
      <c r="A544" s="31">
        <v>515</v>
      </c>
      <c r="B544" s="110">
        <v>44958</v>
      </c>
      <c r="C544" s="28">
        <f>B544</f>
        <v>44958</v>
      </c>
      <c r="D544" s="19" t="s">
        <v>37</v>
      </c>
      <c r="E544" s="19" t="s">
        <v>82</v>
      </c>
      <c r="F544" s="5" t="str">
        <f>E544</f>
        <v>Ajik Prastiyo</v>
      </c>
      <c r="G544" s="35" t="s">
        <v>80</v>
      </c>
      <c r="H544" s="106"/>
      <c r="I544" s="96">
        <v>0</v>
      </c>
      <c r="J544" s="96">
        <v>0</v>
      </c>
      <c r="K544" s="96">
        <v>0</v>
      </c>
      <c r="L544" s="96">
        <v>0</v>
      </c>
      <c r="M544" s="96">
        <v>0</v>
      </c>
      <c r="N544" s="96">
        <v>0</v>
      </c>
      <c r="O544" s="96">
        <v>0</v>
      </c>
      <c r="P544" s="96">
        <v>0</v>
      </c>
      <c r="Q544" s="96">
        <v>0</v>
      </c>
      <c r="R544" s="96">
        <v>0</v>
      </c>
      <c r="S544" s="96">
        <v>0</v>
      </c>
      <c r="T544" s="96">
        <v>0</v>
      </c>
      <c r="U544" s="96">
        <v>0</v>
      </c>
      <c r="V544" s="96">
        <v>0</v>
      </c>
      <c r="W544" s="96">
        <v>0</v>
      </c>
      <c r="X544" s="96">
        <v>0</v>
      </c>
      <c r="Y544" s="96">
        <v>0</v>
      </c>
      <c r="Z544" s="96"/>
      <c r="AA544" s="19"/>
      <c r="AB544" s="19"/>
      <c r="AC544" s="19"/>
      <c r="AD544" s="19"/>
      <c r="AE544" s="24">
        <v>44927</v>
      </c>
      <c r="AF544" s="15"/>
      <c r="AG544" t="str">
        <f>VLOOKUP(OfficeForms.Table[[#This Row],[Nama Proyek]],'Nama Proyek'!$D$2:$G$29,4,0)</f>
        <v>-7.82225167,113.29968319</v>
      </c>
      <c r="AH544" s="5"/>
      <c r="AI544" s="5"/>
      <c r="AJ544" s="5"/>
      <c r="AK544" s="5" t="s">
        <v>1225</v>
      </c>
    </row>
    <row r="545" spans="1:37" ht="15" hidden="1" customHeight="1">
      <c r="A545" s="30">
        <v>516</v>
      </c>
      <c r="B545" s="111">
        <v>44958</v>
      </c>
      <c r="C545" s="29">
        <f>B545</f>
        <v>44958</v>
      </c>
      <c r="D545" s="8" t="s">
        <v>37</v>
      </c>
      <c r="E545" s="8" t="s">
        <v>923</v>
      </c>
      <c r="F545" s="5" t="str">
        <f>E545</f>
        <v>Nizar Tarmidzi</v>
      </c>
      <c r="G545" s="23" t="s">
        <v>924</v>
      </c>
      <c r="H545" s="104"/>
      <c r="I545" s="95">
        <v>0</v>
      </c>
      <c r="J545" s="95">
        <v>0</v>
      </c>
      <c r="K545" s="95">
        <v>0</v>
      </c>
      <c r="L545" s="95">
        <v>0</v>
      </c>
      <c r="M545" s="95">
        <v>0</v>
      </c>
      <c r="N545" s="95">
        <v>0</v>
      </c>
      <c r="O545" s="95">
        <v>0</v>
      </c>
      <c r="P545" s="95">
        <v>0</v>
      </c>
      <c r="Q545" s="95">
        <v>0</v>
      </c>
      <c r="R545" s="95">
        <v>0</v>
      </c>
      <c r="S545" s="95">
        <v>0</v>
      </c>
      <c r="T545" s="95">
        <v>0</v>
      </c>
      <c r="U545" s="95">
        <v>0</v>
      </c>
      <c r="V545" s="95">
        <v>0</v>
      </c>
      <c r="W545" s="95">
        <v>0</v>
      </c>
      <c r="X545" s="95">
        <v>0</v>
      </c>
      <c r="Y545" s="95">
        <v>0</v>
      </c>
      <c r="Z545" s="95"/>
      <c r="AA545" s="8" t="s">
        <v>1226</v>
      </c>
      <c r="AB545" s="8"/>
      <c r="AC545" s="63" t="s">
        <v>1227</v>
      </c>
      <c r="AD545" s="8"/>
      <c r="AE545" s="16"/>
      <c r="AF545" s="47" t="s">
        <v>1228</v>
      </c>
      <c r="AG545" t="str">
        <f>VLOOKUP(OfficeForms.Table[[#This Row],[Nama Proyek]],'Nama Proyek'!$D$2:$G$40,4,0)</f>
        <v>-3.25078511,134.87791156</v>
      </c>
      <c r="AH545" s="5"/>
      <c r="AI545" s="5"/>
      <c r="AJ545" s="5"/>
      <c r="AK545" s="5" t="s">
        <v>1229</v>
      </c>
    </row>
    <row r="546" spans="1:37" ht="15" hidden="1" customHeight="1">
      <c r="A546" s="31">
        <v>308</v>
      </c>
      <c r="B546" s="111">
        <v>44959</v>
      </c>
      <c r="C546" s="29">
        <f>B546</f>
        <v>44959</v>
      </c>
      <c r="D546" s="8" t="s">
        <v>37</v>
      </c>
      <c r="E546" s="8" t="s">
        <v>75</v>
      </c>
      <c r="F546" s="5" t="str">
        <f>E546</f>
        <v>Banyu Purwita</v>
      </c>
      <c r="G546" s="54" t="s">
        <v>76</v>
      </c>
      <c r="H546" s="105">
        <v>44959</v>
      </c>
      <c r="I546" s="95">
        <v>39.997</v>
      </c>
      <c r="J546" s="95">
        <v>41.286000000000001</v>
      </c>
      <c r="K546" s="95">
        <v>0</v>
      </c>
      <c r="L546" s="95">
        <v>0</v>
      </c>
      <c r="M546" s="95">
        <v>1.2</v>
      </c>
      <c r="N546" s="95">
        <v>0</v>
      </c>
      <c r="O546" s="95">
        <v>12.007999999999999</v>
      </c>
      <c r="P546" s="95">
        <v>0</v>
      </c>
      <c r="Q546" s="95">
        <v>1.855</v>
      </c>
      <c r="R546" s="95">
        <v>0</v>
      </c>
      <c r="S546" s="95">
        <v>23.332999999999998</v>
      </c>
      <c r="T546" s="95">
        <v>0</v>
      </c>
      <c r="U546" s="95">
        <v>6.3E-2</v>
      </c>
      <c r="V546" s="95">
        <v>0</v>
      </c>
      <c r="W546" s="95">
        <v>0</v>
      </c>
      <c r="X546" s="95">
        <v>0</v>
      </c>
      <c r="Y546" s="95">
        <v>0</v>
      </c>
      <c r="Z546" s="95"/>
      <c r="AA546" s="8"/>
      <c r="AB546" s="8"/>
      <c r="AC546" s="8"/>
      <c r="AD546" s="8"/>
      <c r="AE546" s="16"/>
      <c r="AF546" s="8"/>
      <c r="AG546" t="str">
        <f>VLOOKUP(OfficeForms.Table[[#This Row],[Nama Proyek]],'Nama Proyek'!$D$2:$G$29,4,0)</f>
        <v>-2.95293103,104.75455094</v>
      </c>
      <c r="AH546" s="5"/>
      <c r="AI546" s="5"/>
      <c r="AJ546" s="5"/>
      <c r="AK546" s="5" t="s">
        <v>1230</v>
      </c>
    </row>
    <row r="547" spans="1:37" ht="15" hidden="1" customHeight="1">
      <c r="A547">
        <v>1031</v>
      </c>
      <c r="B547" s="110">
        <v>44959</v>
      </c>
      <c r="C547" s="28">
        <f>B547</f>
        <v>44959</v>
      </c>
      <c r="D547" s="19" t="s">
        <v>37</v>
      </c>
      <c r="E547" s="19" t="s">
        <v>504</v>
      </c>
      <c r="F547" s="5" t="str">
        <f>E547</f>
        <v>Fathan Zul Waskito</v>
      </c>
      <c r="G547" s="19" t="s">
        <v>472</v>
      </c>
      <c r="H547" s="106">
        <v>44959</v>
      </c>
      <c r="I547" s="96">
        <v>48.587000000000003</v>
      </c>
      <c r="J547" s="96">
        <v>57.69</v>
      </c>
      <c r="K547" s="96">
        <v>0.34200000000000003</v>
      </c>
      <c r="L547" s="96">
        <v>0</v>
      </c>
      <c r="M547" s="96">
        <v>44.779000000000003</v>
      </c>
      <c r="N547" s="96">
        <v>3.0000000000000001E-3</v>
      </c>
      <c r="O547" s="96">
        <v>0.12</v>
      </c>
      <c r="P547" s="96">
        <v>2.9000000000000001E-2</v>
      </c>
      <c r="Q547" s="96">
        <v>0.20100000000000001</v>
      </c>
      <c r="R547" s="96">
        <v>0</v>
      </c>
      <c r="S547" s="96">
        <v>1.6930000000000001</v>
      </c>
      <c r="T547" s="96">
        <v>0</v>
      </c>
      <c r="U547" s="96">
        <v>0</v>
      </c>
      <c r="V547" s="96">
        <v>0</v>
      </c>
      <c r="W547" s="96">
        <v>0</v>
      </c>
      <c r="X547" s="96">
        <v>0</v>
      </c>
      <c r="Y547" s="96">
        <v>0</v>
      </c>
      <c r="Z547" s="96"/>
      <c r="AA547" s="19"/>
      <c r="AB547" s="19"/>
      <c r="AC547" s="19"/>
      <c r="AD547" s="19"/>
      <c r="AE547" s="13"/>
      <c r="AF547" s="8"/>
      <c r="AG547" t="str">
        <f>VLOOKUP(OfficeForms.Table[[#This Row],[Nama Proyek]],'Nama Proyek'!$D$2:$G$29,4,0)</f>
        <v>-8.29394978,112.00545006</v>
      </c>
      <c r="AH547" s="5"/>
      <c r="AI547" s="5"/>
      <c r="AJ547" s="5"/>
      <c r="AK547" s="5" t="s">
        <v>1231</v>
      </c>
    </row>
    <row r="548" spans="1:37" ht="15" hidden="1" customHeight="1">
      <c r="A548" s="50">
        <v>705</v>
      </c>
      <c r="B548" s="110">
        <v>44959</v>
      </c>
      <c r="C548" s="28">
        <f>B548</f>
        <v>44959</v>
      </c>
      <c r="D548" s="19" t="s">
        <v>37</v>
      </c>
      <c r="E548" s="19" t="s">
        <v>75</v>
      </c>
      <c r="F548" s="5" t="str">
        <f>E548</f>
        <v>Banyu Purwita</v>
      </c>
      <c r="G548" s="55" t="s">
        <v>76</v>
      </c>
      <c r="H548" s="106"/>
      <c r="I548" s="96">
        <v>0</v>
      </c>
      <c r="J548" s="96">
        <v>0</v>
      </c>
      <c r="K548" s="96">
        <v>0</v>
      </c>
      <c r="L548" s="96">
        <v>0</v>
      </c>
      <c r="M548" s="96">
        <v>0</v>
      </c>
      <c r="N548" s="96">
        <v>0</v>
      </c>
      <c r="O548" s="96">
        <v>0</v>
      </c>
      <c r="P548" s="96">
        <v>0</v>
      </c>
      <c r="Q548" s="96">
        <v>0</v>
      </c>
      <c r="R548" s="96">
        <v>0</v>
      </c>
      <c r="S548" s="96">
        <v>0</v>
      </c>
      <c r="T548" s="96">
        <v>0</v>
      </c>
      <c r="U548" s="96">
        <v>0</v>
      </c>
      <c r="V548" s="96">
        <v>0</v>
      </c>
      <c r="W548" s="96">
        <v>0</v>
      </c>
      <c r="X548" s="96">
        <v>0</v>
      </c>
      <c r="Y548" s="96">
        <v>0</v>
      </c>
      <c r="Z548" s="96"/>
      <c r="AA548" s="19"/>
      <c r="AB548" s="19"/>
      <c r="AC548" s="19"/>
      <c r="AD548" s="19"/>
      <c r="AE548" s="13">
        <v>44959</v>
      </c>
      <c r="AF548" s="17"/>
      <c r="AG548" t="str">
        <f>VLOOKUP(OfficeForms.Table[[#This Row],[Nama Proyek]],'Nama Proyek'!$D$2:$G$29,4,0)</f>
        <v>-2.95293103,104.75455094</v>
      </c>
      <c r="AH548" s="5"/>
      <c r="AI548" s="5"/>
      <c r="AJ548" s="5"/>
      <c r="AK548" s="5" t="s">
        <v>1232</v>
      </c>
    </row>
    <row r="549" spans="1:37" ht="15" hidden="1" customHeight="1">
      <c r="A549" s="31">
        <v>712</v>
      </c>
      <c r="B549" s="111">
        <v>44959</v>
      </c>
      <c r="C549" s="29">
        <f>B549</f>
        <v>44959</v>
      </c>
      <c r="D549" s="8" t="s">
        <v>37</v>
      </c>
      <c r="E549" s="8" t="s">
        <v>75</v>
      </c>
      <c r="F549" s="5" t="str">
        <f>E549</f>
        <v>Banyu Purwita</v>
      </c>
      <c r="G549" s="54" t="s">
        <v>76</v>
      </c>
      <c r="H549" s="105"/>
      <c r="I549" s="95">
        <v>0</v>
      </c>
      <c r="J549" s="95">
        <v>0</v>
      </c>
      <c r="K549" s="95">
        <v>0</v>
      </c>
      <c r="L549" s="95">
        <v>0</v>
      </c>
      <c r="M549" s="95">
        <v>0</v>
      </c>
      <c r="N549" s="95">
        <v>0</v>
      </c>
      <c r="O549" s="95">
        <v>0</v>
      </c>
      <c r="P549" s="95">
        <v>0</v>
      </c>
      <c r="Q549" s="95">
        <v>0</v>
      </c>
      <c r="R549" s="95">
        <v>0</v>
      </c>
      <c r="S549" s="95">
        <v>0</v>
      </c>
      <c r="T549" s="95">
        <v>0</v>
      </c>
      <c r="U549" s="95">
        <v>0</v>
      </c>
      <c r="V549" s="95">
        <v>0</v>
      </c>
      <c r="W549" s="95">
        <v>0</v>
      </c>
      <c r="X549" s="95">
        <v>0</v>
      </c>
      <c r="Y549" s="95">
        <v>0</v>
      </c>
      <c r="Z549" s="95"/>
      <c r="AA549" s="8" t="s">
        <v>1233</v>
      </c>
      <c r="AB549" s="8" t="s">
        <v>1234</v>
      </c>
      <c r="AC549" s="15" t="s">
        <v>1235</v>
      </c>
      <c r="AD549" s="15" t="s">
        <v>1235</v>
      </c>
      <c r="AE549" s="16"/>
      <c r="AF549" s="41" t="s">
        <v>1236</v>
      </c>
      <c r="AG549" t="str">
        <f>VLOOKUP(OfficeForms.Table[[#This Row],[Nama Proyek]],'Nama Proyek'!$D$2:$G$29,4,0)</f>
        <v>-2.95293103,104.75455094</v>
      </c>
      <c r="AH549" s="5"/>
      <c r="AI549" s="5"/>
      <c r="AJ549" s="5"/>
      <c r="AK549" s="5" t="s">
        <v>1237</v>
      </c>
    </row>
    <row r="550" spans="1:37" ht="15" hidden="1" customHeight="1">
      <c r="A550" s="31">
        <v>313</v>
      </c>
      <c r="B550" s="110">
        <v>44960</v>
      </c>
      <c r="C550" s="28">
        <f>B550</f>
        <v>44960</v>
      </c>
      <c r="D550" s="8" t="s">
        <v>37</v>
      </c>
      <c r="E550" s="8" t="s">
        <v>75</v>
      </c>
      <c r="F550" s="5" t="str">
        <f>E550</f>
        <v>Banyu Purwita</v>
      </c>
      <c r="G550" s="55" t="s">
        <v>76</v>
      </c>
      <c r="H550" s="105">
        <v>44987</v>
      </c>
      <c r="I550" s="95">
        <v>42.314999999999998</v>
      </c>
      <c r="J550" s="95">
        <v>42.737000000000002</v>
      </c>
      <c r="K550" s="95">
        <v>0</v>
      </c>
      <c r="L550" s="95">
        <v>0</v>
      </c>
      <c r="M550" s="95">
        <v>1.2</v>
      </c>
      <c r="N550" s="95">
        <v>0</v>
      </c>
      <c r="O550" s="95">
        <v>11.962</v>
      </c>
      <c r="P550" s="95">
        <v>0</v>
      </c>
      <c r="Q550" s="95">
        <v>1.855</v>
      </c>
      <c r="R550" s="95">
        <v>0</v>
      </c>
      <c r="S550" s="95">
        <v>25.529</v>
      </c>
      <c r="T550" s="95">
        <v>0</v>
      </c>
      <c r="U550" s="95">
        <v>6.3E-2</v>
      </c>
      <c r="V550" s="95">
        <v>0</v>
      </c>
      <c r="W550" s="95">
        <v>0</v>
      </c>
      <c r="X550" s="95">
        <v>0</v>
      </c>
      <c r="Y550" s="95">
        <v>0</v>
      </c>
      <c r="Z550" s="95"/>
      <c r="AA550" s="8"/>
      <c r="AB550" s="8"/>
      <c r="AC550" s="8"/>
      <c r="AD550" s="8"/>
      <c r="AE550" s="11"/>
      <c r="AF550" s="9"/>
      <c r="AG550" t="str">
        <f>VLOOKUP(OfficeForms.Table[[#This Row],[Nama Proyek]],'Nama Proyek'!$D$2:$G$29,4,0)</f>
        <v>-2.95293103,104.75455094</v>
      </c>
      <c r="AH550" s="5"/>
      <c r="AI550" s="5"/>
      <c r="AJ550" s="5"/>
      <c r="AK550" s="5" t="s">
        <v>1238</v>
      </c>
    </row>
    <row r="551" spans="1:37" ht="15" hidden="1" customHeight="1">
      <c r="A551" s="31">
        <v>760</v>
      </c>
      <c r="B551" s="111">
        <v>44960</v>
      </c>
      <c r="C551" s="29">
        <f>B551</f>
        <v>44960</v>
      </c>
      <c r="D551" s="9" t="s">
        <v>37</v>
      </c>
      <c r="E551" s="9" t="s">
        <v>75</v>
      </c>
      <c r="F551" s="5" t="str">
        <f>E551</f>
        <v>Banyu Purwita</v>
      </c>
      <c r="G551" s="54" t="s">
        <v>76</v>
      </c>
      <c r="H551" s="104"/>
      <c r="I551" s="94">
        <v>0</v>
      </c>
      <c r="J551" s="94">
        <v>0</v>
      </c>
      <c r="K551" s="94">
        <v>0</v>
      </c>
      <c r="L551" s="94">
        <v>0</v>
      </c>
      <c r="M551" s="94">
        <v>0</v>
      </c>
      <c r="N551" s="94">
        <v>0</v>
      </c>
      <c r="O551" s="94">
        <v>0</v>
      </c>
      <c r="P551" s="94">
        <v>0</v>
      </c>
      <c r="Q551" s="94">
        <v>0</v>
      </c>
      <c r="R551" s="94">
        <v>0</v>
      </c>
      <c r="S551" s="94">
        <v>0</v>
      </c>
      <c r="T551" s="94">
        <v>0</v>
      </c>
      <c r="U551" s="94">
        <v>0</v>
      </c>
      <c r="V551" s="94">
        <v>0</v>
      </c>
      <c r="W551" s="94">
        <v>0</v>
      </c>
      <c r="X551" s="94">
        <v>0</v>
      </c>
      <c r="Y551" s="94">
        <v>0</v>
      </c>
      <c r="Z551" s="94"/>
      <c r="AA551" s="9"/>
      <c r="AB551" s="9"/>
      <c r="AC551" s="9"/>
      <c r="AD551" s="9"/>
      <c r="AE551" s="12">
        <v>44960</v>
      </c>
      <c r="AF551" s="19"/>
      <c r="AG551" t="str">
        <f>VLOOKUP(OfficeForms.Table[[#This Row],[Nama Proyek]],'Nama Proyek'!$D$2:$G$29,4,0)</f>
        <v>-2.95293103,104.75455094</v>
      </c>
      <c r="AH551" s="5"/>
      <c r="AI551" s="5"/>
      <c r="AJ551" s="5"/>
      <c r="AK551" s="5" t="s">
        <v>1239</v>
      </c>
    </row>
    <row r="552" spans="1:37" ht="15" hidden="1" customHeight="1">
      <c r="A552" s="50">
        <v>764</v>
      </c>
      <c r="B552" s="111">
        <v>44960</v>
      </c>
      <c r="C552" s="29">
        <f>B552</f>
        <v>44960</v>
      </c>
      <c r="D552" s="9" t="s">
        <v>37</v>
      </c>
      <c r="E552" s="9" t="s">
        <v>75</v>
      </c>
      <c r="F552" s="5" t="str">
        <f>E552</f>
        <v>Banyu Purwita</v>
      </c>
      <c r="G552" s="54" t="s">
        <v>76</v>
      </c>
      <c r="H552" s="104"/>
      <c r="I552" s="94">
        <v>0</v>
      </c>
      <c r="J552" s="94">
        <v>0</v>
      </c>
      <c r="K552" s="94">
        <v>0</v>
      </c>
      <c r="L552" s="94">
        <v>0</v>
      </c>
      <c r="M552" s="94">
        <v>0</v>
      </c>
      <c r="N552" s="94">
        <v>0</v>
      </c>
      <c r="O552" s="94">
        <v>0</v>
      </c>
      <c r="P552" s="94">
        <v>0</v>
      </c>
      <c r="Q552" s="94">
        <v>0</v>
      </c>
      <c r="R552" s="94">
        <v>0</v>
      </c>
      <c r="S552" s="94">
        <v>0</v>
      </c>
      <c r="T552" s="94">
        <v>0</v>
      </c>
      <c r="U552" s="94">
        <v>0</v>
      </c>
      <c r="V552" s="94">
        <v>0</v>
      </c>
      <c r="W552" s="94">
        <v>0</v>
      </c>
      <c r="X552" s="94">
        <v>0</v>
      </c>
      <c r="Y552" s="94">
        <v>0</v>
      </c>
      <c r="Z552" s="94"/>
      <c r="AA552" s="9" t="s">
        <v>1240</v>
      </c>
      <c r="AB552" s="9" t="s">
        <v>1240</v>
      </c>
      <c r="AC552" s="9" t="s">
        <v>1240</v>
      </c>
      <c r="AD552" s="9" t="s">
        <v>1240</v>
      </c>
      <c r="AE552" s="12"/>
      <c r="AF552" s="41" t="s">
        <v>1093</v>
      </c>
      <c r="AG552" t="str">
        <f>VLOOKUP(OfficeForms.Table[[#This Row],[Nama Proyek]],'Nama Proyek'!$D$2:$G$29,4,0)</f>
        <v>-2.95293103,104.75455094</v>
      </c>
      <c r="AH552" s="5"/>
      <c r="AI552" s="5"/>
      <c r="AJ552" s="5"/>
      <c r="AK552" s="5" t="s">
        <v>1241</v>
      </c>
    </row>
    <row r="553" spans="1:37" ht="15" hidden="1" customHeight="1">
      <c r="A553">
        <v>899</v>
      </c>
      <c r="B553" s="110">
        <v>44962</v>
      </c>
      <c r="C553" s="28">
        <f>B553</f>
        <v>44962</v>
      </c>
      <c r="D553" s="19" t="s">
        <v>37</v>
      </c>
      <c r="E553" s="19" t="s">
        <v>64</v>
      </c>
      <c r="F553" s="5" t="str">
        <f>E553</f>
        <v>Nizar Zulkarnain</v>
      </c>
      <c r="G553" s="42" t="s">
        <v>65</v>
      </c>
      <c r="H553" s="106">
        <v>45032</v>
      </c>
      <c r="I553" s="96">
        <v>76.81</v>
      </c>
      <c r="J553" s="96">
        <v>89.7</v>
      </c>
      <c r="K553" s="96">
        <v>70.239999999999995</v>
      </c>
      <c r="L553" s="96">
        <v>68.41</v>
      </c>
      <c r="M553" s="96">
        <v>82.78</v>
      </c>
      <c r="N553" s="96">
        <v>92.9</v>
      </c>
      <c r="O553" s="96">
        <v>69.16</v>
      </c>
      <c r="P553" s="96">
        <v>72.83</v>
      </c>
      <c r="Q553" s="96">
        <v>74.62</v>
      </c>
      <c r="R553" s="96">
        <v>60.63</v>
      </c>
      <c r="S553" s="96">
        <v>86.29</v>
      </c>
      <c r="T553" s="96">
        <v>90.21</v>
      </c>
      <c r="U553" s="96">
        <v>38.08</v>
      </c>
      <c r="V553" s="96">
        <v>21.43</v>
      </c>
      <c r="W553" s="96">
        <v>0</v>
      </c>
      <c r="X553" s="96">
        <v>98.36</v>
      </c>
      <c r="Y553" s="96">
        <v>41.48</v>
      </c>
      <c r="Z553" s="96"/>
      <c r="AA553" s="19"/>
      <c r="AB553" s="19"/>
      <c r="AC553" s="19"/>
      <c r="AD553" s="19"/>
      <c r="AE553" s="13"/>
      <c r="AF553" s="8"/>
      <c r="AG553" t="str">
        <f>VLOOKUP(OfficeForms.Table[[#This Row],[Nama Proyek]],'Nama Proyek'!$D$2:$G$29,4,0)</f>
        <v>-6.35008011,107.02324233</v>
      </c>
      <c r="AH553" s="5"/>
      <c r="AI553" s="5"/>
      <c r="AJ553" s="5"/>
      <c r="AK553" s="5" t="s">
        <v>1242</v>
      </c>
    </row>
    <row r="554" spans="1:37" ht="15" hidden="1" customHeight="1">
      <c r="A554" s="30">
        <v>958</v>
      </c>
      <c r="B554" s="111">
        <v>44962</v>
      </c>
      <c r="C554" s="29">
        <f>B554</f>
        <v>44962</v>
      </c>
      <c r="D554" s="9" t="s">
        <v>37</v>
      </c>
      <c r="E554" s="9" t="s">
        <v>1109</v>
      </c>
      <c r="F554" s="5" t="str">
        <f>E554</f>
        <v>Anzalar Rahman</v>
      </c>
      <c r="G554" s="33" t="s">
        <v>714</v>
      </c>
      <c r="H554" s="104">
        <v>45041</v>
      </c>
      <c r="I554" s="94">
        <v>21.178999999999998</v>
      </c>
      <c r="J554" s="94">
        <v>25.369</v>
      </c>
      <c r="K554" s="94">
        <v>0</v>
      </c>
      <c r="L554" s="94">
        <v>0</v>
      </c>
      <c r="M554" s="94">
        <v>0</v>
      </c>
      <c r="N554" s="94">
        <v>0</v>
      </c>
      <c r="O554" s="94">
        <v>0</v>
      </c>
      <c r="P554" s="94">
        <v>0</v>
      </c>
      <c r="Q554" s="94">
        <v>0</v>
      </c>
      <c r="R554" s="94">
        <v>0</v>
      </c>
      <c r="S554" s="94">
        <v>0</v>
      </c>
      <c r="T554" s="94">
        <v>0</v>
      </c>
      <c r="U554" s="94">
        <v>0</v>
      </c>
      <c r="V554" s="94">
        <v>0</v>
      </c>
      <c r="W554" s="94">
        <v>0</v>
      </c>
      <c r="X554" s="94">
        <v>0</v>
      </c>
      <c r="Y554" s="94">
        <v>0</v>
      </c>
      <c r="Z554" s="94"/>
      <c r="AA554" s="9"/>
      <c r="AB554" s="9"/>
      <c r="AC554" s="9"/>
      <c r="AD554" s="9"/>
      <c r="AE554" s="12"/>
      <c r="AF554" s="19"/>
      <c r="AG554" t="str">
        <f>VLOOKUP(OfficeForms.Table[[#This Row],[Nama Proyek]],'Nama Proyek'!$D$2:$G$29,4,0)</f>
        <v>-0.95259625,116.71704453</v>
      </c>
      <c r="AH554" s="5"/>
      <c r="AI554" s="5"/>
      <c r="AJ554" s="5"/>
      <c r="AK554" s="5" t="s">
        <v>1243</v>
      </c>
    </row>
    <row r="555" spans="1:37" ht="15" hidden="1" customHeight="1">
      <c r="A555" s="50">
        <v>785</v>
      </c>
      <c r="B555" s="110">
        <v>44962</v>
      </c>
      <c r="C555" s="28">
        <f>B555</f>
        <v>44962</v>
      </c>
      <c r="D555" s="8" t="s">
        <v>37</v>
      </c>
      <c r="E555" s="8" t="s">
        <v>82</v>
      </c>
      <c r="F555" s="5" t="str">
        <f>E555</f>
        <v>Ajik Prastiyo</v>
      </c>
      <c r="G555" s="38" t="s">
        <v>80</v>
      </c>
      <c r="H555" s="105">
        <v>45046</v>
      </c>
      <c r="I555" s="95">
        <v>98.710873570000004</v>
      </c>
      <c r="J555" s="95">
        <v>100</v>
      </c>
      <c r="K555" s="95">
        <v>0.41421717000000002</v>
      </c>
      <c r="L555" s="95">
        <v>0.15236754</v>
      </c>
      <c r="M555" s="95">
        <v>32.84070157</v>
      </c>
      <c r="N555" s="95">
        <v>0.45167497000000001</v>
      </c>
      <c r="O555" s="95">
        <v>3.5479093499999999</v>
      </c>
      <c r="P555" s="95">
        <v>0.24821383999999999</v>
      </c>
      <c r="Q555" s="95">
        <v>0.11038346</v>
      </c>
      <c r="R555" s="95">
        <v>17.659657110000001</v>
      </c>
      <c r="S555" s="95">
        <v>28.572155909999999</v>
      </c>
      <c r="T555" s="95">
        <v>0</v>
      </c>
      <c r="U555" s="95">
        <v>9.6603274999999993</v>
      </c>
      <c r="V555" s="95">
        <v>3.3345074299999999</v>
      </c>
      <c r="W555" s="95">
        <v>0.36798929000000002</v>
      </c>
      <c r="X555" s="95">
        <v>0.24905785</v>
      </c>
      <c r="Y555" s="95">
        <v>0.62289329000000004</v>
      </c>
      <c r="Z555" s="95"/>
      <c r="AA555" s="8"/>
      <c r="AB555" s="8"/>
      <c r="AC555" s="8"/>
      <c r="AD555" s="8"/>
      <c r="AE555" s="11"/>
      <c r="AF555" s="9" t="s">
        <v>1244</v>
      </c>
      <c r="AG555" t="str">
        <f>VLOOKUP(OfficeForms.Table[[#This Row],[Nama Proyek]],'Nama Proyek'!$D$2:$G$29,4,0)</f>
        <v>-7.82225167,113.29968319</v>
      </c>
      <c r="AH555" s="5"/>
      <c r="AI555" s="5"/>
      <c r="AJ555" s="5"/>
      <c r="AK555" s="5" t="s">
        <v>1245</v>
      </c>
    </row>
    <row r="556" spans="1:37" ht="15" hidden="1" customHeight="1">
      <c r="A556" s="50">
        <v>429</v>
      </c>
      <c r="B556" s="110">
        <v>44962</v>
      </c>
      <c r="C556" s="28">
        <f>B556</f>
        <v>44962</v>
      </c>
      <c r="D556" s="19" t="s">
        <v>37</v>
      </c>
      <c r="E556" s="19" t="s">
        <v>64</v>
      </c>
      <c r="F556" s="5" t="str">
        <f>E556</f>
        <v>Nizar Zulkarnain</v>
      </c>
      <c r="G556" s="19" t="s">
        <v>65</v>
      </c>
      <c r="H556" s="106"/>
      <c r="I556" s="96">
        <v>0</v>
      </c>
      <c r="J556" s="96">
        <v>0</v>
      </c>
      <c r="K556" s="96">
        <v>0</v>
      </c>
      <c r="L556" s="96">
        <v>0</v>
      </c>
      <c r="M556" s="96">
        <v>0</v>
      </c>
      <c r="N556" s="96">
        <v>0</v>
      </c>
      <c r="O556" s="96">
        <v>0</v>
      </c>
      <c r="P556" s="96">
        <v>0</v>
      </c>
      <c r="Q556" s="96">
        <v>0</v>
      </c>
      <c r="R556" s="96">
        <v>0</v>
      </c>
      <c r="S556" s="96">
        <v>0</v>
      </c>
      <c r="T556" s="96">
        <v>0</v>
      </c>
      <c r="U556" s="96">
        <v>0</v>
      </c>
      <c r="V556" s="96">
        <v>0</v>
      </c>
      <c r="W556" s="96">
        <v>0</v>
      </c>
      <c r="X556" s="96">
        <v>0</v>
      </c>
      <c r="Y556" s="96">
        <v>0</v>
      </c>
      <c r="Z556" s="96"/>
      <c r="AA556" s="19"/>
      <c r="AB556" s="19"/>
      <c r="AC556" s="19"/>
      <c r="AD556" s="19"/>
      <c r="AE556" s="13" t="s">
        <v>1246</v>
      </c>
      <c r="AF556" s="15"/>
      <c r="AG556" t="str">
        <f>VLOOKUP(OfficeForms.Table[[#This Row],[Nama Proyek]],'Nama Proyek'!$D$2:$G$29,4,0)</f>
        <v>-6.35008011,107.02324233</v>
      </c>
      <c r="AH556" s="5"/>
      <c r="AI556" s="5"/>
      <c r="AJ556" s="5"/>
      <c r="AK556" s="5" t="s">
        <v>1247</v>
      </c>
    </row>
    <row r="557" spans="1:37" ht="15" hidden="1" customHeight="1">
      <c r="A557" s="30">
        <v>432</v>
      </c>
      <c r="B557" s="111">
        <v>44962</v>
      </c>
      <c r="C557" s="29">
        <f>B557</f>
        <v>44962</v>
      </c>
      <c r="D557" s="9" t="s">
        <v>37</v>
      </c>
      <c r="E557" s="9" t="s">
        <v>64</v>
      </c>
      <c r="F557" s="5" t="str">
        <f>E557</f>
        <v>Nizar Zulkarnain</v>
      </c>
      <c r="G557" s="9" t="s">
        <v>65</v>
      </c>
      <c r="H557" s="104"/>
      <c r="I557" s="94">
        <v>0</v>
      </c>
      <c r="J557" s="94">
        <v>0</v>
      </c>
      <c r="K557" s="94">
        <v>0</v>
      </c>
      <c r="L557" s="94">
        <v>0</v>
      </c>
      <c r="M557" s="94">
        <v>0</v>
      </c>
      <c r="N557" s="94">
        <v>0</v>
      </c>
      <c r="O557" s="94">
        <v>0</v>
      </c>
      <c r="P557" s="94">
        <v>0</v>
      </c>
      <c r="Q557" s="94">
        <v>0</v>
      </c>
      <c r="R557" s="94">
        <v>0</v>
      </c>
      <c r="S557" s="94">
        <v>0</v>
      </c>
      <c r="T557" s="94">
        <v>0</v>
      </c>
      <c r="U557" s="94">
        <v>0</v>
      </c>
      <c r="V557" s="94">
        <v>0</v>
      </c>
      <c r="W557" s="94">
        <v>0</v>
      </c>
      <c r="X557" s="94">
        <v>0</v>
      </c>
      <c r="Y557" s="94">
        <v>0</v>
      </c>
      <c r="Z557" s="94"/>
      <c r="AA557" s="9"/>
      <c r="AB557" s="9"/>
      <c r="AC557" s="9" t="s">
        <v>1248</v>
      </c>
      <c r="AD557" s="17"/>
      <c r="AE557" s="18"/>
      <c r="AF557" s="19"/>
      <c r="AG557" t="str">
        <f>VLOOKUP(OfficeForms.Table[[#This Row],[Nama Proyek]],'Nama Proyek'!$D$2:$G$29,4,0)</f>
        <v>-6.35008011,107.02324233</v>
      </c>
      <c r="AH557" s="5"/>
      <c r="AI557" s="5"/>
      <c r="AJ557" s="5"/>
      <c r="AK557" s="5" t="s">
        <v>1249</v>
      </c>
    </row>
    <row r="558" spans="1:37" ht="15" hidden="1" customHeight="1">
      <c r="A558" s="31">
        <v>579</v>
      </c>
      <c r="B558" s="110">
        <v>44962</v>
      </c>
      <c r="C558" s="28">
        <f>B558</f>
        <v>44962</v>
      </c>
      <c r="D558" s="8" t="s">
        <v>37</v>
      </c>
      <c r="E558" s="8" t="s">
        <v>1109</v>
      </c>
      <c r="F558" s="5" t="str">
        <f>E558</f>
        <v>Anzalar Rahman</v>
      </c>
      <c r="G558" s="35" t="s">
        <v>714</v>
      </c>
      <c r="H558" s="105"/>
      <c r="I558" s="95">
        <v>0</v>
      </c>
      <c r="J558" s="95">
        <v>0</v>
      </c>
      <c r="K558" s="95">
        <v>0</v>
      </c>
      <c r="L558" s="95">
        <v>0</v>
      </c>
      <c r="M558" s="95">
        <v>0</v>
      </c>
      <c r="N558" s="95">
        <v>0</v>
      </c>
      <c r="O558" s="95">
        <v>0</v>
      </c>
      <c r="P558" s="95">
        <v>0</v>
      </c>
      <c r="Q558" s="95">
        <v>0</v>
      </c>
      <c r="R558" s="95">
        <v>0</v>
      </c>
      <c r="S558" s="95">
        <v>0</v>
      </c>
      <c r="T558" s="95">
        <v>0</v>
      </c>
      <c r="U558" s="95">
        <v>0</v>
      </c>
      <c r="V558" s="95">
        <v>0</v>
      </c>
      <c r="W558" s="95">
        <v>0</v>
      </c>
      <c r="X558" s="95">
        <v>0</v>
      </c>
      <c r="Y558" s="95">
        <v>0</v>
      </c>
      <c r="Z558" s="95"/>
      <c r="AA558" s="8"/>
      <c r="AB558" s="8"/>
      <c r="AC558" s="8"/>
      <c r="AD558" s="8"/>
      <c r="AE558" s="11">
        <v>44962</v>
      </c>
      <c r="AF558" s="17"/>
      <c r="AG558" t="str">
        <f>VLOOKUP(OfficeForms.Table[[#This Row],[Nama Proyek]],'Nama Proyek'!$D$2:$G$29,4,0)</f>
        <v>-0.95259625,116.71704453</v>
      </c>
      <c r="AH558" s="5"/>
      <c r="AI558" s="5"/>
      <c r="AJ558" s="5"/>
      <c r="AK558" s="5" t="s">
        <v>1250</v>
      </c>
    </row>
    <row r="559" spans="1:37" ht="15" hidden="1" customHeight="1">
      <c r="A559" s="30">
        <v>595</v>
      </c>
      <c r="B559" s="110">
        <v>44962</v>
      </c>
      <c r="C559" s="28">
        <f>B559</f>
        <v>44962</v>
      </c>
      <c r="D559" s="19" t="s">
        <v>37</v>
      </c>
      <c r="E559" s="19" t="s">
        <v>1109</v>
      </c>
      <c r="F559" s="5" t="str">
        <f>E559</f>
        <v>Anzalar Rahman</v>
      </c>
      <c r="G559" s="35" t="s">
        <v>714</v>
      </c>
      <c r="H559" s="106"/>
      <c r="I559" s="96">
        <v>0</v>
      </c>
      <c r="J559" s="96">
        <v>0</v>
      </c>
      <c r="K559" s="96">
        <v>0</v>
      </c>
      <c r="L559" s="96">
        <v>0</v>
      </c>
      <c r="M559" s="96">
        <v>0</v>
      </c>
      <c r="N559" s="96">
        <v>0</v>
      </c>
      <c r="O559" s="96">
        <v>0</v>
      </c>
      <c r="P559" s="96">
        <v>0</v>
      </c>
      <c r="Q559" s="96">
        <v>0</v>
      </c>
      <c r="R559" s="96">
        <v>0</v>
      </c>
      <c r="S559" s="96">
        <v>0</v>
      </c>
      <c r="T559" s="96">
        <v>0</v>
      </c>
      <c r="U559" s="96">
        <v>0</v>
      </c>
      <c r="V559" s="96">
        <v>0</v>
      </c>
      <c r="W559" s="96">
        <v>0</v>
      </c>
      <c r="X559" s="96">
        <v>0</v>
      </c>
      <c r="Y559" s="96">
        <v>0</v>
      </c>
      <c r="Z559" s="96"/>
      <c r="AA559" s="19" t="s">
        <v>1251</v>
      </c>
      <c r="AB559" s="19" t="s">
        <v>1252</v>
      </c>
      <c r="AC559" s="19" t="s">
        <v>1253</v>
      </c>
      <c r="AD559" s="19" t="s">
        <v>1254</v>
      </c>
      <c r="AE559" s="24"/>
      <c r="AF559" s="9"/>
      <c r="AG559" t="str">
        <f>VLOOKUP(OfficeForms.Table[[#This Row],[Nama Proyek]],'Nama Proyek'!$D$2:$G$29,4,0)</f>
        <v>-0.95259625,116.71704453</v>
      </c>
      <c r="AH559" s="5"/>
      <c r="AI559" s="5"/>
      <c r="AJ559" s="5"/>
      <c r="AK559" s="5" t="s">
        <v>1255</v>
      </c>
    </row>
    <row r="560" spans="1:37" ht="15" hidden="1" customHeight="1">
      <c r="A560">
        <v>610</v>
      </c>
      <c r="B560" s="111">
        <v>44962</v>
      </c>
      <c r="C560" s="29">
        <f>B560</f>
        <v>44962</v>
      </c>
      <c r="D560" s="8" t="s">
        <v>37</v>
      </c>
      <c r="E560" s="8" t="s">
        <v>504</v>
      </c>
      <c r="F560" s="5" t="str">
        <f>E560</f>
        <v>Fathan Zul Waskito</v>
      </c>
      <c r="G560" s="17" t="s">
        <v>472</v>
      </c>
      <c r="H560" s="105"/>
      <c r="I560" s="95">
        <v>0</v>
      </c>
      <c r="J560" s="95">
        <v>0</v>
      </c>
      <c r="K560" s="95">
        <v>0</v>
      </c>
      <c r="L560" s="95">
        <v>0</v>
      </c>
      <c r="M560" s="95">
        <v>0</v>
      </c>
      <c r="N560" s="95">
        <v>0</v>
      </c>
      <c r="O560" s="95">
        <v>0</v>
      </c>
      <c r="P560" s="95">
        <v>0</v>
      </c>
      <c r="Q560" s="95">
        <v>0</v>
      </c>
      <c r="R560" s="95">
        <v>0</v>
      </c>
      <c r="S560" s="95">
        <v>0</v>
      </c>
      <c r="T560" s="95">
        <v>0</v>
      </c>
      <c r="U560" s="95">
        <v>0</v>
      </c>
      <c r="V560" s="95">
        <v>0</v>
      </c>
      <c r="W560" s="95">
        <v>0</v>
      </c>
      <c r="X560" s="95">
        <v>0</v>
      </c>
      <c r="Y560" s="95">
        <v>0</v>
      </c>
      <c r="Z560" s="95"/>
      <c r="AA560" s="8" t="s">
        <v>1256</v>
      </c>
      <c r="AB560" s="8" t="s">
        <v>624</v>
      </c>
      <c r="AC560" s="8" t="s">
        <v>674</v>
      </c>
      <c r="AD560" s="8" t="s">
        <v>674</v>
      </c>
      <c r="AE560" s="11"/>
      <c r="AF560" s="42"/>
      <c r="AG560" t="str">
        <f>VLOOKUP(OfficeForms.Table[[#This Row],[Nama Proyek]],'Nama Proyek'!$D$2:$G$29,4,0)</f>
        <v>-8.29394978,112.00545006</v>
      </c>
      <c r="AH560" s="5"/>
      <c r="AI560" s="5"/>
      <c r="AJ560" s="5"/>
      <c r="AK560" s="5" t="s">
        <v>1257</v>
      </c>
    </row>
    <row r="561" spans="1:37" ht="15" hidden="1" customHeight="1">
      <c r="A561">
        <v>786</v>
      </c>
      <c r="B561" s="111">
        <v>44962</v>
      </c>
      <c r="C561" s="29">
        <f>B561</f>
        <v>44962</v>
      </c>
      <c r="D561" s="9" t="s">
        <v>37</v>
      </c>
      <c r="E561" s="9" t="s">
        <v>82</v>
      </c>
      <c r="F561" s="5" t="str">
        <f>E561</f>
        <v>Ajik Prastiyo</v>
      </c>
      <c r="G561" s="33" t="s">
        <v>80</v>
      </c>
      <c r="H561" s="104"/>
      <c r="I561" s="94">
        <v>0</v>
      </c>
      <c r="J561" s="94">
        <v>0</v>
      </c>
      <c r="K561" s="94">
        <v>0</v>
      </c>
      <c r="L561" s="94">
        <v>0</v>
      </c>
      <c r="M561" s="94">
        <v>0</v>
      </c>
      <c r="N561" s="94">
        <v>0</v>
      </c>
      <c r="O561" s="94">
        <v>0</v>
      </c>
      <c r="P561" s="94">
        <v>0</v>
      </c>
      <c r="Q561" s="94">
        <v>0</v>
      </c>
      <c r="R561" s="94">
        <v>0</v>
      </c>
      <c r="S561" s="94">
        <v>0</v>
      </c>
      <c r="T561" s="94">
        <v>0</v>
      </c>
      <c r="U561" s="94">
        <v>0</v>
      </c>
      <c r="V561" s="94">
        <v>0</v>
      </c>
      <c r="W561" s="94">
        <v>0</v>
      </c>
      <c r="X561" s="94">
        <v>0</v>
      </c>
      <c r="Y561" s="94">
        <v>0</v>
      </c>
      <c r="Z561" s="94"/>
      <c r="AA561" s="9"/>
      <c r="AB561" s="9"/>
      <c r="AC561" s="9"/>
      <c r="AD561" s="17"/>
      <c r="AE561" s="18" t="s">
        <v>1258</v>
      </c>
      <c r="AF561" s="15" t="s">
        <v>1259</v>
      </c>
      <c r="AG561" t="str">
        <f>VLOOKUP(OfficeForms.Table[[#This Row],[Nama Proyek]],'Nama Proyek'!$D$2:$G$29,4,0)</f>
        <v>-7.82225167,113.29968319</v>
      </c>
      <c r="AH561" s="5"/>
      <c r="AI561" s="5"/>
      <c r="AJ561" s="5"/>
      <c r="AK561" s="5" t="s">
        <v>1260</v>
      </c>
    </row>
    <row r="562" spans="1:37" ht="15" hidden="1" customHeight="1">
      <c r="A562" s="30">
        <v>787</v>
      </c>
      <c r="B562" s="110">
        <v>44962</v>
      </c>
      <c r="C562" s="28">
        <f>B562</f>
        <v>44962</v>
      </c>
      <c r="D562" s="8" t="s">
        <v>37</v>
      </c>
      <c r="E562" s="8" t="s">
        <v>82</v>
      </c>
      <c r="F562" s="5" t="str">
        <f>E562</f>
        <v>Ajik Prastiyo</v>
      </c>
      <c r="G562" s="35" t="s">
        <v>80</v>
      </c>
      <c r="H562" s="105"/>
      <c r="I562" s="95">
        <v>0</v>
      </c>
      <c r="J562" s="95">
        <v>0</v>
      </c>
      <c r="K562" s="95">
        <v>0</v>
      </c>
      <c r="L562" s="95">
        <v>0</v>
      </c>
      <c r="M562" s="95">
        <v>0</v>
      </c>
      <c r="N562" s="95">
        <v>0</v>
      </c>
      <c r="O562" s="95">
        <v>0</v>
      </c>
      <c r="P562" s="95">
        <v>0</v>
      </c>
      <c r="Q562" s="95">
        <v>0</v>
      </c>
      <c r="R562" s="95">
        <v>0</v>
      </c>
      <c r="S562" s="95">
        <v>0</v>
      </c>
      <c r="T562" s="95">
        <v>0</v>
      </c>
      <c r="U562" s="95">
        <v>0</v>
      </c>
      <c r="V562" s="95">
        <v>0</v>
      </c>
      <c r="W562" s="95">
        <v>0</v>
      </c>
      <c r="X562" s="95">
        <v>0</v>
      </c>
      <c r="Y562" s="95">
        <v>0</v>
      </c>
      <c r="Z562" s="95"/>
      <c r="AA562" s="8"/>
      <c r="AB562" s="8"/>
      <c r="AC562" s="8"/>
      <c r="AD562" s="8"/>
      <c r="AE562" s="16" t="s">
        <v>1258</v>
      </c>
      <c r="AF562" s="9" t="s">
        <v>1261</v>
      </c>
      <c r="AG562" t="str">
        <f>VLOOKUP(OfficeForms.Table[[#This Row],[Nama Proyek]],'Nama Proyek'!$D$2:$G$29,4,0)</f>
        <v>-7.82225167,113.29968319</v>
      </c>
      <c r="AH562" s="5"/>
      <c r="AI562" s="5"/>
      <c r="AJ562" s="5"/>
      <c r="AK562" s="5" t="s">
        <v>1262</v>
      </c>
    </row>
    <row r="563" spans="1:37" ht="15" hidden="1" customHeight="1">
      <c r="A563" s="31">
        <v>788</v>
      </c>
      <c r="B563" s="111">
        <v>44962</v>
      </c>
      <c r="C563" s="29">
        <f>B563</f>
        <v>44962</v>
      </c>
      <c r="D563" s="9" t="s">
        <v>37</v>
      </c>
      <c r="E563" s="9" t="s">
        <v>82</v>
      </c>
      <c r="F563" s="5" t="str">
        <f>E563</f>
        <v>Ajik Prastiyo</v>
      </c>
      <c r="G563" s="33" t="s">
        <v>80</v>
      </c>
      <c r="H563" s="104"/>
      <c r="I563" s="94">
        <v>0</v>
      </c>
      <c r="J563" s="94">
        <v>0</v>
      </c>
      <c r="K563" s="94">
        <v>0</v>
      </c>
      <c r="L563" s="94">
        <v>0</v>
      </c>
      <c r="M563" s="94">
        <v>0</v>
      </c>
      <c r="N563" s="94">
        <v>0</v>
      </c>
      <c r="O563" s="94">
        <v>0</v>
      </c>
      <c r="P563" s="94">
        <v>0</v>
      </c>
      <c r="Q563" s="94">
        <v>0</v>
      </c>
      <c r="R563" s="94">
        <v>0</v>
      </c>
      <c r="S563" s="94">
        <v>0</v>
      </c>
      <c r="T563" s="94">
        <v>0</v>
      </c>
      <c r="U563" s="94">
        <v>0</v>
      </c>
      <c r="V563" s="94">
        <v>0</v>
      </c>
      <c r="W563" s="94">
        <v>0</v>
      </c>
      <c r="X563" s="94">
        <v>0</v>
      </c>
      <c r="Y563" s="94">
        <v>0</v>
      </c>
      <c r="Z563" s="94"/>
      <c r="AA563" s="9"/>
      <c r="AB563" s="9"/>
      <c r="AC563" s="9"/>
      <c r="AD563" s="9"/>
      <c r="AE563" s="12" t="s">
        <v>1258</v>
      </c>
      <c r="AF563" s="8" t="s">
        <v>1263</v>
      </c>
      <c r="AG563" t="str">
        <f>VLOOKUP(OfficeForms.Table[[#This Row],[Nama Proyek]],'Nama Proyek'!$D$2:$G$29,4,0)</f>
        <v>-7.82225167,113.29968319</v>
      </c>
      <c r="AH563" s="5"/>
      <c r="AI563" s="5"/>
      <c r="AJ563" s="5"/>
      <c r="AK563" s="5" t="s">
        <v>1264</v>
      </c>
    </row>
    <row r="564" spans="1:37" ht="15" hidden="1" customHeight="1">
      <c r="A564" s="31">
        <v>789</v>
      </c>
      <c r="B564" s="110">
        <v>44962</v>
      </c>
      <c r="C564" s="28">
        <f>B564</f>
        <v>44962</v>
      </c>
      <c r="D564" s="8" t="s">
        <v>37</v>
      </c>
      <c r="E564" s="8" t="s">
        <v>82</v>
      </c>
      <c r="F564" s="5" t="str">
        <f>E564</f>
        <v>Ajik Prastiyo</v>
      </c>
      <c r="G564" s="35" t="s">
        <v>80</v>
      </c>
      <c r="H564" s="105"/>
      <c r="I564" s="95">
        <v>0</v>
      </c>
      <c r="J564" s="95">
        <v>0</v>
      </c>
      <c r="K564" s="95">
        <v>0</v>
      </c>
      <c r="L564" s="95">
        <v>0</v>
      </c>
      <c r="M564" s="95">
        <v>0</v>
      </c>
      <c r="N564" s="95">
        <v>0</v>
      </c>
      <c r="O564" s="95">
        <v>0</v>
      </c>
      <c r="P564" s="95">
        <v>0</v>
      </c>
      <c r="Q564" s="95">
        <v>0</v>
      </c>
      <c r="R564" s="95">
        <v>0</v>
      </c>
      <c r="S564" s="95">
        <v>0</v>
      </c>
      <c r="T564" s="95">
        <v>0</v>
      </c>
      <c r="U564" s="95">
        <v>0</v>
      </c>
      <c r="V564" s="95">
        <v>0</v>
      </c>
      <c r="W564" s="95">
        <v>0</v>
      </c>
      <c r="X564" s="95">
        <v>0</v>
      </c>
      <c r="Y564" s="95">
        <v>0</v>
      </c>
      <c r="Z564" s="95"/>
      <c r="AA564" s="8"/>
      <c r="AB564" s="8"/>
      <c r="AC564" s="8"/>
      <c r="AD564" s="8"/>
      <c r="AE564" s="11" t="s">
        <v>1258</v>
      </c>
      <c r="AF564" s="9" t="s">
        <v>1265</v>
      </c>
      <c r="AG564" t="str">
        <f>VLOOKUP(OfficeForms.Table[[#This Row],[Nama Proyek]],'Nama Proyek'!$D$2:$G$29,4,0)</f>
        <v>-7.82225167,113.29968319</v>
      </c>
      <c r="AH564" s="5"/>
      <c r="AI564" s="5"/>
      <c r="AJ564" s="5"/>
      <c r="AK564" s="5" t="s">
        <v>1266</v>
      </c>
    </row>
    <row r="565" spans="1:37" ht="15" hidden="1" customHeight="1">
      <c r="A565" s="50">
        <v>790</v>
      </c>
      <c r="B565" s="111">
        <v>44962</v>
      </c>
      <c r="C565" s="29">
        <f>B565</f>
        <v>44962</v>
      </c>
      <c r="D565" s="9" t="s">
        <v>37</v>
      </c>
      <c r="E565" s="9" t="s">
        <v>82</v>
      </c>
      <c r="F565" s="5" t="str">
        <f>E565</f>
        <v>Ajik Prastiyo</v>
      </c>
      <c r="G565" s="36" t="s">
        <v>80</v>
      </c>
      <c r="H565" s="104"/>
      <c r="I565" s="94">
        <v>0</v>
      </c>
      <c r="J565" s="94">
        <v>0</v>
      </c>
      <c r="K565" s="94">
        <v>0</v>
      </c>
      <c r="L565" s="94">
        <v>0</v>
      </c>
      <c r="M565" s="94">
        <v>0</v>
      </c>
      <c r="N565" s="94">
        <v>0</v>
      </c>
      <c r="O565" s="94">
        <v>0</v>
      </c>
      <c r="P565" s="94">
        <v>0</v>
      </c>
      <c r="Q565" s="94">
        <v>0</v>
      </c>
      <c r="R565" s="94">
        <v>0</v>
      </c>
      <c r="S565" s="94">
        <v>0</v>
      </c>
      <c r="T565" s="94">
        <v>0</v>
      </c>
      <c r="U565" s="94">
        <v>0</v>
      </c>
      <c r="V565" s="94">
        <v>0</v>
      </c>
      <c r="W565" s="94">
        <v>0</v>
      </c>
      <c r="X565" s="94">
        <v>0</v>
      </c>
      <c r="Y565" s="94">
        <v>0</v>
      </c>
      <c r="Z565" s="94"/>
      <c r="AA565" s="9"/>
      <c r="AB565" s="9"/>
      <c r="AC565" s="9"/>
      <c r="AD565" s="9"/>
      <c r="AE565" s="12" t="s">
        <v>1258</v>
      </c>
      <c r="AF565" s="8"/>
      <c r="AG565" t="str">
        <f>VLOOKUP(OfficeForms.Table[[#This Row],[Nama Proyek]],'Nama Proyek'!$D$2:$G$29,4,0)</f>
        <v>-7.82225167,113.29968319</v>
      </c>
      <c r="AH565" s="5"/>
      <c r="AI565" s="5"/>
      <c r="AJ565" s="5"/>
      <c r="AK565" s="5" t="s">
        <v>1267</v>
      </c>
    </row>
    <row r="566" spans="1:37" ht="15" hidden="1" customHeight="1">
      <c r="A566">
        <v>858</v>
      </c>
      <c r="B566" s="111">
        <v>44962</v>
      </c>
      <c r="C566" s="29">
        <f>B566</f>
        <v>44962</v>
      </c>
      <c r="D566" s="9" t="s">
        <v>37</v>
      </c>
      <c r="E566" s="9" t="s">
        <v>54</v>
      </c>
      <c r="F566" s="5" t="str">
        <f>E566</f>
        <v>Haryo Widiandoko</v>
      </c>
      <c r="G566" s="9" t="s">
        <v>55</v>
      </c>
      <c r="H566" s="104"/>
      <c r="I566" s="94">
        <v>0</v>
      </c>
      <c r="J566" s="94">
        <v>0</v>
      </c>
      <c r="K566" s="94">
        <v>0</v>
      </c>
      <c r="L566" s="94">
        <v>0</v>
      </c>
      <c r="M566" s="94">
        <v>0</v>
      </c>
      <c r="N566" s="94">
        <v>0</v>
      </c>
      <c r="O566" s="94">
        <v>0</v>
      </c>
      <c r="P566" s="94">
        <v>0</v>
      </c>
      <c r="Q566" s="94">
        <v>0</v>
      </c>
      <c r="R566" s="94">
        <v>0</v>
      </c>
      <c r="S566" s="94">
        <v>0</v>
      </c>
      <c r="T566" s="94">
        <v>0</v>
      </c>
      <c r="U566" s="94">
        <v>0</v>
      </c>
      <c r="V566" s="94">
        <v>0</v>
      </c>
      <c r="W566" s="94">
        <v>0</v>
      </c>
      <c r="X566" s="94">
        <v>0</v>
      </c>
      <c r="Y566" s="94">
        <v>0</v>
      </c>
      <c r="Z566" s="94"/>
      <c r="AA566" s="9" t="s">
        <v>1268</v>
      </c>
      <c r="AB566" s="9" t="s">
        <v>1268</v>
      </c>
      <c r="AC566" s="9" t="s">
        <v>1269</v>
      </c>
      <c r="AD566" s="9" t="s">
        <v>1269</v>
      </c>
      <c r="AE566" s="12"/>
      <c r="AF566" s="19"/>
      <c r="AG566" t="str">
        <f>VLOOKUP(OfficeForms.Table[[#This Row],[Nama Proyek]],'Nama Proyek'!$D$2:$G$29,4,0)</f>
        <v>-6.42873464,107.19897003</v>
      </c>
      <c r="AH566" s="5"/>
      <c r="AI566" s="5"/>
      <c r="AJ566" s="5"/>
      <c r="AK566" s="5" t="s">
        <v>1270</v>
      </c>
    </row>
    <row r="567" spans="1:37" ht="15" hidden="1" customHeight="1">
      <c r="A567" s="30">
        <v>877</v>
      </c>
      <c r="B567" s="110">
        <v>44962</v>
      </c>
      <c r="C567" s="28">
        <f>B567</f>
        <v>44962</v>
      </c>
      <c r="D567" s="8" t="s">
        <v>37</v>
      </c>
      <c r="E567" s="8" t="s">
        <v>54</v>
      </c>
      <c r="F567" s="5" t="str">
        <f>E567</f>
        <v>Haryo Widiandoko</v>
      </c>
      <c r="G567" s="42" t="s">
        <v>55</v>
      </c>
      <c r="H567" s="105"/>
      <c r="I567" s="95">
        <v>0</v>
      </c>
      <c r="J567" s="95">
        <v>0</v>
      </c>
      <c r="K567" s="95">
        <v>0</v>
      </c>
      <c r="L567" s="95">
        <v>0</v>
      </c>
      <c r="M567" s="95">
        <v>0</v>
      </c>
      <c r="N567" s="95">
        <v>0</v>
      </c>
      <c r="O567" s="95">
        <v>0</v>
      </c>
      <c r="P567" s="95">
        <v>0</v>
      </c>
      <c r="Q567" s="95">
        <v>0</v>
      </c>
      <c r="R567" s="95">
        <v>0</v>
      </c>
      <c r="S567" s="95">
        <v>0</v>
      </c>
      <c r="T567" s="95">
        <v>0</v>
      </c>
      <c r="U567" s="95">
        <v>0</v>
      </c>
      <c r="V567" s="95">
        <v>0</v>
      </c>
      <c r="W567" s="95">
        <v>0</v>
      </c>
      <c r="X567" s="95">
        <v>0</v>
      </c>
      <c r="Y567" s="95">
        <v>0</v>
      </c>
      <c r="Z567" s="95"/>
      <c r="AA567" s="8"/>
      <c r="AB567" s="8"/>
      <c r="AC567" s="8"/>
      <c r="AD567" s="8"/>
      <c r="AE567" s="11">
        <v>44930</v>
      </c>
      <c r="AF567" s="9"/>
      <c r="AG567" t="str">
        <f>VLOOKUP(OfficeForms.Table[[#This Row],[Nama Proyek]],'Nama Proyek'!$D$2:$G$29,4,0)</f>
        <v>-6.42873464,107.19897003</v>
      </c>
      <c r="AH567" s="5"/>
      <c r="AI567" s="5"/>
      <c r="AJ567" s="5"/>
      <c r="AK567" s="5" t="s">
        <v>1271</v>
      </c>
    </row>
    <row r="568" spans="1:37" ht="15" hidden="1" customHeight="1">
      <c r="A568" s="31">
        <v>881</v>
      </c>
      <c r="B568" s="110">
        <v>44962</v>
      </c>
      <c r="C568" s="28">
        <f>B568</f>
        <v>44962</v>
      </c>
      <c r="D568" s="19" t="s">
        <v>37</v>
      </c>
      <c r="E568" s="19" t="s">
        <v>54</v>
      </c>
      <c r="F568" s="5" t="str">
        <f>E568</f>
        <v>Haryo Widiandoko</v>
      </c>
      <c r="G568" s="42" t="s">
        <v>55</v>
      </c>
      <c r="H568" s="106"/>
      <c r="I568" s="96">
        <v>0</v>
      </c>
      <c r="J568" s="96">
        <v>0</v>
      </c>
      <c r="K568" s="96">
        <v>0</v>
      </c>
      <c r="L568" s="96">
        <v>0</v>
      </c>
      <c r="M568" s="96">
        <v>0</v>
      </c>
      <c r="N568" s="96">
        <v>0</v>
      </c>
      <c r="O568" s="96">
        <v>0</v>
      </c>
      <c r="P568" s="96">
        <v>0</v>
      </c>
      <c r="Q568" s="96">
        <v>0</v>
      </c>
      <c r="R568" s="96">
        <v>0</v>
      </c>
      <c r="S568" s="96">
        <v>0</v>
      </c>
      <c r="T568" s="96">
        <v>0</v>
      </c>
      <c r="U568" s="96">
        <v>0</v>
      </c>
      <c r="V568" s="96">
        <v>0</v>
      </c>
      <c r="W568" s="96">
        <v>0</v>
      </c>
      <c r="X568" s="96">
        <v>0</v>
      </c>
      <c r="Y568" s="96">
        <v>0</v>
      </c>
      <c r="Z568" s="96"/>
      <c r="AA568" s="19"/>
      <c r="AB568" s="19"/>
      <c r="AC568" s="19"/>
      <c r="AD568" s="19"/>
      <c r="AE568" s="13">
        <v>44989</v>
      </c>
      <c r="AF568" s="9"/>
      <c r="AG568" t="str">
        <f>VLOOKUP(OfficeForms.Table[[#This Row],[Nama Proyek]],'Nama Proyek'!$D$2:$G$29,4,0)</f>
        <v>-6.42873464,107.19897003</v>
      </c>
      <c r="AH568" s="5"/>
      <c r="AI568" s="5"/>
      <c r="AJ568" s="5"/>
      <c r="AK568" s="5" t="s">
        <v>1272</v>
      </c>
    </row>
    <row r="569" spans="1:37" ht="15" hidden="1" customHeight="1">
      <c r="A569" s="31">
        <v>906</v>
      </c>
      <c r="B569" s="111">
        <v>44962</v>
      </c>
      <c r="C569" s="29">
        <f>B569</f>
        <v>44962</v>
      </c>
      <c r="D569" s="8" t="s">
        <v>37</v>
      </c>
      <c r="E569" s="8" t="s">
        <v>54</v>
      </c>
      <c r="F569" s="5" t="str">
        <f>E569</f>
        <v>Haryo Widiandoko</v>
      </c>
      <c r="G569" s="17" t="s">
        <v>55</v>
      </c>
      <c r="H569" s="105"/>
      <c r="I569" s="95">
        <v>0</v>
      </c>
      <c r="J569" s="95">
        <v>0</v>
      </c>
      <c r="K569" s="95">
        <v>0</v>
      </c>
      <c r="L569" s="95">
        <v>0</v>
      </c>
      <c r="M569" s="95">
        <v>0</v>
      </c>
      <c r="N569" s="95">
        <v>0</v>
      </c>
      <c r="O569" s="95">
        <v>0</v>
      </c>
      <c r="P569" s="95">
        <v>0</v>
      </c>
      <c r="Q569" s="95">
        <v>0</v>
      </c>
      <c r="R569" s="95">
        <v>0</v>
      </c>
      <c r="S569" s="95">
        <v>0</v>
      </c>
      <c r="T569" s="95">
        <v>0</v>
      </c>
      <c r="U569" s="95">
        <v>0</v>
      </c>
      <c r="V569" s="95">
        <v>0</v>
      </c>
      <c r="W569" s="95">
        <v>0</v>
      </c>
      <c r="X569" s="95">
        <v>0</v>
      </c>
      <c r="Y569" s="95">
        <v>0</v>
      </c>
      <c r="Z569" s="95"/>
      <c r="AA569" s="8"/>
      <c r="AB569" s="8"/>
      <c r="AC569" s="8"/>
      <c r="AD569" s="8"/>
      <c r="AE569" s="11">
        <v>44989</v>
      </c>
      <c r="AF569" s="19"/>
      <c r="AG569" t="str">
        <f>VLOOKUP(OfficeForms.Table[[#This Row],[Nama Proyek]],'Nama Proyek'!$D$2:$G$29,4,0)</f>
        <v>-6.42873464,107.19897003</v>
      </c>
      <c r="AH569" s="5"/>
      <c r="AI569" s="5"/>
      <c r="AJ569" s="5"/>
      <c r="AK569" s="5" t="s">
        <v>1273</v>
      </c>
    </row>
    <row r="570" spans="1:37" ht="15" hidden="1" customHeight="1">
      <c r="A570" s="50">
        <v>923</v>
      </c>
      <c r="B570" s="110">
        <v>44962</v>
      </c>
      <c r="C570" s="28">
        <f>B570</f>
        <v>44962</v>
      </c>
      <c r="D570" s="19" t="s">
        <v>37</v>
      </c>
      <c r="E570" s="19" t="s">
        <v>54</v>
      </c>
      <c r="F570" s="5" t="str">
        <f>E570</f>
        <v>Haryo Widiandoko</v>
      </c>
      <c r="G570" s="42" t="s">
        <v>55</v>
      </c>
      <c r="H570" s="106"/>
      <c r="I570" s="96">
        <v>0</v>
      </c>
      <c r="J570" s="96">
        <v>0</v>
      </c>
      <c r="K570" s="96">
        <v>0</v>
      </c>
      <c r="L570" s="96">
        <v>0</v>
      </c>
      <c r="M570" s="96">
        <v>0</v>
      </c>
      <c r="N570" s="96">
        <v>0</v>
      </c>
      <c r="O570" s="96">
        <v>0</v>
      </c>
      <c r="P570" s="96">
        <v>0</v>
      </c>
      <c r="Q570" s="96">
        <v>0</v>
      </c>
      <c r="R570" s="96">
        <v>0</v>
      </c>
      <c r="S570" s="96">
        <v>0</v>
      </c>
      <c r="T570" s="96">
        <v>0</v>
      </c>
      <c r="U570" s="96">
        <v>0</v>
      </c>
      <c r="V570" s="96">
        <v>0</v>
      </c>
      <c r="W570" s="96">
        <v>0</v>
      </c>
      <c r="X570" s="96">
        <v>0</v>
      </c>
      <c r="Y570" s="96">
        <v>0</v>
      </c>
      <c r="Z570" s="96"/>
      <c r="AA570" s="19"/>
      <c r="AB570" s="19"/>
      <c r="AC570" s="19"/>
      <c r="AD570" s="19"/>
      <c r="AE570" s="13">
        <v>44989</v>
      </c>
      <c r="AF570" s="9"/>
      <c r="AG570" t="str">
        <f>VLOOKUP(OfficeForms.Table[[#This Row],[Nama Proyek]],'Nama Proyek'!$D$2:$G$29,4,0)</f>
        <v>-6.42873464,107.19897003</v>
      </c>
      <c r="AH570" s="5"/>
      <c r="AI570" s="5"/>
      <c r="AJ570" s="5"/>
      <c r="AK570" s="5" t="s">
        <v>1274</v>
      </c>
    </row>
    <row r="571" spans="1:37" ht="15" hidden="1" customHeight="1">
      <c r="A571" s="50">
        <v>925</v>
      </c>
      <c r="B571" s="110">
        <v>44965</v>
      </c>
      <c r="C571" s="28">
        <f>B571</f>
        <v>44965</v>
      </c>
      <c r="D571" s="8" t="s">
        <v>37</v>
      </c>
      <c r="E571" s="8" t="s">
        <v>923</v>
      </c>
      <c r="F571" s="5" t="str">
        <f>E571</f>
        <v>Nizar Tarmidzi</v>
      </c>
      <c r="G571" s="23" t="s">
        <v>924</v>
      </c>
      <c r="H571" s="105">
        <v>45137</v>
      </c>
      <c r="I571" s="95">
        <v>63.85</v>
      </c>
      <c r="J571" s="95">
        <v>45.08</v>
      </c>
      <c r="K571" s="95">
        <v>2.31</v>
      </c>
      <c r="L571" s="95">
        <v>29.47</v>
      </c>
      <c r="M571" s="95">
        <v>0</v>
      </c>
      <c r="N571" s="95">
        <v>10.66</v>
      </c>
      <c r="O571" s="95">
        <v>10.76</v>
      </c>
      <c r="P571" s="95">
        <v>6.77</v>
      </c>
      <c r="Q571" s="95">
        <v>0</v>
      </c>
      <c r="R571" s="95">
        <v>0.5</v>
      </c>
      <c r="S571" s="95">
        <v>0</v>
      </c>
      <c r="T571" s="95">
        <v>0</v>
      </c>
      <c r="U571" s="95">
        <v>0</v>
      </c>
      <c r="V571" s="95">
        <v>0</v>
      </c>
      <c r="W571" s="95">
        <v>0</v>
      </c>
      <c r="X571" s="95">
        <v>0</v>
      </c>
      <c r="Y571" s="95">
        <v>0</v>
      </c>
      <c r="Z571" s="95"/>
      <c r="AA571" s="8"/>
      <c r="AB571" s="8"/>
      <c r="AC571" s="8"/>
      <c r="AD571" s="8"/>
      <c r="AE571" s="11"/>
      <c r="AF571" s="40" t="s">
        <v>1275</v>
      </c>
      <c r="AG571" t="str">
        <f>VLOOKUP(OfficeForms.Table[[#This Row],[Nama Proyek]],'Nama Proyek'!$D$2:$G$40,4,0)</f>
        <v>-3.25078511,134.87791156</v>
      </c>
      <c r="AH571" s="5"/>
      <c r="AI571" s="5"/>
      <c r="AJ571" s="5"/>
      <c r="AK571" s="5" t="s">
        <v>1276</v>
      </c>
    </row>
    <row r="572" spans="1:37" ht="15" hidden="1" customHeight="1">
      <c r="A572" s="31">
        <v>926</v>
      </c>
      <c r="B572" s="111">
        <v>44965</v>
      </c>
      <c r="C572" s="29">
        <f>B572</f>
        <v>44965</v>
      </c>
      <c r="D572" s="9" t="s">
        <v>37</v>
      </c>
      <c r="E572" s="9" t="s">
        <v>923</v>
      </c>
      <c r="F572" s="5" t="str">
        <f>E572</f>
        <v>Nizar Tarmidzi</v>
      </c>
      <c r="G572" s="23" t="s">
        <v>924</v>
      </c>
      <c r="H572" s="104"/>
      <c r="I572" s="94">
        <v>0</v>
      </c>
      <c r="J572" s="94">
        <v>0</v>
      </c>
      <c r="K572" s="94">
        <v>0</v>
      </c>
      <c r="L572" s="94">
        <v>0</v>
      </c>
      <c r="M572" s="94">
        <v>0</v>
      </c>
      <c r="N572" s="94">
        <v>0</v>
      </c>
      <c r="O572" s="94">
        <v>0</v>
      </c>
      <c r="P572" s="94">
        <v>0</v>
      </c>
      <c r="Q572" s="94">
        <v>0</v>
      </c>
      <c r="R572" s="94">
        <v>0</v>
      </c>
      <c r="S572" s="94">
        <v>0</v>
      </c>
      <c r="T572" s="94">
        <v>0</v>
      </c>
      <c r="U572" s="94">
        <v>0</v>
      </c>
      <c r="V572" s="94">
        <v>0</v>
      </c>
      <c r="W572" s="94">
        <v>0</v>
      </c>
      <c r="X572" s="94">
        <v>0</v>
      </c>
      <c r="Y572" s="94">
        <v>0</v>
      </c>
      <c r="Z572" s="94"/>
      <c r="AA572" s="9"/>
      <c r="AB572" s="9"/>
      <c r="AC572" s="9"/>
      <c r="AD572" s="9"/>
      <c r="AE572" s="12" t="s">
        <v>1277</v>
      </c>
      <c r="AF572" s="8"/>
      <c r="AG572" t="str">
        <f>VLOOKUP(OfficeForms.Table[[#This Row],[Nama Proyek]],'Nama Proyek'!$D$2:$G$40,4,0)</f>
        <v>-3.25078511,134.87791156</v>
      </c>
      <c r="AH572" s="5"/>
      <c r="AI572" s="5"/>
      <c r="AJ572" s="5"/>
      <c r="AK572" s="5" t="s">
        <v>1278</v>
      </c>
    </row>
    <row r="573" spans="1:37" ht="15" hidden="1" customHeight="1">
      <c r="A573" s="31">
        <v>927</v>
      </c>
      <c r="B573" s="110">
        <v>44965</v>
      </c>
      <c r="C573" s="28">
        <f>B573</f>
        <v>44965</v>
      </c>
      <c r="D573" s="8" t="s">
        <v>37</v>
      </c>
      <c r="E573" s="8" t="s">
        <v>923</v>
      </c>
      <c r="F573" s="5" t="str">
        <f>E573</f>
        <v>Nizar Tarmidzi</v>
      </c>
      <c r="G573" s="23" t="s">
        <v>924</v>
      </c>
      <c r="H573" s="105"/>
      <c r="I573" s="95">
        <v>0</v>
      </c>
      <c r="J573" s="95">
        <v>0</v>
      </c>
      <c r="K573" s="95">
        <v>0</v>
      </c>
      <c r="L573" s="95">
        <v>0</v>
      </c>
      <c r="M573" s="95">
        <v>0</v>
      </c>
      <c r="N573" s="95">
        <v>0</v>
      </c>
      <c r="O573" s="95">
        <v>0</v>
      </c>
      <c r="P573" s="95">
        <v>0</v>
      </c>
      <c r="Q573" s="95">
        <v>0</v>
      </c>
      <c r="R573" s="95">
        <v>0</v>
      </c>
      <c r="S573" s="95">
        <v>0</v>
      </c>
      <c r="T573" s="95">
        <v>0</v>
      </c>
      <c r="U573" s="95">
        <v>0</v>
      </c>
      <c r="V573" s="95">
        <v>0</v>
      </c>
      <c r="W573" s="95">
        <v>0</v>
      </c>
      <c r="X573" s="95">
        <v>0</v>
      </c>
      <c r="Y573" s="95">
        <v>0</v>
      </c>
      <c r="Z573" s="95"/>
      <c r="AA573" s="8" t="s">
        <v>1279</v>
      </c>
      <c r="AB573" s="8" t="s">
        <v>1280</v>
      </c>
      <c r="AC573" s="8"/>
      <c r="AD573" s="8"/>
      <c r="AE573" s="11"/>
      <c r="AF573" s="9"/>
      <c r="AG573" t="str">
        <f>VLOOKUP(OfficeForms.Table[[#This Row],[Nama Proyek]],'Nama Proyek'!$D$2:$G$40,4,0)</f>
        <v>-3.25078511,134.87791156</v>
      </c>
      <c r="AH573" s="5"/>
      <c r="AI573" s="5"/>
      <c r="AJ573" s="5"/>
      <c r="AK573" s="5" t="s">
        <v>1281</v>
      </c>
    </row>
    <row r="574" spans="1:37" ht="15" hidden="1" customHeight="1">
      <c r="A574" s="31">
        <v>957</v>
      </c>
      <c r="B574" s="110">
        <v>44966</v>
      </c>
      <c r="C574" s="28">
        <f>B574</f>
        <v>44966</v>
      </c>
      <c r="D574" s="8" t="s">
        <v>37</v>
      </c>
      <c r="E574" s="8" t="s">
        <v>1282</v>
      </c>
      <c r="F574" s="5" t="str">
        <f>E574</f>
        <v>Achmad Rival Setyawan, S.T</v>
      </c>
      <c r="G574" s="52" t="s">
        <v>989</v>
      </c>
      <c r="H574" s="105">
        <v>45163</v>
      </c>
      <c r="I574" s="95">
        <v>6.5019999999999998</v>
      </c>
      <c r="J574" s="95">
        <v>6.298</v>
      </c>
      <c r="K574" s="95">
        <v>0.32900000000000001</v>
      </c>
      <c r="L574" s="95">
        <v>0</v>
      </c>
      <c r="M574" s="95">
        <v>1.9359999999999999</v>
      </c>
      <c r="N574" s="95">
        <v>0.03</v>
      </c>
      <c r="O574" s="95">
        <v>0</v>
      </c>
      <c r="P574" s="95">
        <v>0</v>
      </c>
      <c r="Q574" s="95">
        <v>0</v>
      </c>
      <c r="R574" s="95">
        <v>0</v>
      </c>
      <c r="S574" s="95">
        <v>1.8680000000000001</v>
      </c>
      <c r="T574" s="95">
        <v>0</v>
      </c>
      <c r="U574" s="95">
        <v>0</v>
      </c>
      <c r="V574" s="95">
        <v>0</v>
      </c>
      <c r="W574" s="95">
        <v>0</v>
      </c>
      <c r="X574" s="95">
        <v>0</v>
      </c>
      <c r="Y574" s="95">
        <v>0</v>
      </c>
      <c r="Z574" s="95"/>
      <c r="AA574" s="8"/>
      <c r="AB574" s="8"/>
      <c r="AC574" s="8"/>
      <c r="AD574" s="8"/>
      <c r="AE574" s="11"/>
      <c r="AF574" s="9"/>
      <c r="AG574" t="str">
        <f>VLOOKUP(OfficeForms.Table[[#This Row],[Nama Proyek]],'Nama Proyek'!$D$2:$G$29,4,0)</f>
        <v>-1.98399270,103.7135193</v>
      </c>
      <c r="AH574" s="5"/>
      <c r="AI574" s="5"/>
      <c r="AJ574" s="5"/>
      <c r="AK574" s="5" t="s">
        <v>1283</v>
      </c>
    </row>
    <row r="575" spans="1:37" ht="15" hidden="1" customHeight="1">
      <c r="A575" s="50">
        <v>971</v>
      </c>
      <c r="B575" s="110">
        <v>44967</v>
      </c>
      <c r="C575" s="28">
        <f>B575</f>
        <v>44967</v>
      </c>
      <c r="D575" s="19" t="s">
        <v>37</v>
      </c>
      <c r="E575" s="19" t="s">
        <v>64</v>
      </c>
      <c r="F575" s="5" t="str">
        <f>E575</f>
        <v>Nizar Zulkarnain</v>
      </c>
      <c r="G575" s="42" t="s">
        <v>65</v>
      </c>
      <c r="H575" s="106">
        <v>45193</v>
      </c>
      <c r="I575" s="96">
        <v>80.924000000000007</v>
      </c>
      <c r="J575" s="96">
        <v>91.08</v>
      </c>
      <c r="K575" s="96">
        <v>74.5</v>
      </c>
      <c r="L575" s="96">
        <v>97.98</v>
      </c>
      <c r="M575" s="96">
        <v>87.22</v>
      </c>
      <c r="N575" s="96">
        <v>91</v>
      </c>
      <c r="O575" s="96">
        <v>71.010000000000005</v>
      </c>
      <c r="P575" s="96">
        <v>73.59</v>
      </c>
      <c r="Q575" s="96">
        <v>75.58</v>
      </c>
      <c r="R575" s="96">
        <v>62.62</v>
      </c>
      <c r="S575" s="96">
        <v>89.84</v>
      </c>
      <c r="T575" s="96">
        <v>90.75</v>
      </c>
      <c r="U575" s="96">
        <v>50.27</v>
      </c>
      <c r="V575" s="96">
        <v>22.96</v>
      </c>
      <c r="W575" s="96">
        <v>0</v>
      </c>
      <c r="X575" s="96">
        <v>98.36</v>
      </c>
      <c r="Y575" s="96">
        <v>41.48</v>
      </c>
      <c r="Z575" s="96"/>
      <c r="AA575" s="19"/>
      <c r="AB575" s="19"/>
      <c r="AC575" s="19"/>
      <c r="AD575" s="19"/>
      <c r="AE575" s="13"/>
      <c r="AF575" s="17"/>
      <c r="AG575" t="str">
        <f>VLOOKUP(OfficeForms.Table[[#This Row],[Nama Proyek]],'Nama Proyek'!$D$2:$G$29,4,0)</f>
        <v>-6.35008011,107.02324233</v>
      </c>
      <c r="AH575" s="5"/>
      <c r="AI575" s="5"/>
      <c r="AJ575" s="5"/>
      <c r="AK575" s="5" t="s">
        <v>1284</v>
      </c>
    </row>
    <row r="576" spans="1:37" ht="15" hidden="1" customHeight="1">
      <c r="A576">
        <v>975</v>
      </c>
      <c r="B576" s="110">
        <v>44967</v>
      </c>
      <c r="C576" s="28">
        <f>B576</f>
        <v>44967</v>
      </c>
      <c r="D576" s="8" t="s">
        <v>37</v>
      </c>
      <c r="E576" s="8" t="s">
        <v>687</v>
      </c>
      <c r="F576" s="5" t="str">
        <f>E576</f>
        <v>Andri Julio Hermawan</v>
      </c>
      <c r="G576" s="23" t="s">
        <v>750</v>
      </c>
      <c r="H576" s="105">
        <v>45194</v>
      </c>
      <c r="I576" s="95">
        <v>54.898000000000003</v>
      </c>
      <c r="J576" s="95">
        <v>54.161999999999999</v>
      </c>
      <c r="K576" s="95">
        <v>0</v>
      </c>
      <c r="L576" s="95">
        <v>0</v>
      </c>
      <c r="M576" s="95">
        <v>17.283000000000001</v>
      </c>
      <c r="N576" s="95">
        <v>0</v>
      </c>
      <c r="O576" s="95">
        <v>0.72599999999999998</v>
      </c>
      <c r="P576" s="95">
        <v>0.499</v>
      </c>
      <c r="Q576" s="95">
        <v>0</v>
      </c>
      <c r="R576" s="95">
        <v>0</v>
      </c>
      <c r="S576" s="95">
        <v>33.561999999999998</v>
      </c>
      <c r="T576" s="95">
        <v>0</v>
      </c>
      <c r="U576" s="95">
        <v>1.6930000000000001</v>
      </c>
      <c r="V576" s="95">
        <v>0</v>
      </c>
      <c r="W576" s="95">
        <v>0</v>
      </c>
      <c r="X576" s="95">
        <v>0</v>
      </c>
      <c r="Y576" s="95">
        <v>0</v>
      </c>
      <c r="Z576" s="95"/>
      <c r="AA576" s="8"/>
      <c r="AB576" s="8"/>
      <c r="AC576" s="15"/>
      <c r="AD576" s="15"/>
      <c r="AE576" s="16"/>
      <c r="AF576" s="9" t="s">
        <v>1285</v>
      </c>
      <c r="AG576" t="str">
        <f>VLOOKUP(OfficeForms.Table[[#This Row],[Nama Proyek]],'Nama Proyek'!$D$2:$G$29,4,0)</f>
        <v>-1.10415341,116.73424356</v>
      </c>
      <c r="AH576" s="5"/>
      <c r="AI576" s="5"/>
      <c r="AJ576" s="5"/>
      <c r="AK576" s="5" t="s">
        <v>1286</v>
      </c>
    </row>
    <row r="577" spans="1:37" ht="15" hidden="1" customHeight="1">
      <c r="A577" s="31">
        <v>973</v>
      </c>
      <c r="B577" s="110">
        <v>44967</v>
      </c>
      <c r="C577" s="28">
        <f>B577</f>
        <v>44967</v>
      </c>
      <c r="D577" s="8" t="s">
        <v>37</v>
      </c>
      <c r="E577" s="8" t="s">
        <v>734</v>
      </c>
      <c r="F577" s="5" t="str">
        <f>E577</f>
        <v>Aldian Winata</v>
      </c>
      <c r="G577" s="15" t="s">
        <v>735</v>
      </c>
      <c r="H577" s="105">
        <v>45199</v>
      </c>
      <c r="I577" s="95">
        <v>45.326000000000001</v>
      </c>
      <c r="J577" s="95">
        <v>59.735999999999997</v>
      </c>
      <c r="K577" s="95">
        <v>2.2189999999999999</v>
      </c>
      <c r="L577" s="95">
        <v>33.384999999999998</v>
      </c>
      <c r="M577" s="95">
        <v>0</v>
      </c>
      <c r="N577" s="95">
        <v>4.8000000000000001E-2</v>
      </c>
      <c r="O577" s="95">
        <v>1.389</v>
      </c>
      <c r="P577" s="95">
        <v>0.317</v>
      </c>
      <c r="Q577" s="95">
        <v>0</v>
      </c>
      <c r="R577" s="95">
        <v>0</v>
      </c>
      <c r="S577" s="95">
        <v>0</v>
      </c>
      <c r="T577" s="95">
        <v>0</v>
      </c>
      <c r="U577" s="95">
        <v>0</v>
      </c>
      <c r="V577" s="95">
        <v>0</v>
      </c>
      <c r="W577" s="95">
        <v>0</v>
      </c>
      <c r="X577" s="95">
        <v>0</v>
      </c>
      <c r="Y577" s="95">
        <v>0</v>
      </c>
      <c r="Z577" s="95"/>
      <c r="AA577" s="8"/>
      <c r="AB577" s="8"/>
      <c r="AC577" s="8"/>
      <c r="AD577" s="8"/>
      <c r="AE577" s="11"/>
      <c r="AF577" s="9" t="s">
        <v>1287</v>
      </c>
      <c r="AG577" t="str">
        <f>VLOOKUP(OfficeForms.Table[[#This Row],[Nama Proyek]],'Nama Proyek'!$D$2:$G$40,4,0)</f>
        <v>-0.88562397,119.85928375</v>
      </c>
      <c r="AH577" s="5"/>
      <c r="AI577" s="5"/>
      <c r="AJ577" s="5"/>
      <c r="AK577" s="5" t="s">
        <v>1288</v>
      </c>
    </row>
    <row r="578" spans="1:37" ht="15" hidden="1" customHeight="1">
      <c r="A578">
        <v>1011</v>
      </c>
      <c r="B578" s="110">
        <v>44967</v>
      </c>
      <c r="C578" s="28">
        <f>B578</f>
        <v>44967</v>
      </c>
      <c r="D578" s="19" t="s">
        <v>37</v>
      </c>
      <c r="E578" s="19" t="s">
        <v>1109</v>
      </c>
      <c r="F578" s="5" t="str">
        <f>E578</f>
        <v>Anzalar Rahman</v>
      </c>
      <c r="G578" s="35" t="s">
        <v>714</v>
      </c>
      <c r="H578" s="106">
        <v>45224</v>
      </c>
      <c r="I578" s="96">
        <v>56.085000000000001</v>
      </c>
      <c r="J578" s="96">
        <v>55.414999999999999</v>
      </c>
      <c r="K578" s="96">
        <v>4.1000000000000002E-2</v>
      </c>
      <c r="L578" s="96">
        <v>21.244</v>
      </c>
      <c r="M578" s="96">
        <v>0</v>
      </c>
      <c r="N578" s="96">
        <v>0.59799999999999998</v>
      </c>
      <c r="O578" s="96">
        <v>0</v>
      </c>
      <c r="P578" s="96">
        <v>31.774000000000001</v>
      </c>
      <c r="Q578" s="96">
        <v>0</v>
      </c>
      <c r="R578" s="96">
        <v>0</v>
      </c>
      <c r="S578" s="96">
        <v>0</v>
      </c>
      <c r="T578" s="96">
        <v>0</v>
      </c>
      <c r="U578" s="96">
        <v>0</v>
      </c>
      <c r="V578" s="96">
        <v>0</v>
      </c>
      <c r="W578" s="96">
        <v>0</v>
      </c>
      <c r="X578" s="96">
        <v>0</v>
      </c>
      <c r="Y578" s="96">
        <v>0</v>
      </c>
      <c r="Z578" s="96"/>
      <c r="AA578" s="19"/>
      <c r="AB578" s="19"/>
      <c r="AC578" s="19"/>
      <c r="AD578" s="19"/>
      <c r="AE578" s="13"/>
      <c r="AF578" s="8" t="s">
        <v>1289</v>
      </c>
      <c r="AG578" t="str">
        <f>VLOOKUP(OfficeForms.Table[[#This Row],[Nama Proyek]],'Nama Proyek'!$D$2:$G$29,4,0)</f>
        <v>-0.95259625,116.71704453</v>
      </c>
      <c r="AH578" s="5"/>
      <c r="AI578" s="5"/>
      <c r="AJ578" s="5"/>
      <c r="AK578" s="5" t="s">
        <v>1290</v>
      </c>
    </row>
    <row r="579" spans="1:37" ht="15" hidden="1" customHeight="1">
      <c r="A579" s="50">
        <v>547</v>
      </c>
      <c r="B579" s="110">
        <v>44967</v>
      </c>
      <c r="C579" s="28">
        <f>B579</f>
        <v>44967</v>
      </c>
      <c r="D579" s="19" t="s">
        <v>37</v>
      </c>
      <c r="E579" s="19" t="s">
        <v>64</v>
      </c>
      <c r="F579" s="5" t="str">
        <f>E579</f>
        <v>Nizar Zulkarnain</v>
      </c>
      <c r="G579" s="42" t="s">
        <v>65</v>
      </c>
      <c r="H579" s="106"/>
      <c r="I579" s="96">
        <v>0</v>
      </c>
      <c r="J579" s="96">
        <v>0</v>
      </c>
      <c r="K579" s="96">
        <v>0</v>
      </c>
      <c r="L579" s="96">
        <v>0</v>
      </c>
      <c r="M579" s="96">
        <v>0</v>
      </c>
      <c r="N579" s="96">
        <v>0</v>
      </c>
      <c r="O579" s="96">
        <v>0</v>
      </c>
      <c r="P579" s="96">
        <v>0</v>
      </c>
      <c r="Q579" s="96">
        <v>0</v>
      </c>
      <c r="R579" s="96">
        <v>0</v>
      </c>
      <c r="S579" s="96">
        <v>0</v>
      </c>
      <c r="T579" s="96">
        <v>0</v>
      </c>
      <c r="U579" s="96">
        <v>0</v>
      </c>
      <c r="V579" s="96">
        <v>0</v>
      </c>
      <c r="W579" s="96">
        <v>0</v>
      </c>
      <c r="X579" s="96">
        <v>0</v>
      </c>
      <c r="Y579" s="96">
        <v>0</v>
      </c>
      <c r="Z579" s="96"/>
      <c r="AA579" s="19" t="s">
        <v>1291</v>
      </c>
      <c r="AB579" s="19"/>
      <c r="AC579" s="19"/>
      <c r="AD579" s="19"/>
      <c r="AE579" s="13"/>
      <c r="AF579" s="8" t="s">
        <v>606</v>
      </c>
      <c r="AG579" t="str">
        <f>VLOOKUP(OfficeForms.Table[[#This Row],[Nama Proyek]],'Nama Proyek'!$D$2:$G$29,4,0)</f>
        <v>-6.35008011,107.02324233</v>
      </c>
      <c r="AH579" s="5"/>
      <c r="AI579" s="5"/>
      <c r="AJ579" s="5"/>
      <c r="AK579" s="5" t="s">
        <v>1292</v>
      </c>
    </row>
    <row r="580" spans="1:37" ht="15" hidden="1" customHeight="1">
      <c r="A580" s="31">
        <v>548</v>
      </c>
      <c r="B580" s="111">
        <v>44967</v>
      </c>
      <c r="C580" s="29">
        <f>B580</f>
        <v>44967</v>
      </c>
      <c r="D580" s="8" t="s">
        <v>37</v>
      </c>
      <c r="E580" s="8" t="s">
        <v>64</v>
      </c>
      <c r="F580" s="5" t="str">
        <f>E580</f>
        <v>Nizar Zulkarnain</v>
      </c>
      <c r="G580" s="17" t="s">
        <v>65</v>
      </c>
      <c r="H580" s="105"/>
      <c r="I580" s="95">
        <v>0</v>
      </c>
      <c r="J580" s="95">
        <v>0</v>
      </c>
      <c r="K580" s="95">
        <v>0</v>
      </c>
      <c r="L580" s="95">
        <v>0</v>
      </c>
      <c r="M580" s="95">
        <v>0</v>
      </c>
      <c r="N580" s="95">
        <v>0</v>
      </c>
      <c r="O580" s="95">
        <v>0</v>
      </c>
      <c r="P580" s="95">
        <v>0</v>
      </c>
      <c r="Q580" s="95">
        <v>0</v>
      </c>
      <c r="R580" s="95">
        <v>0</v>
      </c>
      <c r="S580" s="95">
        <v>0</v>
      </c>
      <c r="T580" s="95">
        <v>0</v>
      </c>
      <c r="U580" s="95">
        <v>0</v>
      </c>
      <c r="V580" s="95">
        <v>0</v>
      </c>
      <c r="W580" s="95">
        <v>0</v>
      </c>
      <c r="X580" s="95">
        <v>0</v>
      </c>
      <c r="Y580" s="95">
        <v>0</v>
      </c>
      <c r="Z580" s="95"/>
      <c r="AA580" s="8"/>
      <c r="AB580" s="8"/>
      <c r="AC580" s="8"/>
      <c r="AD580" s="8"/>
      <c r="AE580" s="11" t="s">
        <v>1293</v>
      </c>
      <c r="AF580" s="8"/>
      <c r="AG580" t="str">
        <f>VLOOKUP(OfficeForms.Table[[#This Row],[Nama Proyek]],'Nama Proyek'!$D$2:$G$29,4,0)</f>
        <v>-6.35008011,107.02324233</v>
      </c>
      <c r="AH580" s="5"/>
      <c r="AI580" s="5"/>
      <c r="AJ580" s="5"/>
      <c r="AK580" s="5" t="s">
        <v>1294</v>
      </c>
    </row>
    <row r="581" spans="1:37" ht="15" hidden="1" customHeight="1">
      <c r="A581" s="31">
        <v>824</v>
      </c>
      <c r="B581" s="111">
        <v>44967</v>
      </c>
      <c r="C581" s="29">
        <f>B581</f>
        <v>44967</v>
      </c>
      <c r="D581" s="9" t="s">
        <v>37</v>
      </c>
      <c r="E581" s="9" t="s">
        <v>1109</v>
      </c>
      <c r="F581" s="5" t="str">
        <f>E581</f>
        <v>Anzalar Rahman</v>
      </c>
      <c r="G581" s="36" t="s">
        <v>714</v>
      </c>
      <c r="H581" s="104"/>
      <c r="I581" s="94">
        <v>0</v>
      </c>
      <c r="J581" s="94">
        <v>0</v>
      </c>
      <c r="K581" s="94">
        <v>0</v>
      </c>
      <c r="L581" s="94">
        <v>0</v>
      </c>
      <c r="M581" s="94">
        <v>0</v>
      </c>
      <c r="N581" s="94">
        <v>0</v>
      </c>
      <c r="O581" s="94">
        <v>0</v>
      </c>
      <c r="P581" s="94">
        <v>0</v>
      </c>
      <c r="Q581" s="94">
        <v>0</v>
      </c>
      <c r="R581" s="94">
        <v>0</v>
      </c>
      <c r="S581" s="94">
        <v>0</v>
      </c>
      <c r="T581" s="94">
        <v>0</v>
      </c>
      <c r="U581" s="94">
        <v>0</v>
      </c>
      <c r="V581" s="94">
        <v>0</v>
      </c>
      <c r="W581" s="94">
        <v>0</v>
      </c>
      <c r="X581" s="94">
        <v>0</v>
      </c>
      <c r="Y581" s="94">
        <v>0</v>
      </c>
      <c r="Z581" s="94"/>
      <c r="AA581" s="9"/>
      <c r="AB581" s="9"/>
      <c r="AC581" s="9"/>
      <c r="AD581" s="9"/>
      <c r="AE581" s="12">
        <v>44929</v>
      </c>
      <c r="AF581" s="8"/>
      <c r="AG581" t="str">
        <f>VLOOKUP(OfficeForms.Table[[#This Row],[Nama Proyek]],'Nama Proyek'!$D$2:$G$29,4,0)</f>
        <v>-0.95259625,116.71704453</v>
      </c>
      <c r="AH581" s="5"/>
      <c r="AI581" s="5"/>
      <c r="AJ581" s="5"/>
      <c r="AK581" s="5" t="s">
        <v>1295</v>
      </c>
    </row>
    <row r="582" spans="1:37" ht="15" hidden="1" customHeight="1">
      <c r="A582" s="31">
        <v>837</v>
      </c>
      <c r="B582" s="110">
        <v>44967</v>
      </c>
      <c r="C582" s="28">
        <f>B582</f>
        <v>44967</v>
      </c>
      <c r="D582" s="19" t="s">
        <v>37</v>
      </c>
      <c r="E582" s="19" t="s">
        <v>1109</v>
      </c>
      <c r="F582" s="5" t="str">
        <f>E582</f>
        <v>Anzalar Rahman</v>
      </c>
      <c r="G582" s="38" t="s">
        <v>714</v>
      </c>
      <c r="H582" s="106"/>
      <c r="I582" s="96">
        <v>0</v>
      </c>
      <c r="J582" s="96">
        <v>0</v>
      </c>
      <c r="K582" s="96">
        <v>0</v>
      </c>
      <c r="L582" s="96">
        <v>0</v>
      </c>
      <c r="M582" s="96">
        <v>0</v>
      </c>
      <c r="N582" s="96">
        <v>0</v>
      </c>
      <c r="O582" s="96">
        <v>0</v>
      </c>
      <c r="P582" s="96">
        <v>0</v>
      </c>
      <c r="Q582" s="96">
        <v>0</v>
      </c>
      <c r="R582" s="96">
        <v>0</v>
      </c>
      <c r="S582" s="96">
        <v>0</v>
      </c>
      <c r="T582" s="96">
        <v>0</v>
      </c>
      <c r="U582" s="96">
        <v>0</v>
      </c>
      <c r="V582" s="96">
        <v>0</v>
      </c>
      <c r="W582" s="96">
        <v>0</v>
      </c>
      <c r="X582" s="96">
        <v>0</v>
      </c>
      <c r="Y582" s="96">
        <v>0</v>
      </c>
      <c r="Z582" s="96"/>
      <c r="AA582" s="19" t="s">
        <v>1296</v>
      </c>
      <c r="AB582" s="19" t="s">
        <v>1297</v>
      </c>
      <c r="AC582" s="19" t="s">
        <v>1298</v>
      </c>
      <c r="AD582" s="19" t="s">
        <v>1299</v>
      </c>
      <c r="AE582" s="13"/>
      <c r="AF582" s="40" t="s">
        <v>1300</v>
      </c>
      <c r="AG582" t="str">
        <f>VLOOKUP(OfficeForms.Table[[#This Row],[Nama Proyek]],'Nama Proyek'!$D$2:$G$29,4,0)</f>
        <v>-0.95259625,116.71704453</v>
      </c>
      <c r="AH582" s="5"/>
      <c r="AI582" s="5"/>
      <c r="AJ582" s="5"/>
      <c r="AK582" s="5" t="s">
        <v>1301</v>
      </c>
    </row>
    <row r="583" spans="1:37" ht="15" hidden="1" customHeight="1">
      <c r="A583">
        <v>967</v>
      </c>
      <c r="B583" s="110">
        <v>44967</v>
      </c>
      <c r="C583" s="28">
        <f>B583</f>
        <v>44967</v>
      </c>
      <c r="D583" s="8" t="s">
        <v>37</v>
      </c>
      <c r="E583" s="8" t="s">
        <v>734</v>
      </c>
      <c r="F583" s="5" t="str">
        <f>E583</f>
        <v>Aldian Winata</v>
      </c>
      <c r="G583" s="8" t="s">
        <v>735</v>
      </c>
      <c r="H583" s="105"/>
      <c r="I583" s="95">
        <v>0</v>
      </c>
      <c r="J583" s="95">
        <v>0</v>
      </c>
      <c r="K583" s="95">
        <v>0</v>
      </c>
      <c r="L583" s="95">
        <v>0</v>
      </c>
      <c r="M583" s="95">
        <v>0</v>
      </c>
      <c r="N583" s="95">
        <v>0</v>
      </c>
      <c r="O583" s="95">
        <v>0</v>
      </c>
      <c r="P583" s="95">
        <v>0</v>
      </c>
      <c r="Q583" s="95">
        <v>0</v>
      </c>
      <c r="R583" s="95">
        <v>0</v>
      </c>
      <c r="S583" s="95">
        <v>0</v>
      </c>
      <c r="T583" s="95">
        <v>0</v>
      </c>
      <c r="U583" s="95">
        <v>0</v>
      </c>
      <c r="V583" s="95">
        <v>0</v>
      </c>
      <c r="W583" s="95">
        <v>0</v>
      </c>
      <c r="X583" s="95">
        <v>0</v>
      </c>
      <c r="Y583" s="95">
        <v>0</v>
      </c>
      <c r="Z583" s="95"/>
      <c r="AA583" s="8" t="s">
        <v>1302</v>
      </c>
      <c r="AB583" s="8" t="s">
        <v>1303</v>
      </c>
      <c r="AC583" s="8" t="s">
        <v>1304</v>
      </c>
      <c r="AD583" s="8" t="s">
        <v>1305</v>
      </c>
      <c r="AE583" s="11"/>
      <c r="AF583" s="15"/>
      <c r="AG583" t="str">
        <f>VLOOKUP(OfficeForms.Table[[#This Row],[Nama Proyek]],'Nama Proyek'!$D$2:$G$40,4,0)</f>
        <v>-0.88562397,119.85928375</v>
      </c>
      <c r="AH583" s="5"/>
      <c r="AI583" s="5"/>
      <c r="AJ583" s="5"/>
      <c r="AK583" s="5" t="s">
        <v>1306</v>
      </c>
    </row>
    <row r="584" spans="1:37" ht="15" hidden="1" customHeight="1">
      <c r="A584">
        <v>972</v>
      </c>
      <c r="B584" s="111">
        <v>44967</v>
      </c>
      <c r="C584" s="29">
        <f>B584</f>
        <v>44967</v>
      </c>
      <c r="D584" s="9" t="s">
        <v>37</v>
      </c>
      <c r="E584" s="9" t="s">
        <v>687</v>
      </c>
      <c r="F584" s="5" t="str">
        <f>E584</f>
        <v>Andri Julio Hermawan</v>
      </c>
      <c r="G584" s="22" t="s">
        <v>750</v>
      </c>
      <c r="H584" s="104"/>
      <c r="I584" s="94">
        <v>0</v>
      </c>
      <c r="J584" s="94">
        <v>0</v>
      </c>
      <c r="K584" s="94">
        <v>0</v>
      </c>
      <c r="L584" s="94">
        <v>0</v>
      </c>
      <c r="M584" s="94">
        <v>0</v>
      </c>
      <c r="N584" s="94">
        <v>0</v>
      </c>
      <c r="O584" s="94">
        <v>0</v>
      </c>
      <c r="P584" s="94">
        <v>0</v>
      </c>
      <c r="Q584" s="94">
        <v>0</v>
      </c>
      <c r="R584" s="94">
        <v>0</v>
      </c>
      <c r="S584" s="94">
        <v>0</v>
      </c>
      <c r="T584" s="94">
        <v>0</v>
      </c>
      <c r="U584" s="94">
        <v>0</v>
      </c>
      <c r="V584" s="94">
        <v>0</v>
      </c>
      <c r="W584" s="94">
        <v>0</v>
      </c>
      <c r="X584" s="94">
        <v>0</v>
      </c>
      <c r="Y584" s="94">
        <v>0</v>
      </c>
      <c r="Z584" s="94"/>
      <c r="AA584" s="9" t="s">
        <v>1307</v>
      </c>
      <c r="AB584" s="9" t="s">
        <v>1308</v>
      </c>
      <c r="AC584" s="9" t="s">
        <v>1309</v>
      </c>
      <c r="AD584" s="17" t="s">
        <v>1309</v>
      </c>
      <c r="AE584" s="18"/>
      <c r="AF584" s="15"/>
      <c r="AG584" t="str">
        <f>VLOOKUP(OfficeForms.Table[[#This Row],[Nama Proyek]],'Nama Proyek'!$D$2:$G$29,4,0)</f>
        <v>-1.10415341,116.73424356</v>
      </c>
      <c r="AH584" s="5"/>
      <c r="AI584" s="5"/>
      <c r="AJ584" s="5"/>
      <c r="AK584" s="5" t="s">
        <v>1310</v>
      </c>
    </row>
    <row r="585" spans="1:37" ht="15" hidden="1" customHeight="1">
      <c r="A585" s="30">
        <v>974</v>
      </c>
      <c r="B585" s="111">
        <v>44967</v>
      </c>
      <c r="C585" s="29">
        <f>B585</f>
        <v>44967</v>
      </c>
      <c r="D585" s="9" t="s">
        <v>37</v>
      </c>
      <c r="E585" s="9" t="s">
        <v>734</v>
      </c>
      <c r="F585" s="5" t="str">
        <f>E585</f>
        <v>Aldian Winata</v>
      </c>
      <c r="G585" s="9" t="s">
        <v>735</v>
      </c>
      <c r="H585" s="104"/>
      <c r="I585" s="94">
        <v>0</v>
      </c>
      <c r="J585" s="94">
        <v>0</v>
      </c>
      <c r="K585" s="94">
        <v>0</v>
      </c>
      <c r="L585" s="94">
        <v>0</v>
      </c>
      <c r="M585" s="94">
        <v>0</v>
      </c>
      <c r="N585" s="94">
        <v>0</v>
      </c>
      <c r="O585" s="94">
        <v>0</v>
      </c>
      <c r="P585" s="94">
        <v>0</v>
      </c>
      <c r="Q585" s="94">
        <v>0</v>
      </c>
      <c r="R585" s="94">
        <v>0</v>
      </c>
      <c r="S585" s="94">
        <v>0</v>
      </c>
      <c r="T585" s="94">
        <v>0</v>
      </c>
      <c r="U585" s="94">
        <v>0</v>
      </c>
      <c r="V585" s="94">
        <v>0</v>
      </c>
      <c r="W585" s="94">
        <v>0</v>
      </c>
      <c r="X585" s="94">
        <v>0</v>
      </c>
      <c r="Y585" s="94">
        <v>0</v>
      </c>
      <c r="Z585" s="94"/>
      <c r="AA585" s="9"/>
      <c r="AB585" s="9"/>
      <c r="AC585" s="9"/>
      <c r="AD585" s="9"/>
      <c r="AE585" s="18">
        <v>45116</v>
      </c>
      <c r="AF585" s="8"/>
      <c r="AG585" t="str">
        <f>VLOOKUP(OfficeForms.Table[[#This Row],[Nama Proyek]],'Nama Proyek'!$D$2:$G$40,4,0)</f>
        <v>-0.88562397,119.85928375</v>
      </c>
      <c r="AH585" s="5"/>
      <c r="AI585" s="5"/>
      <c r="AJ585" s="5"/>
      <c r="AK585" s="5" t="s">
        <v>1311</v>
      </c>
    </row>
    <row r="586" spans="1:37" ht="15" hidden="1" customHeight="1">
      <c r="A586" s="30">
        <v>976</v>
      </c>
      <c r="B586" s="111">
        <v>44967</v>
      </c>
      <c r="C586" s="29">
        <f>B586</f>
        <v>44967</v>
      </c>
      <c r="D586" s="9" t="s">
        <v>37</v>
      </c>
      <c r="E586" s="9" t="s">
        <v>687</v>
      </c>
      <c r="F586" s="5" t="str">
        <f>E586</f>
        <v>Andri Julio Hermawan</v>
      </c>
      <c r="G586" s="22" t="s">
        <v>750</v>
      </c>
      <c r="H586" s="104"/>
      <c r="I586" s="94">
        <v>0</v>
      </c>
      <c r="J586" s="94">
        <v>0</v>
      </c>
      <c r="K586" s="94">
        <v>0</v>
      </c>
      <c r="L586" s="94">
        <v>0</v>
      </c>
      <c r="M586" s="94">
        <v>0</v>
      </c>
      <c r="N586" s="94">
        <v>0</v>
      </c>
      <c r="O586" s="94">
        <v>0</v>
      </c>
      <c r="P586" s="94">
        <v>0</v>
      </c>
      <c r="Q586" s="94">
        <v>0</v>
      </c>
      <c r="R586" s="94">
        <v>0</v>
      </c>
      <c r="S586" s="94">
        <v>0</v>
      </c>
      <c r="T586" s="94">
        <v>0</v>
      </c>
      <c r="U586" s="94">
        <v>0</v>
      </c>
      <c r="V586" s="94">
        <v>0</v>
      </c>
      <c r="W586" s="94">
        <v>0</v>
      </c>
      <c r="X586" s="94">
        <v>0</v>
      </c>
      <c r="Y586" s="94">
        <v>0</v>
      </c>
      <c r="Z586" s="94"/>
      <c r="AA586" s="9"/>
      <c r="AB586" s="9"/>
      <c r="AC586" s="9"/>
      <c r="AD586" s="9"/>
      <c r="AE586" s="12" t="s">
        <v>1312</v>
      </c>
      <c r="AF586" s="8"/>
      <c r="AG586" t="str">
        <f>VLOOKUP(OfficeForms.Table[[#This Row],[Nama Proyek]],'Nama Proyek'!$D$2:$G$29,4,0)</f>
        <v>-1.10415341,116.73424356</v>
      </c>
      <c r="AH586" s="5"/>
      <c r="AI586" s="5"/>
      <c r="AJ586" s="5"/>
      <c r="AK586" s="5" t="s">
        <v>1313</v>
      </c>
    </row>
    <row r="587" spans="1:37" ht="15" hidden="1" customHeight="1">
      <c r="A587" s="31">
        <v>1044</v>
      </c>
      <c r="B587" s="111">
        <v>44968</v>
      </c>
      <c r="C587" s="29">
        <f>B587</f>
        <v>44968</v>
      </c>
      <c r="D587" s="9" t="s">
        <v>37</v>
      </c>
      <c r="E587" s="9" t="s">
        <v>1314</v>
      </c>
      <c r="F587" s="5" t="str">
        <f>E587</f>
        <v>Rakor</v>
      </c>
      <c r="G587" s="17" t="s">
        <v>1315</v>
      </c>
      <c r="H587" s="104">
        <v>45230</v>
      </c>
      <c r="I587" s="94">
        <v>12.46</v>
      </c>
      <c r="J587" s="94">
        <v>25.35</v>
      </c>
      <c r="K587" s="94">
        <v>0</v>
      </c>
      <c r="L587" s="94">
        <v>0</v>
      </c>
      <c r="M587" s="94">
        <v>0</v>
      </c>
      <c r="N587" s="94">
        <v>0</v>
      </c>
      <c r="O587" s="94">
        <v>0</v>
      </c>
      <c r="P587" s="94">
        <v>0</v>
      </c>
      <c r="Q587" s="94">
        <v>0</v>
      </c>
      <c r="R587" s="94">
        <v>0</v>
      </c>
      <c r="S587" s="94">
        <v>0</v>
      </c>
      <c r="T587" s="94">
        <v>0</v>
      </c>
      <c r="U587" s="94">
        <v>0</v>
      </c>
      <c r="V587" s="94">
        <v>0</v>
      </c>
      <c r="W587" s="94">
        <v>0</v>
      </c>
      <c r="X587" s="94">
        <v>0</v>
      </c>
      <c r="Y587" s="94">
        <v>0</v>
      </c>
      <c r="Z587" s="94"/>
      <c r="AA587" s="9"/>
      <c r="AB587" s="9"/>
      <c r="AC587" s="9"/>
      <c r="AD587" s="9"/>
      <c r="AE587" s="12"/>
      <c r="AF587" s="8"/>
      <c r="AG587" t="str">
        <f>VLOOKUP(OfficeForms.Table[[#This Row],[Nama Proyek]],'Nama Proyek'!$D$2:$G$40,4,0)</f>
        <v>-6.42093860,107.18760070</v>
      </c>
      <c r="AH587" s="5"/>
      <c r="AI587" s="5"/>
      <c r="AJ587" s="5"/>
      <c r="AK587" s="5" t="s">
        <v>1316</v>
      </c>
    </row>
    <row r="588" spans="1:37" ht="15" hidden="1" customHeight="1">
      <c r="A588" s="50">
        <v>1043</v>
      </c>
      <c r="B588" s="110">
        <v>44968</v>
      </c>
      <c r="C588" s="28">
        <f>B588</f>
        <v>44968</v>
      </c>
      <c r="D588" s="8" t="s">
        <v>37</v>
      </c>
      <c r="E588" s="8" t="s">
        <v>79</v>
      </c>
      <c r="F588" s="5" t="str">
        <f>E588</f>
        <v>Fajar Sodiq Febriansyah</v>
      </c>
      <c r="G588" s="42" t="s">
        <v>1317</v>
      </c>
      <c r="H588" s="105"/>
      <c r="I588" s="95">
        <v>0</v>
      </c>
      <c r="J588" s="95">
        <v>0</v>
      </c>
      <c r="K588" s="95">
        <v>0</v>
      </c>
      <c r="L588" s="95">
        <v>0</v>
      </c>
      <c r="M588" s="95">
        <v>0</v>
      </c>
      <c r="N588" s="95">
        <v>0</v>
      </c>
      <c r="O588" s="95">
        <v>0</v>
      </c>
      <c r="P588" s="95">
        <v>0</v>
      </c>
      <c r="Q588" s="95">
        <v>0</v>
      </c>
      <c r="R588" s="95">
        <v>0</v>
      </c>
      <c r="S588" s="95">
        <v>0</v>
      </c>
      <c r="T588" s="95">
        <v>0</v>
      </c>
      <c r="U588" s="95">
        <v>0</v>
      </c>
      <c r="V588" s="95">
        <v>0</v>
      </c>
      <c r="W588" s="95">
        <v>0</v>
      </c>
      <c r="X588" s="95">
        <v>0</v>
      </c>
      <c r="Y588" s="95">
        <v>0</v>
      </c>
      <c r="Z588" s="95"/>
      <c r="AA588" s="8" t="s">
        <v>1318</v>
      </c>
      <c r="AB588" s="8" t="s">
        <v>1319</v>
      </c>
      <c r="AC588" s="8" t="s">
        <v>1320</v>
      </c>
      <c r="AD588" s="8" t="s">
        <v>1321</v>
      </c>
      <c r="AE588" s="11"/>
      <c r="AF588" s="9"/>
      <c r="AG588" t="str">
        <f>VLOOKUP(OfficeForms.Table[[#This Row],[Nama Proyek]],'Nama Proyek'!$D$2:$G$29,4,0)</f>
        <v>-7.72647690,113.63515320</v>
      </c>
      <c r="AH588" s="5"/>
      <c r="AI588" s="5"/>
      <c r="AJ588" s="5"/>
      <c r="AK588" s="5" t="s">
        <v>1322</v>
      </c>
    </row>
    <row r="589" spans="1:37" ht="15" hidden="1" customHeight="1">
      <c r="A589" s="50">
        <v>859</v>
      </c>
      <c r="B589" s="110">
        <v>44971</v>
      </c>
      <c r="C589" s="28">
        <f>B589</f>
        <v>44971</v>
      </c>
      <c r="D589" s="19" t="s">
        <v>37</v>
      </c>
      <c r="E589" s="19" t="s">
        <v>64</v>
      </c>
      <c r="F589" s="5" t="str">
        <f>E589</f>
        <v>Nizar Zulkarnain</v>
      </c>
      <c r="G589" s="42" t="s">
        <v>65</v>
      </c>
      <c r="H589" s="106">
        <v>44969</v>
      </c>
      <c r="I589" s="96">
        <v>75.031999999999996</v>
      </c>
      <c r="J589" s="96">
        <v>83.932000000000002</v>
      </c>
      <c r="K589" s="96">
        <v>65.87</v>
      </c>
      <c r="L589" s="96">
        <v>58.24</v>
      </c>
      <c r="M589" s="96">
        <v>82.63</v>
      </c>
      <c r="N589" s="96">
        <v>83.14</v>
      </c>
      <c r="O589" s="96">
        <v>51.79</v>
      </c>
      <c r="P589" s="96">
        <v>64.2</v>
      </c>
      <c r="Q589" s="96">
        <v>57.96</v>
      </c>
      <c r="R589" s="96">
        <v>56.1</v>
      </c>
      <c r="S589" s="96">
        <v>84.78</v>
      </c>
      <c r="T589" s="96">
        <v>89.92</v>
      </c>
      <c r="U589" s="96">
        <v>36.1</v>
      </c>
      <c r="V589" s="96">
        <v>19.89</v>
      </c>
      <c r="W589" s="96">
        <v>0</v>
      </c>
      <c r="X589" s="96">
        <v>98.36</v>
      </c>
      <c r="Y589" s="96">
        <v>41.02</v>
      </c>
      <c r="Z589" s="96"/>
      <c r="AA589" s="19"/>
      <c r="AB589" s="19"/>
      <c r="AC589" s="19"/>
      <c r="AD589" s="19"/>
      <c r="AE589" s="13"/>
      <c r="AF589" s="41" t="s">
        <v>1323</v>
      </c>
      <c r="AG589" t="str">
        <f>VLOOKUP(OfficeForms.Table[[#This Row],[Nama Proyek]],'Nama Proyek'!$D$2:$G$29,4,0)</f>
        <v>-6.35008011,107.02324233</v>
      </c>
      <c r="AH589" s="5"/>
      <c r="AI589" s="5"/>
      <c r="AJ589" s="5"/>
      <c r="AK589" s="5" t="s">
        <v>1324</v>
      </c>
    </row>
    <row r="590" spans="1:37" ht="15" hidden="1" customHeight="1">
      <c r="A590" s="31">
        <v>932</v>
      </c>
      <c r="B590" s="111">
        <v>44972</v>
      </c>
      <c r="C590" s="29">
        <f>B590</f>
        <v>44972</v>
      </c>
      <c r="D590" s="8" t="s">
        <v>37</v>
      </c>
      <c r="E590" s="8" t="s">
        <v>109</v>
      </c>
      <c r="F590" s="5" t="str">
        <f>E590</f>
        <v>Muhamad Saifudin Ashari</v>
      </c>
      <c r="G590" s="9" t="s">
        <v>39</v>
      </c>
      <c r="H590" s="105">
        <v>44972</v>
      </c>
      <c r="I590" s="95">
        <v>92.135999999999996</v>
      </c>
      <c r="J590" s="95">
        <v>97.185000000000002</v>
      </c>
      <c r="K590" s="95">
        <v>98.978999999999999</v>
      </c>
      <c r="L590" s="95">
        <v>87.861999999999995</v>
      </c>
      <c r="M590" s="95">
        <v>97.686000000000007</v>
      </c>
      <c r="N590" s="95">
        <v>99.04</v>
      </c>
      <c r="O590" s="95">
        <v>71.66</v>
      </c>
      <c r="P590" s="95">
        <v>89.317999999999998</v>
      </c>
      <c r="Q590" s="95">
        <v>92.194999999999993</v>
      </c>
      <c r="R590" s="95">
        <v>87.462000000000003</v>
      </c>
      <c r="S590" s="95">
        <v>98.331000000000003</v>
      </c>
      <c r="T590" s="95">
        <v>95.795000000000002</v>
      </c>
      <c r="U590" s="95">
        <v>68.486999999999995</v>
      </c>
      <c r="V590" s="95">
        <v>3.4060000000000001</v>
      </c>
      <c r="W590" s="95">
        <v>0.188</v>
      </c>
      <c r="X590" s="95">
        <v>31.001000000000001</v>
      </c>
      <c r="Y590" s="95">
        <v>1.8420000000000001</v>
      </c>
      <c r="Z590" s="95"/>
      <c r="AA590" s="8"/>
      <c r="AB590" s="8"/>
      <c r="AC590" s="8"/>
      <c r="AD590" s="8"/>
      <c r="AE590" s="11"/>
      <c r="AF590" s="8"/>
      <c r="AG590" t="str">
        <f>VLOOKUP(OfficeForms.Table[[#This Row],[Nama Proyek]],'Nama Proyek'!$D$2:$G$29,4,0)</f>
        <v>-6.80675464,106.785366</v>
      </c>
      <c r="AH590" s="5"/>
      <c r="AI590" s="5"/>
      <c r="AJ590" s="5"/>
      <c r="AK590" s="5" t="s">
        <v>1325</v>
      </c>
    </row>
    <row r="591" spans="1:37" ht="15" hidden="1" customHeight="1">
      <c r="A591" s="30">
        <v>378</v>
      </c>
      <c r="B591" s="111">
        <v>44972</v>
      </c>
      <c r="C591" s="29">
        <f>B591</f>
        <v>44972</v>
      </c>
      <c r="D591" s="9" t="s">
        <v>37</v>
      </c>
      <c r="E591" s="9" t="s">
        <v>109</v>
      </c>
      <c r="F591" s="5" t="str">
        <f>E591</f>
        <v>Muhamad Saifudin Ashari</v>
      </c>
      <c r="G591" s="9" t="s">
        <v>39</v>
      </c>
      <c r="H591" s="104"/>
      <c r="I591" s="94">
        <v>0</v>
      </c>
      <c r="J591" s="94">
        <v>0</v>
      </c>
      <c r="K591" s="94">
        <v>0</v>
      </c>
      <c r="L591" s="94">
        <v>0</v>
      </c>
      <c r="M591" s="94">
        <v>0</v>
      </c>
      <c r="N591" s="94">
        <v>0</v>
      </c>
      <c r="O591" s="94">
        <v>0</v>
      </c>
      <c r="P591" s="94">
        <v>0</v>
      </c>
      <c r="Q591" s="94">
        <v>0</v>
      </c>
      <c r="R591" s="94">
        <v>0</v>
      </c>
      <c r="S591" s="94">
        <v>0</v>
      </c>
      <c r="T591" s="94">
        <v>0</v>
      </c>
      <c r="U591" s="94">
        <v>0</v>
      </c>
      <c r="V591" s="94">
        <v>0</v>
      </c>
      <c r="W591" s="94">
        <v>0</v>
      </c>
      <c r="X591" s="94">
        <v>0</v>
      </c>
      <c r="Y591" s="94">
        <v>0</v>
      </c>
      <c r="Z591" s="94"/>
      <c r="AA591" s="9" t="s">
        <v>1326</v>
      </c>
      <c r="AB591" s="9" t="s">
        <v>1327</v>
      </c>
      <c r="AC591" s="9" t="s">
        <v>1328</v>
      </c>
      <c r="AD591" s="9" t="s">
        <v>1329</v>
      </c>
      <c r="AE591" s="12"/>
      <c r="AF591" s="8"/>
      <c r="AG591" t="str">
        <f>VLOOKUP(OfficeForms.Table[[#This Row],[Nama Proyek]],'Nama Proyek'!$D$2:$G$29,4,0)</f>
        <v>-6.80675464,106.785366</v>
      </c>
      <c r="AH591" s="5"/>
      <c r="AI591" s="5"/>
      <c r="AJ591" s="5"/>
      <c r="AK591" s="5" t="s">
        <v>1330</v>
      </c>
    </row>
    <row r="592" spans="1:37" ht="15" hidden="1" customHeight="1">
      <c r="A592" s="31">
        <v>416</v>
      </c>
      <c r="B592" s="111">
        <v>44972</v>
      </c>
      <c r="C592" s="29">
        <f>B592</f>
        <v>44972</v>
      </c>
      <c r="D592" s="9" t="s">
        <v>37</v>
      </c>
      <c r="E592" s="9" t="s">
        <v>109</v>
      </c>
      <c r="F592" s="5" t="str">
        <f>E592</f>
        <v>Muhamad Saifudin Ashari</v>
      </c>
      <c r="G592" s="9" t="s">
        <v>39</v>
      </c>
      <c r="H592" s="104"/>
      <c r="I592" s="94">
        <v>0</v>
      </c>
      <c r="J592" s="94">
        <v>0</v>
      </c>
      <c r="K592" s="94">
        <v>0</v>
      </c>
      <c r="L592" s="94">
        <v>0</v>
      </c>
      <c r="M592" s="94">
        <v>0</v>
      </c>
      <c r="N592" s="94">
        <v>0</v>
      </c>
      <c r="O592" s="94">
        <v>0</v>
      </c>
      <c r="P592" s="94">
        <v>0</v>
      </c>
      <c r="Q592" s="94">
        <v>0</v>
      </c>
      <c r="R592" s="94">
        <v>0</v>
      </c>
      <c r="S592" s="94">
        <v>0</v>
      </c>
      <c r="T592" s="94">
        <v>0</v>
      </c>
      <c r="U592" s="94">
        <v>0</v>
      </c>
      <c r="V592" s="94">
        <v>0</v>
      </c>
      <c r="W592" s="94">
        <v>0</v>
      </c>
      <c r="X592" s="94">
        <v>0</v>
      </c>
      <c r="Y592" s="94">
        <v>0</v>
      </c>
      <c r="Z592" s="94"/>
      <c r="AA592" s="9"/>
      <c r="AB592" s="9"/>
      <c r="AC592" s="9"/>
      <c r="AD592" s="9"/>
      <c r="AE592" s="12">
        <v>44927</v>
      </c>
      <c r="AF592" s="43" t="s">
        <v>1331</v>
      </c>
      <c r="AG592" t="str">
        <f>VLOOKUP(OfficeForms.Table[[#This Row],[Nama Proyek]],'Nama Proyek'!$D$2:$G$29,4,0)</f>
        <v>-6.80675464,106.785366</v>
      </c>
      <c r="AH592" s="5"/>
      <c r="AI592" s="5"/>
      <c r="AJ592" s="5"/>
      <c r="AK592" s="5" t="s">
        <v>1332</v>
      </c>
    </row>
    <row r="593" spans="1:37" ht="15" hidden="1" customHeight="1">
      <c r="A593">
        <v>863</v>
      </c>
      <c r="B593" s="110">
        <v>44977</v>
      </c>
      <c r="C593" s="28">
        <f>B593</f>
        <v>44977</v>
      </c>
      <c r="D593" s="8" t="s">
        <v>37</v>
      </c>
      <c r="E593" s="8" t="s">
        <v>64</v>
      </c>
      <c r="F593" s="5" t="str">
        <f>E593</f>
        <v>Nizar Zulkarnain</v>
      </c>
      <c r="G593" s="19" t="s">
        <v>65</v>
      </c>
      <c r="H593" s="105">
        <v>44976</v>
      </c>
      <c r="I593" s="95">
        <v>75.126000000000005</v>
      </c>
      <c r="J593" s="95">
        <v>78.994</v>
      </c>
      <c r="K593" s="95">
        <v>65.87</v>
      </c>
      <c r="L593" s="95">
        <v>58.24</v>
      </c>
      <c r="M593" s="95">
        <v>82.63</v>
      </c>
      <c r="N593" s="95">
        <v>83.14</v>
      </c>
      <c r="O593" s="95">
        <v>51.82</v>
      </c>
      <c r="P593" s="95">
        <v>64.510000000000005</v>
      </c>
      <c r="Q593" s="95">
        <v>57.96</v>
      </c>
      <c r="R593" s="95">
        <v>56.18</v>
      </c>
      <c r="S593" s="95">
        <v>84.78</v>
      </c>
      <c r="T593" s="95">
        <v>89.92</v>
      </c>
      <c r="U593" s="95">
        <v>36.32</v>
      </c>
      <c r="V593" s="95">
        <v>22.4</v>
      </c>
      <c r="W593" s="95">
        <v>0</v>
      </c>
      <c r="X593" s="95">
        <v>98.36</v>
      </c>
      <c r="Y593" s="95">
        <v>41.02</v>
      </c>
      <c r="Z593" s="95"/>
      <c r="AA593" s="8"/>
      <c r="AB593" s="8"/>
      <c r="AC593" s="8"/>
      <c r="AD593" s="8"/>
      <c r="AE593" s="11"/>
      <c r="AF593" s="9"/>
      <c r="AG593" t="str">
        <f>VLOOKUP(OfficeForms.Table[[#This Row],[Nama Proyek]],'Nama Proyek'!$D$2:$G$29,4,0)</f>
        <v>-6.35008011,107.02324233</v>
      </c>
      <c r="AH593" s="5"/>
      <c r="AI593" s="5"/>
      <c r="AJ593" s="5"/>
      <c r="AK593" s="5" t="s">
        <v>1333</v>
      </c>
    </row>
    <row r="594" spans="1:37" ht="15" hidden="1" customHeight="1">
      <c r="A594">
        <v>310</v>
      </c>
      <c r="B594" s="111">
        <v>44978</v>
      </c>
      <c r="C594" s="29">
        <f>B594</f>
        <v>44978</v>
      </c>
      <c r="D594" s="9" t="s">
        <v>37</v>
      </c>
      <c r="E594" s="9" t="s">
        <v>75</v>
      </c>
      <c r="F594" s="5" t="str">
        <f>E594</f>
        <v>Banyu Purwita</v>
      </c>
      <c r="G594" s="54" t="s">
        <v>76</v>
      </c>
      <c r="H594" s="104">
        <v>44973</v>
      </c>
      <c r="I594" s="94">
        <v>40.359000000000002</v>
      </c>
      <c r="J594" s="94">
        <v>41.966000000000001</v>
      </c>
      <c r="K594" s="94">
        <v>0</v>
      </c>
      <c r="L594" s="94">
        <v>0</v>
      </c>
      <c r="M594" s="94">
        <v>1.2</v>
      </c>
      <c r="N594" s="94">
        <v>0</v>
      </c>
      <c r="O594" s="94">
        <v>11.962</v>
      </c>
      <c r="P594" s="94">
        <v>0</v>
      </c>
      <c r="Q594" s="94">
        <v>1.855</v>
      </c>
      <c r="R594" s="94">
        <v>0</v>
      </c>
      <c r="S594" s="94">
        <v>23.608000000000001</v>
      </c>
      <c r="T594" s="94">
        <v>0</v>
      </c>
      <c r="U594" s="94">
        <v>6.3E-2</v>
      </c>
      <c r="V594" s="94">
        <v>0</v>
      </c>
      <c r="W594" s="94">
        <v>0</v>
      </c>
      <c r="X594" s="94">
        <v>0</v>
      </c>
      <c r="Y594" s="94">
        <v>0</v>
      </c>
      <c r="Z594" s="94"/>
      <c r="AA594" s="9"/>
      <c r="AB594" s="9"/>
      <c r="AC594" s="9"/>
      <c r="AD594" s="9"/>
      <c r="AE594" s="12"/>
      <c r="AF594" s="42"/>
      <c r="AG594" t="str">
        <f>VLOOKUP(OfficeForms.Table[[#This Row],[Nama Proyek]],'Nama Proyek'!$D$2:$G$29,4,0)</f>
        <v>-2.95293103,104.75455094</v>
      </c>
      <c r="AH594" s="5"/>
      <c r="AI594" s="5"/>
      <c r="AJ594" s="5"/>
      <c r="AK594" s="5" t="s">
        <v>1334</v>
      </c>
    </row>
    <row r="595" spans="1:37" ht="15" hidden="1" customHeight="1">
      <c r="A595" s="31">
        <v>630</v>
      </c>
      <c r="B595" s="111">
        <v>44978</v>
      </c>
      <c r="C595" s="29">
        <f>B595</f>
        <v>44978</v>
      </c>
      <c r="D595" s="9" t="s">
        <v>37</v>
      </c>
      <c r="E595" s="9" t="s">
        <v>214</v>
      </c>
      <c r="F595" s="5" t="str">
        <f>E595</f>
        <v>BASUKI RAHMAT HAKIM</v>
      </c>
      <c r="G595" s="60" t="s">
        <v>48</v>
      </c>
      <c r="H595" s="104">
        <v>44978</v>
      </c>
      <c r="I595" s="94">
        <v>47.18</v>
      </c>
      <c r="J595" s="94">
        <v>50.68</v>
      </c>
      <c r="K595" s="94">
        <v>0</v>
      </c>
      <c r="L595" s="94">
        <v>45.435000000000002</v>
      </c>
      <c r="M595" s="94">
        <v>0</v>
      </c>
      <c r="N595" s="94">
        <v>0</v>
      </c>
      <c r="O595" s="94">
        <v>0</v>
      </c>
      <c r="P595" s="94">
        <v>0</v>
      </c>
      <c r="Q595" s="94">
        <v>0</v>
      </c>
      <c r="R595" s="94">
        <v>0.23100000000000001</v>
      </c>
      <c r="S595" s="94">
        <v>0</v>
      </c>
      <c r="T595" s="94">
        <v>0</v>
      </c>
      <c r="U595" s="94">
        <v>0</v>
      </c>
      <c r="V595" s="94">
        <v>0</v>
      </c>
      <c r="W595" s="94">
        <v>0</v>
      </c>
      <c r="X595" s="94">
        <v>0</v>
      </c>
      <c r="Y595" s="94">
        <v>0</v>
      </c>
      <c r="Z595" s="94"/>
      <c r="AA595" s="9"/>
      <c r="AB595" s="9"/>
      <c r="AC595" s="9"/>
      <c r="AD595" s="9"/>
      <c r="AE595" s="18"/>
      <c r="AF595" s="26" t="s">
        <v>1335</v>
      </c>
      <c r="AG595" t="str">
        <f>VLOOKUP(OfficeForms.Table[[#This Row],[Nama Proyek]],'Nama Proyek'!$D$2:$G$29,4,0)</f>
        <v>3.76047575,115.89977678</v>
      </c>
      <c r="AH595" s="5"/>
      <c r="AI595" s="5"/>
      <c r="AJ595" s="5"/>
      <c r="AK595" s="5" t="s">
        <v>1336</v>
      </c>
    </row>
    <row r="596" spans="1:37" ht="15" hidden="1" customHeight="1">
      <c r="A596" s="30">
        <v>631</v>
      </c>
      <c r="B596" s="110">
        <v>44978</v>
      </c>
      <c r="C596" s="28">
        <f>B596</f>
        <v>44978</v>
      </c>
      <c r="D596" s="8" t="s">
        <v>37</v>
      </c>
      <c r="E596" s="8" t="s">
        <v>214</v>
      </c>
      <c r="F596" s="5" t="str">
        <f>E596</f>
        <v>BASUKI RAHMAT HAKIM</v>
      </c>
      <c r="G596" s="59" t="s">
        <v>48</v>
      </c>
      <c r="H596" s="105"/>
      <c r="I596" s="95">
        <v>0</v>
      </c>
      <c r="J596" s="95">
        <v>0</v>
      </c>
      <c r="K596" s="95">
        <v>0</v>
      </c>
      <c r="L596" s="95">
        <v>0</v>
      </c>
      <c r="M596" s="95">
        <v>0</v>
      </c>
      <c r="N596" s="95">
        <v>0</v>
      </c>
      <c r="O596" s="95">
        <v>0</v>
      </c>
      <c r="P596" s="95">
        <v>0</v>
      </c>
      <c r="Q596" s="95">
        <v>0</v>
      </c>
      <c r="R596" s="95">
        <v>0</v>
      </c>
      <c r="S596" s="95">
        <v>0</v>
      </c>
      <c r="T596" s="95">
        <v>0</v>
      </c>
      <c r="U596" s="95">
        <v>0</v>
      </c>
      <c r="V596" s="95">
        <v>0</v>
      </c>
      <c r="W596" s="95">
        <v>0</v>
      </c>
      <c r="X596" s="95">
        <v>0</v>
      </c>
      <c r="Y596" s="95">
        <v>0</v>
      </c>
      <c r="Z596" s="95"/>
      <c r="AA596" s="8"/>
      <c r="AB596" s="8"/>
      <c r="AC596" s="8"/>
      <c r="AD596" s="8"/>
      <c r="AE596" s="16" t="s">
        <v>1337</v>
      </c>
      <c r="AF596" s="40" t="s">
        <v>1338</v>
      </c>
      <c r="AG596" t="str">
        <f>VLOOKUP(OfficeForms.Table[[#This Row],[Nama Proyek]],'Nama Proyek'!$D$2:$G$29,4,0)</f>
        <v>3.76047575,115.89977678</v>
      </c>
      <c r="AH596" s="5"/>
      <c r="AI596" s="5"/>
      <c r="AJ596" s="5"/>
      <c r="AK596" s="5" t="s">
        <v>1339</v>
      </c>
    </row>
    <row r="597" spans="1:37" ht="15" hidden="1" customHeight="1">
      <c r="A597" s="31">
        <v>632</v>
      </c>
      <c r="B597" s="111">
        <v>44978</v>
      </c>
      <c r="C597" s="29">
        <f>B597</f>
        <v>44978</v>
      </c>
      <c r="D597" s="9" t="s">
        <v>37</v>
      </c>
      <c r="E597" s="9" t="s">
        <v>214</v>
      </c>
      <c r="F597" s="5" t="str">
        <f>E597</f>
        <v>BASUKI RAHMAT HAKIM</v>
      </c>
      <c r="G597" s="59" t="s">
        <v>48</v>
      </c>
      <c r="H597" s="104"/>
      <c r="I597" s="94">
        <v>0</v>
      </c>
      <c r="J597" s="94">
        <v>0</v>
      </c>
      <c r="K597" s="94">
        <v>0</v>
      </c>
      <c r="L597" s="94">
        <v>0</v>
      </c>
      <c r="M597" s="94">
        <v>0</v>
      </c>
      <c r="N597" s="94">
        <v>0</v>
      </c>
      <c r="O597" s="94">
        <v>0</v>
      </c>
      <c r="P597" s="94">
        <v>0</v>
      </c>
      <c r="Q597" s="94">
        <v>0</v>
      </c>
      <c r="R597" s="94">
        <v>0</v>
      </c>
      <c r="S597" s="94">
        <v>0</v>
      </c>
      <c r="T597" s="94">
        <v>0</v>
      </c>
      <c r="U597" s="94">
        <v>0</v>
      </c>
      <c r="V597" s="94">
        <v>0</v>
      </c>
      <c r="W597" s="94">
        <v>0</v>
      </c>
      <c r="X597" s="94">
        <v>0</v>
      </c>
      <c r="Y597" s="94">
        <v>0</v>
      </c>
      <c r="Z597" s="94"/>
      <c r="AA597" s="9"/>
      <c r="AB597" s="9"/>
      <c r="AC597" s="9"/>
      <c r="AD597" s="9"/>
      <c r="AE597" s="12" t="s">
        <v>1337</v>
      </c>
      <c r="AF597" s="15"/>
      <c r="AG597" t="str">
        <f>VLOOKUP(OfficeForms.Table[[#This Row],[Nama Proyek]],'Nama Proyek'!$D$2:$G$29,4,0)</f>
        <v>3.76047575,115.89977678</v>
      </c>
      <c r="AH597" s="5"/>
      <c r="AI597" s="5"/>
      <c r="AJ597" s="5"/>
      <c r="AK597" s="5" t="s">
        <v>1340</v>
      </c>
    </row>
    <row r="598" spans="1:37" ht="15" hidden="1" customHeight="1">
      <c r="A598">
        <v>633</v>
      </c>
      <c r="B598" s="110">
        <v>44978</v>
      </c>
      <c r="C598" s="28">
        <f>B598</f>
        <v>44978</v>
      </c>
      <c r="D598" s="8" t="s">
        <v>37</v>
      </c>
      <c r="E598" s="8" t="s">
        <v>214</v>
      </c>
      <c r="F598" s="5" t="str">
        <f>E598</f>
        <v>BASUKI RAHMAT HAKIM</v>
      </c>
      <c r="G598" s="60" t="s">
        <v>48</v>
      </c>
      <c r="H598" s="105"/>
      <c r="I598" s="95">
        <v>0</v>
      </c>
      <c r="J598" s="95">
        <v>0</v>
      </c>
      <c r="K598" s="95">
        <v>0</v>
      </c>
      <c r="L598" s="95">
        <v>0</v>
      </c>
      <c r="M598" s="95">
        <v>0</v>
      </c>
      <c r="N598" s="95">
        <v>0</v>
      </c>
      <c r="O598" s="95">
        <v>0</v>
      </c>
      <c r="P598" s="95">
        <v>0</v>
      </c>
      <c r="Q598" s="95">
        <v>0</v>
      </c>
      <c r="R598" s="95">
        <v>0</v>
      </c>
      <c r="S598" s="95">
        <v>0</v>
      </c>
      <c r="T598" s="95">
        <v>0</v>
      </c>
      <c r="U598" s="95">
        <v>0</v>
      </c>
      <c r="V598" s="95">
        <v>0</v>
      </c>
      <c r="W598" s="95">
        <v>0</v>
      </c>
      <c r="X598" s="95">
        <v>0</v>
      </c>
      <c r="Y598" s="95">
        <v>0</v>
      </c>
      <c r="Z598" s="95"/>
      <c r="AA598" s="8" t="s">
        <v>1341</v>
      </c>
      <c r="AB598" s="8" t="s">
        <v>1342</v>
      </c>
      <c r="AC598" s="15" t="s">
        <v>1343</v>
      </c>
      <c r="AD598" s="15" t="s">
        <v>1344</v>
      </c>
      <c r="AE598" s="16"/>
      <c r="AF598" s="9"/>
      <c r="AG598" t="str">
        <f>VLOOKUP(OfficeForms.Table[[#This Row],[Nama Proyek]],'Nama Proyek'!$D$2:$G$29,4,0)</f>
        <v>3.76047575,115.89977678</v>
      </c>
      <c r="AH598" s="5"/>
      <c r="AI598" s="5"/>
      <c r="AJ598" s="5"/>
      <c r="AK598" s="5" t="s">
        <v>1345</v>
      </c>
    </row>
    <row r="599" spans="1:37" ht="15" hidden="1" customHeight="1">
      <c r="A599" s="50">
        <v>756</v>
      </c>
      <c r="B599" s="111">
        <v>44978</v>
      </c>
      <c r="C599" s="29">
        <f>B599</f>
        <v>44978</v>
      </c>
      <c r="D599" s="8" t="s">
        <v>37</v>
      </c>
      <c r="E599" s="8" t="s">
        <v>75</v>
      </c>
      <c r="F599" s="5" t="str">
        <f>E599</f>
        <v>Banyu Purwita</v>
      </c>
      <c r="G599" s="37" t="s">
        <v>76</v>
      </c>
      <c r="H599" s="105"/>
      <c r="I599" s="95">
        <v>0</v>
      </c>
      <c r="J599" s="95">
        <v>0</v>
      </c>
      <c r="K599" s="95">
        <v>0</v>
      </c>
      <c r="L599" s="95">
        <v>0</v>
      </c>
      <c r="M599" s="95">
        <v>0</v>
      </c>
      <c r="N599" s="95">
        <v>0</v>
      </c>
      <c r="O599" s="95">
        <v>0</v>
      </c>
      <c r="P599" s="95">
        <v>0</v>
      </c>
      <c r="Q599" s="95">
        <v>0</v>
      </c>
      <c r="R599" s="95">
        <v>0</v>
      </c>
      <c r="S599" s="95">
        <v>0</v>
      </c>
      <c r="T599" s="95">
        <v>0</v>
      </c>
      <c r="U599" s="95">
        <v>0</v>
      </c>
      <c r="V599" s="95">
        <v>0</v>
      </c>
      <c r="W599" s="95">
        <v>0</v>
      </c>
      <c r="X599" s="95">
        <v>0</v>
      </c>
      <c r="Y599" s="95">
        <v>0</v>
      </c>
      <c r="Z599" s="95"/>
      <c r="AA599" s="8"/>
      <c r="AB599" s="8"/>
      <c r="AC599" s="8"/>
      <c r="AD599" s="8"/>
      <c r="AE599" s="11" t="s">
        <v>1346</v>
      </c>
      <c r="AF599" s="19"/>
      <c r="AG599" t="str">
        <f>VLOOKUP(OfficeForms.Table[[#This Row],[Nama Proyek]],'Nama Proyek'!$D$2:$G$29,4,0)</f>
        <v>-2.95293103,104.75455094</v>
      </c>
      <c r="AH599" s="5"/>
      <c r="AI599" s="5"/>
      <c r="AJ599" s="5"/>
      <c r="AK599" s="5" t="s">
        <v>1347</v>
      </c>
    </row>
    <row r="600" spans="1:37" ht="15" hidden="1" customHeight="1">
      <c r="A600" s="31">
        <v>757</v>
      </c>
      <c r="B600" s="110">
        <v>44978</v>
      </c>
      <c r="C600" s="28">
        <f>B600</f>
        <v>44978</v>
      </c>
      <c r="D600" s="19" t="s">
        <v>37</v>
      </c>
      <c r="E600" s="19" t="s">
        <v>75</v>
      </c>
      <c r="F600" s="5" t="str">
        <f>E600</f>
        <v>Banyu Purwita</v>
      </c>
      <c r="G600" s="34" t="s">
        <v>76</v>
      </c>
      <c r="H600" s="101"/>
      <c r="I600" s="96">
        <v>0</v>
      </c>
      <c r="J600" s="96">
        <v>0</v>
      </c>
      <c r="K600" s="96">
        <v>0</v>
      </c>
      <c r="L600" s="96">
        <v>0</v>
      </c>
      <c r="M600" s="96">
        <v>0</v>
      </c>
      <c r="N600" s="96">
        <v>0</v>
      </c>
      <c r="O600" s="96">
        <v>0</v>
      </c>
      <c r="P600" s="96">
        <v>0</v>
      </c>
      <c r="Q600" s="96">
        <v>0</v>
      </c>
      <c r="R600" s="96">
        <v>0</v>
      </c>
      <c r="S600" s="96">
        <v>0</v>
      </c>
      <c r="T600" s="96">
        <v>0</v>
      </c>
      <c r="U600" s="96">
        <v>0</v>
      </c>
      <c r="V600" s="96">
        <v>0</v>
      </c>
      <c r="W600" s="96">
        <v>0</v>
      </c>
      <c r="X600" s="96">
        <v>0</v>
      </c>
      <c r="Y600" s="96">
        <v>0</v>
      </c>
      <c r="Z600" s="96"/>
      <c r="AA600" s="19" t="s">
        <v>1348</v>
      </c>
      <c r="AB600" s="19" t="s">
        <v>1348</v>
      </c>
      <c r="AC600" s="19" t="s">
        <v>1348</v>
      </c>
      <c r="AD600" s="19" t="s">
        <v>1348</v>
      </c>
      <c r="AE600" s="13"/>
      <c r="AF600" s="46" t="s">
        <v>1349</v>
      </c>
      <c r="AG600" t="str">
        <f>VLOOKUP(OfficeForms.Table[[#This Row],[Nama Proyek]],'Nama Proyek'!$D$2:$G$29,4,0)</f>
        <v>-2.95293103,104.75455094</v>
      </c>
      <c r="AH600" s="5"/>
      <c r="AI600" s="5"/>
      <c r="AJ600" s="5"/>
      <c r="AK600" s="5" t="s">
        <v>1350</v>
      </c>
    </row>
    <row r="601" spans="1:37" ht="15" hidden="1" customHeight="1">
      <c r="A601">
        <v>640</v>
      </c>
      <c r="B601" s="111">
        <v>44980</v>
      </c>
      <c r="C601" s="29">
        <f>B601</f>
        <v>44980</v>
      </c>
      <c r="D601" s="9" t="s">
        <v>37</v>
      </c>
      <c r="E601" s="9" t="s">
        <v>687</v>
      </c>
      <c r="F601" s="5" t="str">
        <f>E601</f>
        <v>Andri Julio Hermawan</v>
      </c>
      <c r="G601" s="32" t="s">
        <v>750</v>
      </c>
      <c r="H601" s="103">
        <v>44980</v>
      </c>
      <c r="I601" s="94">
        <v>10.387</v>
      </c>
      <c r="J601" s="94">
        <v>10.167999999999999</v>
      </c>
      <c r="K601" s="94">
        <v>0</v>
      </c>
      <c r="L601" s="94">
        <v>0</v>
      </c>
      <c r="M601" s="94">
        <v>8.2050000000000001</v>
      </c>
      <c r="N601" s="94">
        <v>0</v>
      </c>
      <c r="O601" s="94">
        <v>0</v>
      </c>
      <c r="P601" s="94">
        <v>0</v>
      </c>
      <c r="Q601" s="94">
        <v>0</v>
      </c>
      <c r="R601" s="94">
        <v>0</v>
      </c>
      <c r="S601" s="94">
        <v>1.675</v>
      </c>
      <c r="T601" s="94">
        <v>0</v>
      </c>
      <c r="U601" s="94">
        <v>0</v>
      </c>
      <c r="V601" s="94">
        <v>0</v>
      </c>
      <c r="W601" s="94">
        <v>0</v>
      </c>
      <c r="X601" s="94">
        <v>0</v>
      </c>
      <c r="Y601" s="94">
        <v>0</v>
      </c>
      <c r="Z601" s="94"/>
      <c r="AA601" s="9"/>
      <c r="AB601" s="9"/>
      <c r="AC601" s="17"/>
      <c r="AD601" s="17"/>
      <c r="AE601" s="18"/>
      <c r="AF601" s="8" t="s">
        <v>1351</v>
      </c>
      <c r="AG601" t="str">
        <f>VLOOKUP(OfficeForms.Table[[#This Row],[Nama Proyek]],'Nama Proyek'!$D$2:$G$29,4,0)</f>
        <v>-1.10415341,116.73424356</v>
      </c>
      <c r="AH601" s="5"/>
      <c r="AI601" s="5"/>
      <c r="AJ601" s="5"/>
      <c r="AK601" s="5" t="s">
        <v>1352</v>
      </c>
    </row>
    <row r="602" spans="1:37" ht="15" hidden="1" customHeight="1">
      <c r="A602" s="50">
        <v>570</v>
      </c>
      <c r="B602" s="111">
        <v>44980</v>
      </c>
      <c r="C602" s="29">
        <f>B602</f>
        <v>44980</v>
      </c>
      <c r="D602" s="8" t="s">
        <v>37</v>
      </c>
      <c r="E602" s="8" t="s">
        <v>1109</v>
      </c>
      <c r="F602" s="5" t="str">
        <f>E602</f>
        <v>Anzalar Rahman</v>
      </c>
      <c r="G602" s="33" t="s">
        <v>714</v>
      </c>
      <c r="H602" s="105"/>
      <c r="I602" s="95">
        <v>0</v>
      </c>
      <c r="J602" s="95">
        <v>0</v>
      </c>
      <c r="K602" s="95">
        <v>0</v>
      </c>
      <c r="L602" s="95">
        <v>0</v>
      </c>
      <c r="M602" s="95">
        <v>0</v>
      </c>
      <c r="N602" s="95">
        <v>0</v>
      </c>
      <c r="O602" s="95">
        <v>0</v>
      </c>
      <c r="P602" s="95">
        <v>0</v>
      </c>
      <c r="Q602" s="95">
        <v>0</v>
      </c>
      <c r="R602" s="95">
        <v>0</v>
      </c>
      <c r="S602" s="95">
        <v>0</v>
      </c>
      <c r="T602" s="95">
        <v>0</v>
      </c>
      <c r="U602" s="95">
        <v>0</v>
      </c>
      <c r="V602" s="95">
        <v>0</v>
      </c>
      <c r="W602" s="95">
        <v>0</v>
      </c>
      <c r="X602" s="95">
        <v>0</v>
      </c>
      <c r="Y602" s="95">
        <v>0</v>
      </c>
      <c r="Z602" s="95"/>
      <c r="AA602" s="8" t="s">
        <v>1353</v>
      </c>
      <c r="AB602" s="8" t="s">
        <v>1354</v>
      </c>
      <c r="AC602" s="8" t="s">
        <v>1355</v>
      </c>
      <c r="AD602" s="8" t="s">
        <v>1356</v>
      </c>
      <c r="AE602" s="11"/>
      <c r="AF602" s="19" t="s">
        <v>579</v>
      </c>
      <c r="AG602" t="str">
        <f>VLOOKUP(OfficeForms.Table[[#This Row],[Nama Proyek]],'Nama Proyek'!$D$2:$G$29,4,0)</f>
        <v>-0.95259625,116.71704453</v>
      </c>
      <c r="AH602" s="5"/>
      <c r="AI602" s="5"/>
      <c r="AJ602" s="5"/>
      <c r="AK602" s="5" t="s">
        <v>1357</v>
      </c>
    </row>
    <row r="603" spans="1:37" ht="15" hidden="1" customHeight="1">
      <c r="A603" s="31">
        <v>638</v>
      </c>
      <c r="B603" s="111">
        <v>44980</v>
      </c>
      <c r="C603" s="29">
        <f>B603</f>
        <v>44980</v>
      </c>
      <c r="D603" s="9" t="s">
        <v>37</v>
      </c>
      <c r="E603" s="9" t="s">
        <v>687</v>
      </c>
      <c r="F603" s="5" t="str">
        <f>E603</f>
        <v>Andri Julio Hermawan</v>
      </c>
      <c r="G603" s="22" t="s">
        <v>750</v>
      </c>
      <c r="H603" s="104"/>
      <c r="I603" s="94">
        <v>0</v>
      </c>
      <c r="J603" s="94">
        <v>0</v>
      </c>
      <c r="K603" s="94">
        <v>0</v>
      </c>
      <c r="L603" s="94">
        <v>0</v>
      </c>
      <c r="M603" s="94">
        <v>0</v>
      </c>
      <c r="N603" s="94">
        <v>0</v>
      </c>
      <c r="O603" s="94">
        <v>0</v>
      </c>
      <c r="P603" s="94">
        <v>0</v>
      </c>
      <c r="Q603" s="94">
        <v>0</v>
      </c>
      <c r="R603" s="94">
        <v>0</v>
      </c>
      <c r="S603" s="94">
        <v>0</v>
      </c>
      <c r="T603" s="94">
        <v>0</v>
      </c>
      <c r="U603" s="94">
        <v>0</v>
      </c>
      <c r="V603" s="94">
        <v>0</v>
      </c>
      <c r="W603" s="94">
        <v>0</v>
      </c>
      <c r="X603" s="94">
        <v>0</v>
      </c>
      <c r="Y603" s="94">
        <v>0</v>
      </c>
      <c r="Z603" s="94"/>
      <c r="AA603" s="9" t="s">
        <v>1358</v>
      </c>
      <c r="AB603" s="9" t="s">
        <v>1359</v>
      </c>
      <c r="AC603" s="40" t="s">
        <v>1360</v>
      </c>
      <c r="AD603" s="9" t="s">
        <v>1361</v>
      </c>
      <c r="AE603" s="12"/>
      <c r="AF603" s="41" t="s">
        <v>1362</v>
      </c>
      <c r="AG603" t="str">
        <f>VLOOKUP(OfficeForms.Table[[#This Row],[Nama Proyek]],'Nama Proyek'!$D$2:$G$29,4,0)</f>
        <v>-1.10415341,116.73424356</v>
      </c>
      <c r="AH603" s="5"/>
      <c r="AI603" s="5"/>
      <c r="AJ603" s="5"/>
      <c r="AK603" s="5" t="s">
        <v>1363</v>
      </c>
    </row>
    <row r="604" spans="1:37" ht="15" hidden="1" customHeight="1">
      <c r="A604" s="30">
        <v>639</v>
      </c>
      <c r="B604" s="110">
        <v>44980</v>
      </c>
      <c r="C604" s="28">
        <f>B604</f>
        <v>44980</v>
      </c>
      <c r="D604" s="8" t="s">
        <v>37</v>
      </c>
      <c r="E604" s="8" t="s">
        <v>687</v>
      </c>
      <c r="F604" s="5" t="str">
        <f>E604</f>
        <v>Andri Julio Hermawan</v>
      </c>
      <c r="G604" s="39" t="s">
        <v>750</v>
      </c>
      <c r="H604" s="105"/>
      <c r="I604" s="95">
        <v>0</v>
      </c>
      <c r="J604" s="95">
        <v>0</v>
      </c>
      <c r="K604" s="95">
        <v>0</v>
      </c>
      <c r="L604" s="95">
        <v>0</v>
      </c>
      <c r="M604" s="95">
        <v>0</v>
      </c>
      <c r="N604" s="95">
        <v>0</v>
      </c>
      <c r="O604" s="95">
        <v>0</v>
      </c>
      <c r="P604" s="95">
        <v>0</v>
      </c>
      <c r="Q604" s="95">
        <v>0</v>
      </c>
      <c r="R604" s="95">
        <v>0</v>
      </c>
      <c r="S604" s="95">
        <v>0</v>
      </c>
      <c r="T604" s="95">
        <v>0</v>
      </c>
      <c r="U604" s="95">
        <v>0</v>
      </c>
      <c r="V604" s="95">
        <v>0</v>
      </c>
      <c r="W604" s="95">
        <v>0</v>
      </c>
      <c r="X604" s="95">
        <v>0</v>
      </c>
      <c r="Y604" s="95">
        <v>0</v>
      </c>
      <c r="Z604" s="95"/>
      <c r="AA604" s="8"/>
      <c r="AB604" s="8"/>
      <c r="AC604" s="8"/>
      <c r="AD604" s="8"/>
      <c r="AE604" s="11" t="s">
        <v>1364</v>
      </c>
      <c r="AF604" s="9"/>
      <c r="AG604" t="str">
        <f>VLOOKUP(OfficeForms.Table[[#This Row],[Nama Proyek]],'Nama Proyek'!$D$2:$G$29,4,0)</f>
        <v>-1.10415341,116.73424356</v>
      </c>
      <c r="AH604" s="5"/>
      <c r="AI604" s="5"/>
      <c r="AJ604" s="5"/>
      <c r="AK604" s="5" t="s">
        <v>1365</v>
      </c>
    </row>
    <row r="605" spans="1:37" ht="15" hidden="1" customHeight="1">
      <c r="A605" s="30">
        <v>935</v>
      </c>
      <c r="B605" s="110">
        <v>44981</v>
      </c>
      <c r="C605" s="28">
        <f>B605</f>
        <v>44981</v>
      </c>
      <c r="D605" s="8" t="s">
        <v>37</v>
      </c>
      <c r="E605" s="8" t="s">
        <v>1109</v>
      </c>
      <c r="F605" s="5" t="str">
        <f>E605</f>
        <v>Anzalar Rahman</v>
      </c>
      <c r="G605" s="38" t="s">
        <v>714</v>
      </c>
      <c r="H605" s="105">
        <v>44976</v>
      </c>
      <c r="I605" s="95">
        <v>14.458</v>
      </c>
      <c r="J605" s="95">
        <v>17.091999999999999</v>
      </c>
      <c r="K605" s="95">
        <v>0</v>
      </c>
      <c r="L605" s="95">
        <v>0</v>
      </c>
      <c r="M605" s="95">
        <v>0</v>
      </c>
      <c r="N605" s="95">
        <v>0</v>
      </c>
      <c r="O605" s="95">
        <v>0</v>
      </c>
      <c r="P605" s="95">
        <v>0</v>
      </c>
      <c r="Q605" s="95">
        <v>0</v>
      </c>
      <c r="R605" s="95">
        <v>0</v>
      </c>
      <c r="S605" s="95">
        <v>0</v>
      </c>
      <c r="T605" s="95">
        <v>0</v>
      </c>
      <c r="U605" s="95">
        <v>0</v>
      </c>
      <c r="V605" s="95">
        <v>0</v>
      </c>
      <c r="W605" s="95">
        <v>0</v>
      </c>
      <c r="X605" s="95">
        <v>0</v>
      </c>
      <c r="Y605" s="95">
        <v>0</v>
      </c>
      <c r="Z605" s="95"/>
      <c r="AA605" s="8"/>
      <c r="AB605" s="8"/>
      <c r="AC605" s="8"/>
      <c r="AD605" s="8"/>
      <c r="AE605" s="11"/>
      <c r="AF605" s="9"/>
      <c r="AG605" t="str">
        <f>VLOOKUP(OfficeForms.Table[[#This Row],[Nama Proyek]],'Nama Proyek'!$D$2:$G$29,4,0)</f>
        <v>-0.95259625,116.71704453</v>
      </c>
      <c r="AH605" s="5"/>
      <c r="AI605" s="5"/>
      <c r="AJ605" s="5"/>
      <c r="AK605" s="5" t="s">
        <v>1366</v>
      </c>
    </row>
    <row r="606" spans="1:37" ht="15" hidden="1" customHeight="1">
      <c r="A606" s="50">
        <v>312</v>
      </c>
      <c r="B606" s="111">
        <v>44981</v>
      </c>
      <c r="C606" s="29">
        <f>B606</f>
        <v>44981</v>
      </c>
      <c r="D606" s="8" t="s">
        <v>37</v>
      </c>
      <c r="E606" s="8" t="s">
        <v>75</v>
      </c>
      <c r="F606" s="5" t="str">
        <f>E606</f>
        <v>Banyu Purwita</v>
      </c>
      <c r="G606" s="37" t="s">
        <v>76</v>
      </c>
      <c r="H606" s="102">
        <v>44980</v>
      </c>
      <c r="I606" s="95">
        <v>41.027000000000001</v>
      </c>
      <c r="J606" s="95">
        <v>42.305999999999997</v>
      </c>
      <c r="K606" s="95">
        <v>0</v>
      </c>
      <c r="L606" s="95">
        <v>0</v>
      </c>
      <c r="M606" s="95">
        <v>1.2</v>
      </c>
      <c r="N606" s="95">
        <v>0</v>
      </c>
      <c r="O606" s="95">
        <v>11.962</v>
      </c>
      <c r="P606" s="95">
        <v>0</v>
      </c>
      <c r="Q606" s="95">
        <v>1.855</v>
      </c>
      <c r="R606" s="95">
        <v>0</v>
      </c>
      <c r="S606" s="95">
        <v>23.608000000000001</v>
      </c>
      <c r="T606" s="95">
        <v>0</v>
      </c>
      <c r="U606" s="95">
        <v>6.3E-2</v>
      </c>
      <c r="V606" s="95">
        <v>0</v>
      </c>
      <c r="W606" s="95">
        <v>0</v>
      </c>
      <c r="X606" s="95">
        <v>0</v>
      </c>
      <c r="Y606" s="95">
        <v>0</v>
      </c>
      <c r="Z606" s="95"/>
      <c r="AA606" s="8"/>
      <c r="AB606" s="8"/>
      <c r="AC606" s="8"/>
      <c r="AD606" s="8"/>
      <c r="AE606" s="11"/>
      <c r="AF606" s="8"/>
      <c r="AG606" t="str">
        <f>VLOOKUP(OfficeForms.Table[[#This Row],[Nama Proyek]],'Nama Proyek'!$D$2:$G$29,4,0)</f>
        <v>-2.95293103,104.75455094</v>
      </c>
      <c r="AH606" s="5"/>
      <c r="AI606" s="5"/>
      <c r="AJ606" s="5"/>
      <c r="AK606" s="5" t="s">
        <v>1367</v>
      </c>
    </row>
    <row r="607" spans="1:37" ht="15" hidden="1" customHeight="1">
      <c r="A607">
        <v>568</v>
      </c>
      <c r="B607" s="111">
        <v>44981</v>
      </c>
      <c r="C607" s="29">
        <f>B607</f>
        <v>44981</v>
      </c>
      <c r="D607" s="9" t="s">
        <v>37</v>
      </c>
      <c r="E607" s="9" t="s">
        <v>1109</v>
      </c>
      <c r="F607" s="5" t="str">
        <f>E607</f>
        <v>Anzalar Rahman</v>
      </c>
      <c r="G607" s="33" t="s">
        <v>714</v>
      </c>
      <c r="H607" s="103"/>
      <c r="I607" s="94">
        <v>0</v>
      </c>
      <c r="J607" s="94">
        <v>0</v>
      </c>
      <c r="K607" s="94">
        <v>0</v>
      </c>
      <c r="L607" s="94">
        <v>0</v>
      </c>
      <c r="M607" s="94">
        <v>0</v>
      </c>
      <c r="N607" s="94">
        <v>0</v>
      </c>
      <c r="O607" s="94">
        <v>0</v>
      </c>
      <c r="P607" s="94">
        <v>0</v>
      </c>
      <c r="Q607" s="94">
        <v>0</v>
      </c>
      <c r="R607" s="94">
        <v>0</v>
      </c>
      <c r="S607" s="94">
        <v>0</v>
      </c>
      <c r="T607" s="94">
        <v>0</v>
      </c>
      <c r="U607" s="94">
        <v>0</v>
      </c>
      <c r="V607" s="94">
        <v>0</v>
      </c>
      <c r="W607" s="94">
        <v>0</v>
      </c>
      <c r="X607" s="94">
        <v>0</v>
      </c>
      <c r="Y607" s="94">
        <v>0</v>
      </c>
      <c r="Z607" s="94"/>
      <c r="AA607" s="9"/>
      <c r="AB607" s="9"/>
      <c r="AC607" s="9"/>
      <c r="AD607" s="9"/>
      <c r="AE607" s="12">
        <v>45262</v>
      </c>
      <c r="AF607" s="8"/>
      <c r="AG607" t="str">
        <f>VLOOKUP(OfficeForms.Table[[#This Row],[Nama Proyek]],'Nama Proyek'!$D$2:$G$29,4,0)</f>
        <v>-0.95259625,116.71704453</v>
      </c>
      <c r="AH607" s="5"/>
      <c r="AI607" s="5"/>
      <c r="AJ607" s="5"/>
      <c r="AK607" s="5" t="s">
        <v>1368</v>
      </c>
    </row>
    <row r="608" spans="1:37" ht="15" hidden="1" customHeight="1">
      <c r="A608" s="31">
        <v>571</v>
      </c>
      <c r="B608" s="110">
        <v>44981</v>
      </c>
      <c r="C608" s="28">
        <f>B608</f>
        <v>44981</v>
      </c>
      <c r="D608" s="19" t="s">
        <v>37</v>
      </c>
      <c r="E608" s="19" t="s">
        <v>1109</v>
      </c>
      <c r="F608" s="5" t="str">
        <f>E608</f>
        <v>Anzalar Rahman</v>
      </c>
      <c r="G608" s="38" t="s">
        <v>714</v>
      </c>
      <c r="H608" s="101"/>
      <c r="I608" s="96">
        <v>0</v>
      </c>
      <c r="J608" s="96">
        <v>0</v>
      </c>
      <c r="K608" s="96">
        <v>0</v>
      </c>
      <c r="L608" s="96">
        <v>0</v>
      </c>
      <c r="M608" s="96">
        <v>0</v>
      </c>
      <c r="N608" s="96">
        <v>0</v>
      </c>
      <c r="O608" s="96">
        <v>0</v>
      </c>
      <c r="P608" s="96">
        <v>0</v>
      </c>
      <c r="Q608" s="96">
        <v>0</v>
      </c>
      <c r="R608" s="96">
        <v>0</v>
      </c>
      <c r="S608" s="96">
        <v>0</v>
      </c>
      <c r="T608" s="96">
        <v>0</v>
      </c>
      <c r="U608" s="96">
        <v>0</v>
      </c>
      <c r="V608" s="96">
        <v>0</v>
      </c>
      <c r="W608" s="96">
        <v>0</v>
      </c>
      <c r="X608" s="96">
        <v>0</v>
      </c>
      <c r="Y608" s="96">
        <v>0</v>
      </c>
      <c r="Z608" s="96"/>
      <c r="AA608" s="19"/>
      <c r="AB608" s="19"/>
      <c r="AC608" s="19"/>
      <c r="AD608" s="19"/>
      <c r="AE608" s="13" t="s">
        <v>1369</v>
      </c>
      <c r="AF608" s="17"/>
      <c r="AG608" t="str">
        <f>VLOOKUP(OfficeForms.Table[[#This Row],[Nama Proyek]],'Nama Proyek'!$D$2:$G$29,4,0)</f>
        <v>-0.95259625,116.71704453</v>
      </c>
      <c r="AH608" s="5"/>
      <c r="AI608" s="5"/>
      <c r="AJ608" s="5"/>
      <c r="AK608" s="5" t="s">
        <v>1370</v>
      </c>
    </row>
    <row r="609" spans="1:37" ht="15" hidden="1" customHeight="1">
      <c r="A609" s="31">
        <v>758</v>
      </c>
      <c r="B609" s="111">
        <v>44981</v>
      </c>
      <c r="C609" s="29">
        <f>B609</f>
        <v>44981</v>
      </c>
      <c r="D609" s="9" t="s">
        <v>37</v>
      </c>
      <c r="E609" s="9" t="s">
        <v>75</v>
      </c>
      <c r="F609" s="5" t="str">
        <f>E609</f>
        <v>Banyu Purwita</v>
      </c>
      <c r="G609" s="37" t="s">
        <v>76</v>
      </c>
      <c r="H609" s="103"/>
      <c r="I609" s="94">
        <v>0</v>
      </c>
      <c r="J609" s="94">
        <v>0</v>
      </c>
      <c r="K609" s="94">
        <v>0</v>
      </c>
      <c r="L609" s="94">
        <v>0</v>
      </c>
      <c r="M609" s="94">
        <v>0</v>
      </c>
      <c r="N609" s="94">
        <v>0</v>
      </c>
      <c r="O609" s="94">
        <v>0</v>
      </c>
      <c r="P609" s="94">
        <v>0</v>
      </c>
      <c r="Q609" s="94">
        <v>0</v>
      </c>
      <c r="R609" s="94">
        <v>0</v>
      </c>
      <c r="S609" s="94">
        <v>0</v>
      </c>
      <c r="T609" s="94">
        <v>0</v>
      </c>
      <c r="U609" s="94">
        <v>0</v>
      </c>
      <c r="V609" s="94">
        <v>0</v>
      </c>
      <c r="W609" s="94">
        <v>0</v>
      </c>
      <c r="X609" s="94">
        <v>0</v>
      </c>
      <c r="Y609" s="94">
        <v>0</v>
      </c>
      <c r="Z609" s="94"/>
      <c r="AA609" s="9"/>
      <c r="AB609" s="9"/>
      <c r="AC609" s="9"/>
      <c r="AD609" s="9"/>
      <c r="AE609" s="18" t="s">
        <v>1364</v>
      </c>
      <c r="AF609" s="15"/>
      <c r="AG609" t="str">
        <f>VLOOKUP(OfficeForms.Table[[#This Row],[Nama Proyek]],'Nama Proyek'!$D$2:$G$29,4,0)</f>
        <v>-2.95293103,104.75455094</v>
      </c>
      <c r="AH609" s="5"/>
      <c r="AI609" s="5"/>
      <c r="AJ609" s="5"/>
      <c r="AK609" s="5" t="s">
        <v>1371</v>
      </c>
    </row>
    <row r="610" spans="1:37" ht="15" hidden="1" customHeight="1">
      <c r="A610" s="30">
        <v>759</v>
      </c>
      <c r="B610" s="110">
        <v>44981</v>
      </c>
      <c r="C610" s="28">
        <f>B610</f>
        <v>44981</v>
      </c>
      <c r="D610" s="8" t="s">
        <v>37</v>
      </c>
      <c r="E610" s="8" t="s">
        <v>75</v>
      </c>
      <c r="F610" s="5" t="str">
        <f>E610</f>
        <v>Banyu Purwita</v>
      </c>
      <c r="G610" s="55" t="s">
        <v>76</v>
      </c>
      <c r="H610" s="102"/>
      <c r="I610" s="95">
        <v>0</v>
      </c>
      <c r="J610" s="95">
        <v>0</v>
      </c>
      <c r="K610" s="95">
        <v>0</v>
      </c>
      <c r="L610" s="95">
        <v>0</v>
      </c>
      <c r="M610" s="95">
        <v>0</v>
      </c>
      <c r="N610" s="95">
        <v>0</v>
      </c>
      <c r="O610" s="95">
        <v>0</v>
      </c>
      <c r="P610" s="95">
        <v>0</v>
      </c>
      <c r="Q610" s="95">
        <v>0</v>
      </c>
      <c r="R610" s="95">
        <v>0</v>
      </c>
      <c r="S610" s="95">
        <v>0</v>
      </c>
      <c r="T610" s="95">
        <v>0</v>
      </c>
      <c r="U610" s="95">
        <v>0</v>
      </c>
      <c r="V610" s="95">
        <v>0</v>
      </c>
      <c r="W610" s="95">
        <v>0</v>
      </c>
      <c r="X610" s="95">
        <v>0</v>
      </c>
      <c r="Y610" s="95">
        <v>0</v>
      </c>
      <c r="Z610" s="95"/>
      <c r="AA610" s="8" t="s">
        <v>1372</v>
      </c>
      <c r="AB610" s="15" t="s">
        <v>1372</v>
      </c>
      <c r="AC610" s="8" t="s">
        <v>1372</v>
      </c>
      <c r="AD610" s="8" t="s">
        <v>1372</v>
      </c>
      <c r="AE610" s="16"/>
      <c r="AF610" s="46" t="s">
        <v>1373</v>
      </c>
      <c r="AG610" t="str">
        <f>VLOOKUP(OfficeForms.Table[[#This Row],[Nama Proyek]],'Nama Proyek'!$D$2:$G$29,4,0)</f>
        <v>-2.95293103,104.75455094</v>
      </c>
      <c r="AH610" s="5"/>
      <c r="AI610" s="5"/>
      <c r="AJ610" s="5"/>
      <c r="AK610" s="5" t="s">
        <v>1374</v>
      </c>
    </row>
    <row r="611" spans="1:37" ht="15" hidden="1" customHeight="1">
      <c r="A611" s="50">
        <v>654</v>
      </c>
      <c r="B611" s="111">
        <v>44982</v>
      </c>
      <c r="C611" s="29">
        <f>B611</f>
        <v>44982</v>
      </c>
      <c r="D611" s="9" t="s">
        <v>37</v>
      </c>
      <c r="E611" s="9" t="s">
        <v>79</v>
      </c>
      <c r="F611" s="5" t="str">
        <f>E611</f>
        <v>Fajar Sodiq Febriansyah</v>
      </c>
      <c r="G611" s="33" t="s">
        <v>80</v>
      </c>
      <c r="H611" s="103">
        <v>44976</v>
      </c>
      <c r="I611" s="94">
        <v>93.010300000000001</v>
      </c>
      <c r="J611" s="94">
        <v>100</v>
      </c>
      <c r="K611" s="94">
        <v>0.40400000000000003</v>
      </c>
      <c r="L611" s="94">
        <v>0.14599999999999999</v>
      </c>
      <c r="M611" s="94">
        <v>32.101999999999997</v>
      </c>
      <c r="N611" s="94">
        <v>0.45200000000000001</v>
      </c>
      <c r="O611" s="94">
        <v>3.2789999999999999</v>
      </c>
      <c r="P611" s="94">
        <v>0.221</v>
      </c>
      <c r="Q611" s="94">
        <v>9.9000000000000005E-2</v>
      </c>
      <c r="R611" s="94">
        <v>16.143999999999998</v>
      </c>
      <c r="S611" s="94">
        <v>28.364999999999998</v>
      </c>
      <c r="T611" s="94">
        <v>0</v>
      </c>
      <c r="U611" s="94">
        <v>8.3260000000000005</v>
      </c>
      <c r="V611" s="94">
        <v>2.0190000000000001</v>
      </c>
      <c r="W611" s="94">
        <v>0.32900000000000001</v>
      </c>
      <c r="X611" s="94">
        <v>0.186</v>
      </c>
      <c r="Y611" s="94">
        <v>0.47199999999999998</v>
      </c>
      <c r="Z611" s="94"/>
      <c r="AA611" s="9"/>
      <c r="AB611" s="9"/>
      <c r="AC611" s="9"/>
      <c r="AD611" s="9"/>
      <c r="AE611" s="18"/>
      <c r="AF611" s="8"/>
      <c r="AG611" t="str">
        <f>VLOOKUP(OfficeForms.Table[[#This Row],[Nama Proyek]],'Nama Proyek'!$D$2:$G$29,4,0)</f>
        <v>-7.82225167,113.29968319</v>
      </c>
      <c r="AH611" s="5"/>
      <c r="AI611" s="5"/>
      <c r="AJ611" s="5"/>
      <c r="AK611" s="5" t="s">
        <v>1375</v>
      </c>
    </row>
    <row r="612" spans="1:37" ht="15" hidden="1" customHeight="1">
      <c r="A612">
        <v>646</v>
      </c>
      <c r="B612" s="111">
        <v>44982</v>
      </c>
      <c r="C612" s="29">
        <f>B612</f>
        <v>44982</v>
      </c>
      <c r="D612" s="9" t="s">
        <v>37</v>
      </c>
      <c r="E612" s="9" t="s">
        <v>166</v>
      </c>
      <c r="F612" s="5" t="str">
        <f>E612</f>
        <v>Ganis Satria Pratama</v>
      </c>
      <c r="G612" s="9" t="s">
        <v>167</v>
      </c>
      <c r="H612" s="104">
        <v>44982</v>
      </c>
      <c r="I612" s="94">
        <v>100</v>
      </c>
      <c r="J612" s="94">
        <v>100</v>
      </c>
      <c r="K612" s="94">
        <v>100</v>
      </c>
      <c r="L612" s="94">
        <v>100</v>
      </c>
      <c r="M612" s="94">
        <v>0</v>
      </c>
      <c r="N612" s="94">
        <v>100</v>
      </c>
      <c r="O612" s="94">
        <v>100</v>
      </c>
      <c r="P612" s="94">
        <v>100</v>
      </c>
      <c r="Q612" s="94">
        <v>0</v>
      </c>
      <c r="R612" s="94">
        <v>100</v>
      </c>
      <c r="S612" s="94">
        <v>0</v>
      </c>
      <c r="T612" s="94">
        <v>0</v>
      </c>
      <c r="U612" s="94">
        <v>0</v>
      </c>
      <c r="V612" s="94">
        <v>0</v>
      </c>
      <c r="W612" s="94">
        <v>0</v>
      </c>
      <c r="X612" s="94">
        <v>0</v>
      </c>
      <c r="Y612" s="94">
        <v>0</v>
      </c>
      <c r="Z612" s="94"/>
      <c r="AA612" s="9"/>
      <c r="AB612" s="9"/>
      <c r="AC612" s="9"/>
      <c r="AD612" s="9"/>
      <c r="AE612" s="12"/>
      <c r="AF612" s="8" t="s">
        <v>1376</v>
      </c>
      <c r="AG612" t="str">
        <f>VLOOKUP(OfficeForms.Table[[#This Row],[Nama Proyek]],'Nama Proyek'!$D$2:$G$29,4,0)</f>
        <v>2.426249030,128.29766314</v>
      </c>
      <c r="AH612" s="5"/>
      <c r="AI612" s="5"/>
      <c r="AJ612" s="5"/>
      <c r="AK612" s="5" t="s">
        <v>1377</v>
      </c>
    </row>
    <row r="613" spans="1:37" ht="15" hidden="1" customHeight="1">
      <c r="A613" s="31">
        <v>359</v>
      </c>
      <c r="B613" s="110">
        <v>44982</v>
      </c>
      <c r="C613" s="28">
        <f>B613</f>
        <v>44982</v>
      </c>
      <c r="D613" s="8" t="s">
        <v>37</v>
      </c>
      <c r="E613" s="8" t="s">
        <v>64</v>
      </c>
      <c r="F613" s="5" t="str">
        <f>E613</f>
        <v>Nizar Zulkarnain</v>
      </c>
      <c r="G613" s="42" t="s">
        <v>65</v>
      </c>
      <c r="H613" s="105"/>
      <c r="I613" s="95">
        <v>0</v>
      </c>
      <c r="J613" s="95">
        <v>0</v>
      </c>
      <c r="K613" s="95">
        <v>0</v>
      </c>
      <c r="L613" s="95">
        <v>0</v>
      </c>
      <c r="M613" s="95">
        <v>0</v>
      </c>
      <c r="N613" s="95">
        <v>0</v>
      </c>
      <c r="O613" s="95">
        <v>0</v>
      </c>
      <c r="P613" s="95">
        <v>0</v>
      </c>
      <c r="Q613" s="95">
        <v>0</v>
      </c>
      <c r="R613" s="95">
        <v>0</v>
      </c>
      <c r="S613" s="95">
        <v>0</v>
      </c>
      <c r="T613" s="95">
        <v>0</v>
      </c>
      <c r="U613" s="95">
        <v>0</v>
      </c>
      <c r="V613" s="95">
        <v>0</v>
      </c>
      <c r="W613" s="95">
        <v>0</v>
      </c>
      <c r="X613" s="95">
        <v>0</v>
      </c>
      <c r="Y613" s="95">
        <v>0</v>
      </c>
      <c r="Z613" s="95"/>
      <c r="AA613" s="8"/>
      <c r="AB613" s="8"/>
      <c r="AC613" s="8"/>
      <c r="AD613" s="8"/>
      <c r="AE613" s="11">
        <v>44928</v>
      </c>
      <c r="AF613" s="9"/>
      <c r="AG613" t="str">
        <f>VLOOKUP(OfficeForms.Table[[#This Row],[Nama Proyek]],'Nama Proyek'!$D$2:$G$29,4,0)</f>
        <v>-6.35008011,107.02324233</v>
      </c>
      <c r="AH613" s="5"/>
      <c r="AI613" s="5"/>
      <c r="AJ613" s="5"/>
      <c r="AK613" s="5" t="s">
        <v>1378</v>
      </c>
    </row>
    <row r="614" spans="1:37" ht="15" hidden="1" customHeight="1">
      <c r="A614" s="31">
        <v>384</v>
      </c>
      <c r="B614" s="111">
        <v>44982</v>
      </c>
      <c r="C614" s="29">
        <f>B614</f>
        <v>44982</v>
      </c>
      <c r="D614" s="9" t="s">
        <v>37</v>
      </c>
      <c r="E614" s="9" t="s">
        <v>64</v>
      </c>
      <c r="F614" s="5" t="str">
        <f>E614</f>
        <v>Nizar Zulkarnain</v>
      </c>
      <c r="G614" s="17" t="s">
        <v>65</v>
      </c>
      <c r="H614" s="103"/>
      <c r="I614" s="94">
        <v>0</v>
      </c>
      <c r="J614" s="94">
        <v>0</v>
      </c>
      <c r="K614" s="94">
        <v>0</v>
      </c>
      <c r="L614" s="94">
        <v>0</v>
      </c>
      <c r="M614" s="94">
        <v>0</v>
      </c>
      <c r="N614" s="94">
        <v>0</v>
      </c>
      <c r="O614" s="94">
        <v>0</v>
      </c>
      <c r="P614" s="94">
        <v>0</v>
      </c>
      <c r="Q614" s="94">
        <v>0</v>
      </c>
      <c r="R614" s="94">
        <v>0</v>
      </c>
      <c r="S614" s="94">
        <v>0</v>
      </c>
      <c r="T614" s="94">
        <v>0</v>
      </c>
      <c r="U614" s="94">
        <v>0</v>
      </c>
      <c r="V614" s="94">
        <v>0</v>
      </c>
      <c r="W614" s="94">
        <v>0</v>
      </c>
      <c r="X614" s="94">
        <v>0</v>
      </c>
      <c r="Y614" s="94">
        <v>0</v>
      </c>
      <c r="Z614" s="94"/>
      <c r="AA614" s="9" t="s">
        <v>1379</v>
      </c>
      <c r="AB614" s="9"/>
      <c r="AC614" s="9" t="s">
        <v>1380</v>
      </c>
      <c r="AD614" s="9" t="s">
        <v>1381</v>
      </c>
      <c r="AE614" s="12"/>
      <c r="AF614" s="15"/>
      <c r="AG614" t="str">
        <f>VLOOKUP(OfficeForms.Table[[#This Row],[Nama Proyek]],'Nama Proyek'!$D$2:$G$29,4,0)</f>
        <v>-6.35008011,107.02324233</v>
      </c>
      <c r="AH614" s="5"/>
      <c r="AI614" s="5"/>
      <c r="AJ614" s="5"/>
      <c r="AK614" s="5" t="s">
        <v>1382</v>
      </c>
    </row>
    <row r="615" spans="1:37" ht="15" hidden="1" customHeight="1">
      <c r="A615" s="30">
        <v>509</v>
      </c>
      <c r="B615" s="110">
        <v>44982</v>
      </c>
      <c r="C615" s="28">
        <f>B615</f>
        <v>44982</v>
      </c>
      <c r="D615" s="19" t="s">
        <v>37</v>
      </c>
      <c r="E615" s="19" t="s">
        <v>504</v>
      </c>
      <c r="F615" s="5" t="str">
        <f>E615</f>
        <v>Fathan Zul Waskito</v>
      </c>
      <c r="G615" s="42" t="s">
        <v>472</v>
      </c>
      <c r="H615" s="101"/>
      <c r="I615" s="96">
        <v>0</v>
      </c>
      <c r="J615" s="96">
        <v>0</v>
      </c>
      <c r="K615" s="96">
        <v>0</v>
      </c>
      <c r="L615" s="96">
        <v>0</v>
      </c>
      <c r="M615" s="96">
        <v>0</v>
      </c>
      <c r="N615" s="96">
        <v>0</v>
      </c>
      <c r="O615" s="96">
        <v>0</v>
      </c>
      <c r="P615" s="96">
        <v>0</v>
      </c>
      <c r="Q615" s="96">
        <v>0</v>
      </c>
      <c r="R615" s="96">
        <v>0</v>
      </c>
      <c r="S615" s="96">
        <v>0</v>
      </c>
      <c r="T615" s="96">
        <v>0</v>
      </c>
      <c r="U615" s="96">
        <v>0</v>
      </c>
      <c r="V615" s="96">
        <v>0</v>
      </c>
      <c r="W615" s="96">
        <v>0</v>
      </c>
      <c r="X615" s="96">
        <v>0</v>
      </c>
      <c r="Y615" s="96">
        <v>0</v>
      </c>
      <c r="Z615" s="96"/>
      <c r="AA615" s="19"/>
      <c r="AB615" s="19"/>
      <c r="AC615" s="19"/>
      <c r="AD615" s="19"/>
      <c r="AE615" s="24" t="s">
        <v>1383</v>
      </c>
      <c r="AF615" s="8"/>
      <c r="AG615" t="str">
        <f>VLOOKUP(OfficeForms.Table[[#This Row],[Nama Proyek]],'Nama Proyek'!$D$2:$G$29,4,0)</f>
        <v>-8.29394978,112.00545006</v>
      </c>
      <c r="AH615" s="5"/>
      <c r="AI615" s="5"/>
      <c r="AJ615" s="5"/>
      <c r="AK615" s="5" t="s">
        <v>1384</v>
      </c>
    </row>
    <row r="616" spans="1:37" ht="15" hidden="1" customHeight="1">
      <c r="A616">
        <v>517</v>
      </c>
      <c r="B616" s="110">
        <v>44982</v>
      </c>
      <c r="C616" s="28">
        <f>B616</f>
        <v>44982</v>
      </c>
      <c r="D616" s="19" t="s">
        <v>37</v>
      </c>
      <c r="E616" s="19" t="s">
        <v>504</v>
      </c>
      <c r="F616" s="5" t="str">
        <f>E616</f>
        <v>Fathan Zul Waskito</v>
      </c>
      <c r="G616" s="42" t="s">
        <v>472</v>
      </c>
      <c r="H616" s="106"/>
      <c r="I616" s="96">
        <v>0</v>
      </c>
      <c r="J616" s="96">
        <v>0</v>
      </c>
      <c r="K616" s="96">
        <v>0</v>
      </c>
      <c r="L616" s="96">
        <v>0</v>
      </c>
      <c r="M616" s="96">
        <v>0</v>
      </c>
      <c r="N616" s="96">
        <v>0</v>
      </c>
      <c r="O616" s="96">
        <v>0</v>
      </c>
      <c r="P616" s="96">
        <v>0</v>
      </c>
      <c r="Q616" s="96">
        <v>0</v>
      </c>
      <c r="R616" s="96">
        <v>0</v>
      </c>
      <c r="S616" s="96">
        <v>0</v>
      </c>
      <c r="T616" s="96">
        <v>0</v>
      </c>
      <c r="U616" s="96">
        <v>0</v>
      </c>
      <c r="V616" s="96">
        <v>0</v>
      </c>
      <c r="W616" s="96">
        <v>0</v>
      </c>
      <c r="X616" s="96">
        <v>0</v>
      </c>
      <c r="Y616" s="96">
        <v>0</v>
      </c>
      <c r="Z616" s="96"/>
      <c r="AA616" s="19"/>
      <c r="AB616" s="19"/>
      <c r="AC616" s="19"/>
      <c r="AD616" s="19"/>
      <c r="AE616" s="13">
        <v>44928</v>
      </c>
      <c r="AF616" s="62" t="s">
        <v>1385</v>
      </c>
      <c r="AG616" t="str">
        <f>VLOOKUP(OfficeForms.Table[[#This Row],[Nama Proyek]],'Nama Proyek'!$D$2:$G$29,4,0)</f>
        <v>-8.29394978,112.00545006</v>
      </c>
      <c r="AH616" s="5"/>
      <c r="AI616" s="5"/>
      <c r="AJ616" s="5"/>
      <c r="AK616" s="5" t="s">
        <v>1386</v>
      </c>
    </row>
    <row r="617" spans="1:37" ht="15" hidden="1" customHeight="1">
      <c r="A617">
        <v>518</v>
      </c>
      <c r="B617" s="111">
        <v>44982</v>
      </c>
      <c r="C617" s="29">
        <f>B617</f>
        <v>44982</v>
      </c>
      <c r="D617" s="8" t="s">
        <v>37</v>
      </c>
      <c r="E617" s="8" t="s">
        <v>504</v>
      </c>
      <c r="F617" s="5" t="str">
        <f>E617</f>
        <v>Fathan Zul Waskito</v>
      </c>
      <c r="G617" s="17" t="s">
        <v>472</v>
      </c>
      <c r="H617" s="102"/>
      <c r="I617" s="95">
        <v>0</v>
      </c>
      <c r="J617" s="95">
        <v>0</v>
      </c>
      <c r="K617" s="95">
        <v>0</v>
      </c>
      <c r="L617" s="95">
        <v>0</v>
      </c>
      <c r="M617" s="95">
        <v>0</v>
      </c>
      <c r="N617" s="95">
        <v>0</v>
      </c>
      <c r="O617" s="95">
        <v>0</v>
      </c>
      <c r="P617" s="95">
        <v>0</v>
      </c>
      <c r="Q617" s="95">
        <v>0</v>
      </c>
      <c r="R617" s="95">
        <v>0</v>
      </c>
      <c r="S617" s="95">
        <v>0</v>
      </c>
      <c r="T617" s="95">
        <v>0</v>
      </c>
      <c r="U617" s="95">
        <v>0</v>
      </c>
      <c r="V617" s="95">
        <v>0</v>
      </c>
      <c r="W617" s="95">
        <v>0</v>
      </c>
      <c r="X617" s="95">
        <v>0</v>
      </c>
      <c r="Y617" s="95">
        <v>0</v>
      </c>
      <c r="Z617" s="95"/>
      <c r="AA617" s="8"/>
      <c r="AB617" s="8"/>
      <c r="AC617" s="8"/>
      <c r="AD617" s="8"/>
      <c r="AE617" s="16">
        <v>44928</v>
      </c>
      <c r="AF617" s="42"/>
      <c r="AG617" t="str">
        <f>VLOOKUP(OfficeForms.Table[[#This Row],[Nama Proyek]],'Nama Proyek'!$D$2:$G$29,4,0)</f>
        <v>-8.29394978,112.00545006</v>
      </c>
      <c r="AH617" s="5"/>
      <c r="AI617" s="5"/>
      <c r="AJ617" s="5"/>
      <c r="AK617" s="5" t="s">
        <v>1387</v>
      </c>
    </row>
    <row r="618" spans="1:37" ht="15" hidden="1" customHeight="1">
      <c r="A618" s="30">
        <v>647</v>
      </c>
      <c r="B618" s="110">
        <v>44982</v>
      </c>
      <c r="C618" s="28">
        <f>B618</f>
        <v>44982</v>
      </c>
      <c r="D618" s="8" t="s">
        <v>37</v>
      </c>
      <c r="E618" s="8" t="s">
        <v>166</v>
      </c>
      <c r="F618" s="5" t="str">
        <f>E618</f>
        <v>Ganis Satria Pratama</v>
      </c>
      <c r="G618" s="17" t="s">
        <v>167</v>
      </c>
      <c r="H618" s="105"/>
      <c r="I618" s="95">
        <v>0</v>
      </c>
      <c r="J618" s="95">
        <v>0</v>
      </c>
      <c r="K618" s="95">
        <v>0</v>
      </c>
      <c r="L618" s="95">
        <v>0</v>
      </c>
      <c r="M618" s="95">
        <v>0</v>
      </c>
      <c r="N618" s="95">
        <v>0</v>
      </c>
      <c r="O618" s="95">
        <v>0</v>
      </c>
      <c r="P618" s="95">
        <v>0</v>
      </c>
      <c r="Q618" s="95">
        <v>0</v>
      </c>
      <c r="R618" s="95">
        <v>0</v>
      </c>
      <c r="S618" s="95">
        <v>0</v>
      </c>
      <c r="T618" s="95">
        <v>0</v>
      </c>
      <c r="U618" s="95">
        <v>0</v>
      </c>
      <c r="V618" s="95">
        <v>0</v>
      </c>
      <c r="W618" s="95">
        <v>0</v>
      </c>
      <c r="X618" s="95">
        <v>0</v>
      </c>
      <c r="Y618" s="95">
        <v>0</v>
      </c>
      <c r="Z618" s="95"/>
      <c r="AA618" s="8"/>
      <c r="AB618" s="8"/>
      <c r="AC618" s="8"/>
      <c r="AD618" s="8"/>
      <c r="AE618" s="16" t="s">
        <v>1383</v>
      </c>
      <c r="AF618" s="9" t="s">
        <v>1388</v>
      </c>
      <c r="AG618" t="str">
        <f>VLOOKUP(OfficeForms.Table[[#This Row],[Nama Proyek]],'Nama Proyek'!$D$2:$G$29,4,0)</f>
        <v>2.426249030,128.29766314</v>
      </c>
      <c r="AH618" s="5"/>
      <c r="AI618" s="5"/>
      <c r="AJ618" s="5"/>
      <c r="AK618" s="5" t="s">
        <v>1389</v>
      </c>
    </row>
    <row r="619" spans="1:37" ht="15" hidden="1" customHeight="1">
      <c r="A619" s="31">
        <v>648</v>
      </c>
      <c r="B619" s="111">
        <v>44982</v>
      </c>
      <c r="C619" s="29">
        <f>B619</f>
        <v>44982</v>
      </c>
      <c r="D619" s="9" t="s">
        <v>37</v>
      </c>
      <c r="E619" s="9" t="s">
        <v>79</v>
      </c>
      <c r="F619" s="5" t="str">
        <f>E619</f>
        <v>Fajar Sodiq Febriansyah</v>
      </c>
      <c r="G619" s="36" t="s">
        <v>80</v>
      </c>
      <c r="H619" s="104"/>
      <c r="I619" s="94">
        <v>0</v>
      </c>
      <c r="J619" s="94">
        <v>0</v>
      </c>
      <c r="K619" s="94">
        <v>0</v>
      </c>
      <c r="L619" s="94">
        <v>0</v>
      </c>
      <c r="M619" s="94">
        <v>0</v>
      </c>
      <c r="N619" s="94">
        <v>0</v>
      </c>
      <c r="O619" s="94">
        <v>0</v>
      </c>
      <c r="P619" s="94">
        <v>0</v>
      </c>
      <c r="Q619" s="94">
        <v>0</v>
      </c>
      <c r="R619" s="94">
        <v>0</v>
      </c>
      <c r="S619" s="94">
        <v>0</v>
      </c>
      <c r="T619" s="94">
        <v>0</v>
      </c>
      <c r="U619" s="94">
        <v>0</v>
      </c>
      <c r="V619" s="94">
        <v>0</v>
      </c>
      <c r="W619" s="94">
        <v>0</v>
      </c>
      <c r="X619" s="94">
        <v>0</v>
      </c>
      <c r="Y619" s="94">
        <v>0</v>
      </c>
      <c r="Z619" s="94"/>
      <c r="AA619" s="9"/>
      <c r="AB619" s="9"/>
      <c r="AC619" s="9"/>
      <c r="AD619" s="9"/>
      <c r="AE619" s="12" t="s">
        <v>1390</v>
      </c>
      <c r="AF619" s="41" t="s">
        <v>1391</v>
      </c>
      <c r="AG619" t="str">
        <f>VLOOKUP(OfficeForms.Table[[#This Row],[Nama Proyek]],'Nama Proyek'!$D$2:$G$29,4,0)</f>
        <v>-7.82225167,113.29968319</v>
      </c>
      <c r="AH619" s="5"/>
      <c r="AI619" s="5"/>
      <c r="AJ619" s="5"/>
      <c r="AK619" s="5" t="s">
        <v>1392</v>
      </c>
    </row>
    <row r="620" spans="1:37" ht="15" hidden="1" customHeight="1">
      <c r="A620" s="30">
        <v>649</v>
      </c>
      <c r="B620" s="110">
        <v>44982</v>
      </c>
      <c r="C620" s="28">
        <f>B620</f>
        <v>44982</v>
      </c>
      <c r="D620" s="8" t="s">
        <v>37</v>
      </c>
      <c r="E620" s="8" t="s">
        <v>79</v>
      </c>
      <c r="F620" s="5" t="str">
        <f>E620</f>
        <v>Fajar Sodiq Febriansyah</v>
      </c>
      <c r="G620" s="35" t="s">
        <v>80</v>
      </c>
      <c r="H620" s="102"/>
      <c r="I620" s="95">
        <v>0</v>
      </c>
      <c r="J620" s="95">
        <v>0</v>
      </c>
      <c r="K620" s="95">
        <v>0</v>
      </c>
      <c r="L620" s="95">
        <v>0</v>
      </c>
      <c r="M620" s="95">
        <v>0</v>
      </c>
      <c r="N620" s="95">
        <v>0</v>
      </c>
      <c r="O620" s="95">
        <v>0</v>
      </c>
      <c r="P620" s="95">
        <v>0</v>
      </c>
      <c r="Q620" s="95">
        <v>0</v>
      </c>
      <c r="R620" s="95">
        <v>0</v>
      </c>
      <c r="S620" s="95">
        <v>0</v>
      </c>
      <c r="T620" s="95">
        <v>0</v>
      </c>
      <c r="U620" s="95">
        <v>0</v>
      </c>
      <c r="V620" s="95">
        <v>0</v>
      </c>
      <c r="W620" s="95">
        <v>0</v>
      </c>
      <c r="X620" s="95">
        <v>0</v>
      </c>
      <c r="Y620" s="95">
        <v>0</v>
      </c>
      <c r="Z620" s="95"/>
      <c r="AA620" s="8"/>
      <c r="AB620" s="8"/>
      <c r="AC620" s="8"/>
      <c r="AD620" s="8"/>
      <c r="AE620" s="11" t="s">
        <v>1393</v>
      </c>
      <c r="AF620" s="17" t="s">
        <v>1394</v>
      </c>
      <c r="AG620" t="str">
        <f>VLOOKUP(OfficeForms.Table[[#This Row],[Nama Proyek]],'Nama Proyek'!$D$2:$G$29,4,0)</f>
        <v>-7.82225167,113.29968319</v>
      </c>
      <c r="AH620" s="5"/>
      <c r="AI620" s="5"/>
      <c r="AJ620" s="5"/>
      <c r="AK620" s="5" t="s">
        <v>1395</v>
      </c>
    </row>
    <row r="621" spans="1:37" ht="15" hidden="1" customHeight="1">
      <c r="A621">
        <v>650</v>
      </c>
      <c r="B621" s="111">
        <v>44982</v>
      </c>
      <c r="C621" s="29">
        <f>B621</f>
        <v>44982</v>
      </c>
      <c r="D621" s="9" t="s">
        <v>37</v>
      </c>
      <c r="E621" s="9" t="s">
        <v>79</v>
      </c>
      <c r="F621" s="5" t="str">
        <f>E621</f>
        <v>Fajar Sodiq Febriansyah</v>
      </c>
      <c r="G621" s="36" t="s">
        <v>80</v>
      </c>
      <c r="H621" s="103"/>
      <c r="I621" s="94">
        <v>0</v>
      </c>
      <c r="J621" s="94">
        <v>0</v>
      </c>
      <c r="K621" s="94">
        <v>0</v>
      </c>
      <c r="L621" s="94">
        <v>0</v>
      </c>
      <c r="M621" s="94">
        <v>0</v>
      </c>
      <c r="N621" s="94">
        <v>0</v>
      </c>
      <c r="O621" s="94">
        <v>0</v>
      </c>
      <c r="P621" s="94">
        <v>0</v>
      </c>
      <c r="Q621" s="94">
        <v>0</v>
      </c>
      <c r="R621" s="94">
        <v>0</v>
      </c>
      <c r="S621" s="94">
        <v>0</v>
      </c>
      <c r="T621" s="94">
        <v>0</v>
      </c>
      <c r="U621" s="94">
        <v>0</v>
      </c>
      <c r="V621" s="94">
        <v>0</v>
      </c>
      <c r="W621" s="94">
        <v>0</v>
      </c>
      <c r="X621" s="94">
        <v>0</v>
      </c>
      <c r="Y621" s="94">
        <v>0</v>
      </c>
      <c r="Z621" s="94"/>
      <c r="AA621" s="9"/>
      <c r="AB621" s="9"/>
      <c r="AC621" s="9"/>
      <c r="AD621" s="9"/>
      <c r="AE621" s="18" t="s">
        <v>1393</v>
      </c>
      <c r="AF621" s="41" t="s">
        <v>1396</v>
      </c>
      <c r="AG621" t="str">
        <f>VLOOKUP(OfficeForms.Table[[#This Row],[Nama Proyek]],'Nama Proyek'!$D$2:$G$29,4,0)</f>
        <v>-7.82225167,113.29968319</v>
      </c>
      <c r="AH621" s="5"/>
      <c r="AI621" s="5"/>
      <c r="AJ621" s="5"/>
      <c r="AK621" s="5" t="s">
        <v>1397</v>
      </c>
    </row>
    <row r="622" spans="1:37" ht="15" hidden="1" customHeight="1">
      <c r="A622">
        <v>651</v>
      </c>
      <c r="B622" s="110">
        <v>44982</v>
      </c>
      <c r="C622" s="28">
        <f>B622</f>
        <v>44982</v>
      </c>
      <c r="D622" s="8" t="s">
        <v>37</v>
      </c>
      <c r="E622" s="8" t="s">
        <v>79</v>
      </c>
      <c r="F622" s="5" t="str">
        <f>E622</f>
        <v>Fajar Sodiq Febriansyah</v>
      </c>
      <c r="G622" s="35" t="s">
        <v>80</v>
      </c>
      <c r="H622" s="105"/>
      <c r="I622" s="95">
        <v>0</v>
      </c>
      <c r="J622" s="95">
        <v>0</v>
      </c>
      <c r="K622" s="95">
        <v>0</v>
      </c>
      <c r="L622" s="95">
        <v>0</v>
      </c>
      <c r="M622" s="95">
        <v>0</v>
      </c>
      <c r="N622" s="95">
        <v>0</v>
      </c>
      <c r="O622" s="95">
        <v>0</v>
      </c>
      <c r="P622" s="95">
        <v>0</v>
      </c>
      <c r="Q622" s="95">
        <v>0</v>
      </c>
      <c r="R622" s="95">
        <v>0</v>
      </c>
      <c r="S622" s="95">
        <v>0</v>
      </c>
      <c r="T622" s="95">
        <v>0</v>
      </c>
      <c r="U622" s="95">
        <v>0</v>
      </c>
      <c r="V622" s="95">
        <v>0</v>
      </c>
      <c r="W622" s="95">
        <v>0</v>
      </c>
      <c r="X622" s="95">
        <v>0</v>
      </c>
      <c r="Y622" s="95">
        <v>0</v>
      </c>
      <c r="Z622" s="95"/>
      <c r="AA622" s="8"/>
      <c r="AB622" s="8"/>
      <c r="AC622" s="8"/>
      <c r="AD622" s="8"/>
      <c r="AE622" s="11" t="s">
        <v>1393</v>
      </c>
      <c r="AF622" s="40" t="s">
        <v>1398</v>
      </c>
      <c r="AG622" t="str">
        <f>VLOOKUP(OfficeForms.Table[[#This Row],[Nama Proyek]],'Nama Proyek'!$D$2:$G$29,4,0)</f>
        <v>-7.82225167,113.29968319</v>
      </c>
      <c r="AH622" s="5"/>
      <c r="AI622" s="5"/>
      <c r="AJ622" s="5"/>
      <c r="AK622" s="5" t="s">
        <v>1399</v>
      </c>
    </row>
    <row r="623" spans="1:37" ht="15" hidden="1" customHeight="1">
      <c r="A623" s="30">
        <v>652</v>
      </c>
      <c r="B623" s="111">
        <v>44982</v>
      </c>
      <c r="C623" s="29">
        <f>B623</f>
        <v>44982</v>
      </c>
      <c r="D623" s="9" t="s">
        <v>37</v>
      </c>
      <c r="E623" s="9" t="s">
        <v>79</v>
      </c>
      <c r="F623" s="5" t="str">
        <f>E623</f>
        <v>Fajar Sodiq Febriansyah</v>
      </c>
      <c r="G623" s="36" t="s">
        <v>80</v>
      </c>
      <c r="H623" s="103"/>
      <c r="I623" s="94">
        <v>0</v>
      </c>
      <c r="J623" s="94">
        <v>0</v>
      </c>
      <c r="K623" s="94">
        <v>0</v>
      </c>
      <c r="L623" s="94">
        <v>0</v>
      </c>
      <c r="M623" s="94">
        <v>0</v>
      </c>
      <c r="N623" s="94">
        <v>0</v>
      </c>
      <c r="O623" s="94">
        <v>0</v>
      </c>
      <c r="P623" s="94">
        <v>0</v>
      </c>
      <c r="Q623" s="94">
        <v>0</v>
      </c>
      <c r="R623" s="94">
        <v>0</v>
      </c>
      <c r="S623" s="94">
        <v>0</v>
      </c>
      <c r="T623" s="94">
        <v>0</v>
      </c>
      <c r="U623" s="94">
        <v>0</v>
      </c>
      <c r="V623" s="94">
        <v>0</v>
      </c>
      <c r="W623" s="94">
        <v>0</v>
      </c>
      <c r="X623" s="94">
        <v>0</v>
      </c>
      <c r="Y623" s="94">
        <v>0</v>
      </c>
      <c r="Z623" s="94"/>
      <c r="AA623" s="9"/>
      <c r="AB623" s="9"/>
      <c r="AC623" s="9"/>
      <c r="AD623" s="9"/>
      <c r="AE623" s="12" t="s">
        <v>1393</v>
      </c>
      <c r="AF623" s="8" t="s">
        <v>1400</v>
      </c>
      <c r="AG623" t="str">
        <f>VLOOKUP(OfficeForms.Table[[#This Row],[Nama Proyek]],'Nama Proyek'!$D$2:$G$29,4,0)</f>
        <v>-7.82225167,113.29968319</v>
      </c>
      <c r="AH623" s="5"/>
      <c r="AI623" s="5"/>
      <c r="AJ623" s="5"/>
      <c r="AK623" s="5" t="s">
        <v>1401</v>
      </c>
    </row>
    <row r="624" spans="1:37" ht="15" hidden="1" customHeight="1">
      <c r="A624">
        <v>653</v>
      </c>
      <c r="B624" s="110">
        <v>44982</v>
      </c>
      <c r="C624" s="28">
        <f>B624</f>
        <v>44982</v>
      </c>
      <c r="D624" s="8" t="s">
        <v>37</v>
      </c>
      <c r="E624" s="8" t="s">
        <v>79</v>
      </c>
      <c r="F624" s="5" t="str">
        <f>E624</f>
        <v>Fajar Sodiq Febriansyah</v>
      </c>
      <c r="G624" s="35" t="s">
        <v>80</v>
      </c>
      <c r="H624" s="102"/>
      <c r="I624" s="95">
        <v>0</v>
      </c>
      <c r="J624" s="95">
        <v>0</v>
      </c>
      <c r="K624" s="95">
        <v>0</v>
      </c>
      <c r="L624" s="95">
        <v>0</v>
      </c>
      <c r="M624" s="95">
        <v>0</v>
      </c>
      <c r="N624" s="95">
        <v>0</v>
      </c>
      <c r="O624" s="95">
        <v>0</v>
      </c>
      <c r="P624" s="95">
        <v>0</v>
      </c>
      <c r="Q624" s="95">
        <v>0</v>
      </c>
      <c r="R624" s="95">
        <v>0</v>
      </c>
      <c r="S624" s="95">
        <v>0</v>
      </c>
      <c r="T624" s="95">
        <v>0</v>
      </c>
      <c r="U624" s="95">
        <v>0</v>
      </c>
      <c r="V624" s="95">
        <v>0</v>
      </c>
      <c r="W624" s="95">
        <v>0</v>
      </c>
      <c r="X624" s="95">
        <v>0</v>
      </c>
      <c r="Y624" s="95">
        <v>0</v>
      </c>
      <c r="Z624" s="95"/>
      <c r="AA624" s="8"/>
      <c r="AB624" s="8"/>
      <c r="AC624" s="8"/>
      <c r="AD624" s="8"/>
      <c r="AE624" s="11" t="s">
        <v>1393</v>
      </c>
      <c r="AF624" s="17"/>
      <c r="AG624" t="str">
        <f>VLOOKUP(OfficeForms.Table[[#This Row],[Nama Proyek]],'Nama Proyek'!$D$2:$G$29,4,0)</f>
        <v>-7.82225167,113.29968319</v>
      </c>
      <c r="AH624" s="5"/>
      <c r="AI624" s="5"/>
      <c r="AJ624" s="5"/>
      <c r="AK624" s="5" t="s">
        <v>1402</v>
      </c>
    </row>
    <row r="625" spans="1:37" ht="15" hidden="1" customHeight="1">
      <c r="A625">
        <v>655</v>
      </c>
      <c r="B625" s="110">
        <v>44982</v>
      </c>
      <c r="C625" s="28">
        <f>B625</f>
        <v>44982</v>
      </c>
      <c r="D625" s="8" t="s">
        <v>37</v>
      </c>
      <c r="E625" s="8" t="s">
        <v>79</v>
      </c>
      <c r="F625" s="5" t="str">
        <f>E625</f>
        <v>Fajar Sodiq Febriansyah</v>
      </c>
      <c r="G625" s="38" t="s">
        <v>80</v>
      </c>
      <c r="H625" s="105"/>
      <c r="I625" s="95">
        <v>0</v>
      </c>
      <c r="J625" s="95">
        <v>0</v>
      </c>
      <c r="K625" s="95">
        <v>0</v>
      </c>
      <c r="L625" s="95">
        <v>0</v>
      </c>
      <c r="M625" s="95">
        <v>0</v>
      </c>
      <c r="N625" s="95">
        <v>0</v>
      </c>
      <c r="O625" s="95">
        <v>0</v>
      </c>
      <c r="P625" s="95">
        <v>0</v>
      </c>
      <c r="Q625" s="95">
        <v>0</v>
      </c>
      <c r="R625" s="95">
        <v>0</v>
      </c>
      <c r="S625" s="95">
        <v>0</v>
      </c>
      <c r="T625" s="95">
        <v>0</v>
      </c>
      <c r="U625" s="95">
        <v>0</v>
      </c>
      <c r="V625" s="95">
        <v>0</v>
      </c>
      <c r="W625" s="95">
        <v>0</v>
      </c>
      <c r="X625" s="95">
        <v>0</v>
      </c>
      <c r="Y625" s="95">
        <v>0</v>
      </c>
      <c r="Z625" s="95"/>
      <c r="AA625" s="8" t="s">
        <v>421</v>
      </c>
      <c r="AB625" s="8" t="s">
        <v>261</v>
      </c>
      <c r="AC625" s="8" t="s">
        <v>1403</v>
      </c>
      <c r="AD625" s="15" t="s">
        <v>1403</v>
      </c>
      <c r="AE625" s="16"/>
      <c r="AF625" s="17"/>
      <c r="AG625" t="str">
        <f>VLOOKUP(OfficeForms.Table[[#This Row],[Nama Proyek]],'Nama Proyek'!$D$2:$G$29,4,0)</f>
        <v>-7.82225167,113.29968319</v>
      </c>
      <c r="AH625" s="5"/>
      <c r="AI625" s="5"/>
      <c r="AJ625" s="5"/>
      <c r="AK625" s="5" t="s">
        <v>1404</v>
      </c>
    </row>
    <row r="626" spans="1:37" ht="15" hidden="1" customHeight="1">
      <c r="A626" s="30">
        <v>210</v>
      </c>
      <c r="B626" s="111">
        <v>44984</v>
      </c>
      <c r="C626" s="29">
        <f>B626</f>
        <v>44984</v>
      </c>
      <c r="D626" s="9" t="s">
        <v>37</v>
      </c>
      <c r="E626" s="9" t="s">
        <v>54</v>
      </c>
      <c r="F626" s="5" t="str">
        <f>E626</f>
        <v>Haryo Widiandoko</v>
      </c>
      <c r="G626" s="17" t="s">
        <v>55</v>
      </c>
      <c r="H626" s="103">
        <v>44982</v>
      </c>
      <c r="I626" s="94">
        <v>78.08</v>
      </c>
      <c r="J626" s="94">
        <v>81.971000000000004</v>
      </c>
      <c r="K626" s="94">
        <v>0.13700000000000001</v>
      </c>
      <c r="L626" s="94">
        <v>0.249</v>
      </c>
      <c r="M626" s="94">
        <v>26.263999999999999</v>
      </c>
      <c r="N626" s="94">
        <v>2.1360000000000001</v>
      </c>
      <c r="O626" s="94">
        <v>2.5739999999999998</v>
      </c>
      <c r="P626" s="94">
        <v>5.1999999999999998E-2</v>
      </c>
      <c r="Q626" s="94">
        <v>0.66900000000000004</v>
      </c>
      <c r="R626" s="94">
        <v>10.151</v>
      </c>
      <c r="S626" s="94">
        <v>31.367999999999999</v>
      </c>
      <c r="T626" s="94">
        <v>0.81599999999999995</v>
      </c>
      <c r="U626" s="94">
        <v>1.8819999999999999</v>
      </c>
      <c r="V626" s="94">
        <v>0.193</v>
      </c>
      <c r="W626" s="94">
        <v>0.31</v>
      </c>
      <c r="X626" s="94">
        <v>0.83799999999999997</v>
      </c>
      <c r="Y626" s="94">
        <v>0</v>
      </c>
      <c r="Z626" s="94"/>
      <c r="AA626" s="9"/>
      <c r="AB626" s="9"/>
      <c r="AC626" s="9"/>
      <c r="AD626" s="17"/>
      <c r="AE626" s="18"/>
      <c r="AF626" s="8"/>
      <c r="AG626" t="str">
        <f>VLOOKUP(OfficeForms.Table[[#This Row],[Nama Proyek]],'Nama Proyek'!$D$2:$G$29,4,0)</f>
        <v>-6.42873464,107.19897003</v>
      </c>
      <c r="AH626" s="5"/>
      <c r="AI626" s="5"/>
      <c r="AJ626" s="5"/>
      <c r="AK626" s="5" t="s">
        <v>1405</v>
      </c>
    </row>
    <row r="627" spans="1:37" ht="15" hidden="1" customHeight="1">
      <c r="A627" s="31">
        <v>674</v>
      </c>
      <c r="B627" s="111">
        <v>44984</v>
      </c>
      <c r="C627" s="29">
        <f>B627</f>
        <v>44984</v>
      </c>
      <c r="D627" s="9" t="s">
        <v>37</v>
      </c>
      <c r="E627" s="9" t="s">
        <v>716</v>
      </c>
      <c r="F627" s="5" t="str">
        <f>E627</f>
        <v>Tri Suseno</v>
      </c>
      <c r="G627" s="8" t="s">
        <v>717</v>
      </c>
      <c r="H627" s="104">
        <v>44982</v>
      </c>
      <c r="I627" s="94">
        <v>99.334000000000003</v>
      </c>
      <c r="J627" s="94">
        <v>100</v>
      </c>
      <c r="K627" s="94">
        <v>0</v>
      </c>
      <c r="L627" s="94">
        <v>0</v>
      </c>
      <c r="M627" s="94">
        <v>0</v>
      </c>
      <c r="N627" s="94">
        <v>0</v>
      </c>
      <c r="O627" s="94">
        <v>0</v>
      </c>
      <c r="P627" s="94">
        <v>0</v>
      </c>
      <c r="Q627" s="94">
        <v>0</v>
      </c>
      <c r="R627" s="94">
        <v>0</v>
      </c>
      <c r="S627" s="94">
        <v>0</v>
      </c>
      <c r="T627" s="94">
        <v>0</v>
      </c>
      <c r="U627" s="94">
        <v>0</v>
      </c>
      <c r="V627" s="94">
        <v>0</v>
      </c>
      <c r="W627" s="94">
        <v>0</v>
      </c>
      <c r="X627" s="94">
        <v>0</v>
      </c>
      <c r="Y627" s="94">
        <v>0</v>
      </c>
      <c r="Z627" s="94"/>
      <c r="AA627" s="9"/>
      <c r="AB627" s="9"/>
      <c r="AC627" s="9"/>
      <c r="AD627" s="9"/>
      <c r="AE627" s="12"/>
      <c r="AF627" s="26" t="s">
        <v>1406</v>
      </c>
      <c r="AG627" t="str">
        <f>VLOOKUP(OfficeForms.Table[[#This Row],[Nama Proyek]],'Nama Proyek'!$D$2:$G$29,4,0)</f>
        <v>3.76271056,115.88262689</v>
      </c>
      <c r="AH627" s="5"/>
      <c r="AI627" s="5"/>
      <c r="AJ627" s="5"/>
      <c r="AK627" s="5" t="s">
        <v>1407</v>
      </c>
    </row>
    <row r="628" spans="1:37" ht="15" hidden="1" customHeight="1">
      <c r="A628" s="31">
        <v>660</v>
      </c>
      <c r="B628" s="111">
        <v>44984</v>
      </c>
      <c r="C628" s="29">
        <f>B628</f>
        <v>44984</v>
      </c>
      <c r="D628" s="9" t="s">
        <v>37</v>
      </c>
      <c r="E628" s="9" t="s">
        <v>734</v>
      </c>
      <c r="F628" s="5" t="str">
        <f>E628</f>
        <v>Aldian Winata</v>
      </c>
      <c r="G628" s="9" t="s">
        <v>735</v>
      </c>
      <c r="H628" s="104">
        <v>44983</v>
      </c>
      <c r="I628" s="94">
        <v>27.28</v>
      </c>
      <c r="J628" s="94">
        <v>38.673000000000002</v>
      </c>
      <c r="K628" s="94">
        <v>2.2189999999999999</v>
      </c>
      <c r="L628" s="94">
        <v>19.254000000000001</v>
      </c>
      <c r="M628" s="94">
        <v>0</v>
      </c>
      <c r="N628" s="94">
        <v>1.0999999999999999E-2</v>
      </c>
      <c r="O628" s="94">
        <v>0.65800000000000003</v>
      </c>
      <c r="P628" s="94">
        <v>0</v>
      </c>
      <c r="Q628" s="94">
        <v>0</v>
      </c>
      <c r="R628" s="94">
        <v>0</v>
      </c>
      <c r="S628" s="94">
        <v>0</v>
      </c>
      <c r="T628" s="94">
        <v>0</v>
      </c>
      <c r="U628" s="94">
        <v>0</v>
      </c>
      <c r="V628" s="94">
        <v>0</v>
      </c>
      <c r="W628" s="94">
        <v>0</v>
      </c>
      <c r="X628" s="94">
        <v>0</v>
      </c>
      <c r="Y628" s="94">
        <v>0</v>
      </c>
      <c r="Z628" s="94"/>
      <c r="AA628" s="9"/>
      <c r="AB628" s="9"/>
      <c r="AC628" s="9"/>
      <c r="AD628" s="9"/>
      <c r="AE628" s="18"/>
      <c r="AF628" s="8"/>
      <c r="AG628" t="str">
        <f>VLOOKUP(OfficeForms.Table[[#This Row],[Nama Proyek]],'Nama Proyek'!$D$2:$G$40,4,0)</f>
        <v>-0.88562397,119.85928375</v>
      </c>
      <c r="AH628" s="5"/>
      <c r="AI628" s="5"/>
      <c r="AJ628" s="5"/>
      <c r="AK628" s="5" t="s">
        <v>1408</v>
      </c>
    </row>
    <row r="629" spans="1:37" ht="15" hidden="1" customHeight="1">
      <c r="A629">
        <v>665</v>
      </c>
      <c r="B629" s="110">
        <v>44984</v>
      </c>
      <c r="C629" s="28">
        <f>B629</f>
        <v>44984</v>
      </c>
      <c r="D629" s="8" t="s">
        <v>37</v>
      </c>
      <c r="E629" s="8" t="s">
        <v>57</v>
      </c>
      <c r="F629" s="5" t="str">
        <f>E629</f>
        <v>Alfian Budi Prasetya</v>
      </c>
      <c r="G629" s="8" t="s">
        <v>58</v>
      </c>
      <c r="H629" s="105">
        <v>44983</v>
      </c>
      <c r="I629" s="95">
        <v>25.963999999999999</v>
      </c>
      <c r="J629" s="95">
        <v>71.113</v>
      </c>
      <c r="K629" s="95">
        <v>0</v>
      </c>
      <c r="L629" s="95">
        <v>0.35699999999999998</v>
      </c>
      <c r="M629" s="95">
        <v>0.26200000000000001</v>
      </c>
      <c r="N629" s="95">
        <v>13.209</v>
      </c>
      <c r="O629" s="95">
        <v>6.8129999999999997</v>
      </c>
      <c r="P629" s="95">
        <v>0.20499999999999999</v>
      </c>
      <c r="Q629" s="95">
        <v>1.1850000000000001</v>
      </c>
      <c r="R629" s="95">
        <v>0.32400000000000001</v>
      </c>
      <c r="S629" s="95">
        <v>0</v>
      </c>
      <c r="T629" s="95">
        <v>0.24</v>
      </c>
      <c r="U629" s="95">
        <v>0</v>
      </c>
      <c r="V629" s="95">
        <v>0</v>
      </c>
      <c r="W629" s="95">
        <v>0</v>
      </c>
      <c r="X629" s="95">
        <v>0</v>
      </c>
      <c r="Y629" s="95">
        <v>0</v>
      </c>
      <c r="Z629" s="95"/>
      <c r="AA629" s="8"/>
      <c r="AB629" s="8"/>
      <c r="AC629" s="8"/>
      <c r="AD629" s="8"/>
      <c r="AE629" s="11"/>
      <c r="AF629" s="9" t="s">
        <v>1409</v>
      </c>
      <c r="AG629" t="str">
        <f>VLOOKUP(OfficeForms.Table[[#This Row],[Nama Proyek]],'Nama Proyek'!$D$2:$G$29,4,0)</f>
        <v>-6.12967558,107.07321308</v>
      </c>
      <c r="AH629" s="5"/>
      <c r="AI629" s="5"/>
      <c r="AJ629" s="5"/>
      <c r="AK629" s="5" t="s">
        <v>1410</v>
      </c>
    </row>
    <row r="630" spans="1:37" ht="15" hidden="1" customHeight="1">
      <c r="A630" s="50">
        <v>864</v>
      </c>
      <c r="B630" s="111">
        <v>44984</v>
      </c>
      <c r="C630" s="29">
        <f>B630</f>
        <v>44984</v>
      </c>
      <c r="D630" s="9" t="s">
        <v>37</v>
      </c>
      <c r="E630" s="9" t="s">
        <v>64</v>
      </c>
      <c r="F630" s="5" t="str">
        <f>E630</f>
        <v>Nizar Zulkarnain</v>
      </c>
      <c r="G630" s="9" t="s">
        <v>65</v>
      </c>
      <c r="H630" s="104">
        <v>44983</v>
      </c>
      <c r="I630" s="94">
        <v>75.257999999999996</v>
      </c>
      <c r="J630" s="94">
        <v>78.994</v>
      </c>
      <c r="K630" s="94">
        <v>65.87</v>
      </c>
      <c r="L630" s="94">
        <v>58.24</v>
      </c>
      <c r="M630" s="94">
        <v>82.63</v>
      </c>
      <c r="N630" s="94">
        <v>83.14</v>
      </c>
      <c r="O630" s="94">
        <v>52.07</v>
      </c>
      <c r="P630" s="94">
        <v>65.290000000000006</v>
      </c>
      <c r="Q630" s="94">
        <v>57.96</v>
      </c>
      <c r="R630" s="94">
        <v>56.21</v>
      </c>
      <c r="S630" s="94">
        <v>84.95</v>
      </c>
      <c r="T630" s="94">
        <v>89.92</v>
      </c>
      <c r="U630" s="94">
        <v>36.700000000000003</v>
      </c>
      <c r="V630" s="94">
        <v>23.56</v>
      </c>
      <c r="W630" s="94">
        <v>0</v>
      </c>
      <c r="X630" s="94">
        <v>98.36</v>
      </c>
      <c r="Y630" s="94">
        <v>41.02</v>
      </c>
      <c r="Z630" s="94"/>
      <c r="AA630" s="9"/>
      <c r="AB630" s="9"/>
      <c r="AC630" s="9"/>
      <c r="AD630" s="9"/>
      <c r="AE630" s="12"/>
      <c r="AF630" s="42"/>
      <c r="AG630" t="str">
        <f>VLOOKUP(OfficeForms.Table[[#This Row],[Nama Proyek]],'Nama Proyek'!$D$2:$G$29,4,0)</f>
        <v>-6.35008011,107.02324233</v>
      </c>
      <c r="AH630" s="5"/>
      <c r="AI630" s="5"/>
      <c r="AJ630" s="5"/>
      <c r="AK630" s="5" t="s">
        <v>1411</v>
      </c>
    </row>
    <row r="631" spans="1:37" ht="15" hidden="1" customHeight="1">
      <c r="A631" s="31">
        <v>497</v>
      </c>
      <c r="B631" s="110">
        <v>44984</v>
      </c>
      <c r="C631" s="28">
        <f>B631</f>
        <v>44984</v>
      </c>
      <c r="D631" s="8" t="s">
        <v>37</v>
      </c>
      <c r="E631" s="8" t="s">
        <v>136</v>
      </c>
      <c r="F631" s="5" t="str">
        <f>E631</f>
        <v>Utomo Aryowibowo</v>
      </c>
      <c r="G631" s="8" t="s">
        <v>52</v>
      </c>
      <c r="H631" s="105"/>
      <c r="I631" s="95">
        <v>0</v>
      </c>
      <c r="J631" s="95">
        <v>0</v>
      </c>
      <c r="K631" s="95">
        <v>0</v>
      </c>
      <c r="L631" s="95">
        <v>0</v>
      </c>
      <c r="M631" s="95">
        <v>0</v>
      </c>
      <c r="N631" s="95">
        <v>0</v>
      </c>
      <c r="O631" s="95">
        <v>0</v>
      </c>
      <c r="P631" s="95">
        <v>0</v>
      </c>
      <c r="Q631" s="95">
        <v>0</v>
      </c>
      <c r="R631" s="95">
        <v>0</v>
      </c>
      <c r="S631" s="95">
        <v>0</v>
      </c>
      <c r="T631" s="95">
        <v>0</v>
      </c>
      <c r="U631" s="95">
        <v>0</v>
      </c>
      <c r="V631" s="95">
        <v>0</v>
      </c>
      <c r="W631" s="95">
        <v>0</v>
      </c>
      <c r="X631" s="95">
        <v>0</v>
      </c>
      <c r="Y631" s="95">
        <v>0</v>
      </c>
      <c r="Z631" s="95"/>
      <c r="AA631" s="8"/>
      <c r="AB631" s="8"/>
      <c r="AC631" s="8"/>
      <c r="AD631" s="15"/>
      <c r="AE631" s="16" t="s">
        <v>1393</v>
      </c>
      <c r="AF631" s="8"/>
      <c r="AG631" t="str">
        <f>VLOOKUP(OfficeForms.Table[[#This Row],[Nama Proyek]],'Nama Proyek'!$D$2:$G$29,4,0)</f>
        <v>-6.13491053,106.93675986</v>
      </c>
      <c r="AH631" s="5"/>
      <c r="AI631" s="5"/>
      <c r="AJ631" s="5"/>
      <c r="AK631" s="5" t="s">
        <v>1412</v>
      </c>
    </row>
    <row r="632" spans="1:37" ht="15" hidden="1" customHeight="1">
      <c r="A632" s="31">
        <v>661</v>
      </c>
      <c r="B632" s="110">
        <v>44984</v>
      </c>
      <c r="C632" s="28">
        <f>B632</f>
        <v>44984</v>
      </c>
      <c r="D632" s="8" t="s">
        <v>37</v>
      </c>
      <c r="E632" s="8" t="s">
        <v>734</v>
      </c>
      <c r="F632" s="5" t="s">
        <v>734</v>
      </c>
      <c r="G632" s="15" t="s">
        <v>735</v>
      </c>
      <c r="H632" s="105"/>
      <c r="I632" s="95">
        <v>0</v>
      </c>
      <c r="J632" s="95">
        <v>0</v>
      </c>
      <c r="K632" s="95">
        <v>0</v>
      </c>
      <c r="L632" s="95">
        <v>0</v>
      </c>
      <c r="M632" s="95">
        <v>0</v>
      </c>
      <c r="N632" s="95">
        <v>0</v>
      </c>
      <c r="O632" s="95">
        <v>0</v>
      </c>
      <c r="P632" s="95">
        <v>0</v>
      </c>
      <c r="Q632" s="95">
        <v>0</v>
      </c>
      <c r="R632" s="95">
        <v>0</v>
      </c>
      <c r="S632" s="95">
        <v>0</v>
      </c>
      <c r="T632" s="95">
        <v>0</v>
      </c>
      <c r="U632" s="95">
        <v>0</v>
      </c>
      <c r="V632" s="95">
        <v>0</v>
      </c>
      <c r="W632" s="95">
        <v>0</v>
      </c>
      <c r="X632" s="95">
        <v>0</v>
      </c>
      <c r="Y632" s="95">
        <v>0</v>
      </c>
      <c r="Z632" s="95"/>
      <c r="AA632" s="8" t="s">
        <v>1413</v>
      </c>
      <c r="AB632" s="8" t="s">
        <v>1414</v>
      </c>
      <c r="AC632" s="63" t="s">
        <v>1415</v>
      </c>
      <c r="AD632" s="8" t="s">
        <v>1416</v>
      </c>
      <c r="AE632" s="11"/>
      <c r="AF632" s="9" t="s">
        <v>1417</v>
      </c>
      <c r="AG632" t="str">
        <f>VLOOKUP(OfficeForms.Table[[#This Row],[Nama Proyek]],'Nama Proyek'!$D$2:$G$40,4,0)</f>
        <v>-0.88562397,119.85928375</v>
      </c>
      <c r="AH632" s="5"/>
      <c r="AI632" s="5"/>
      <c r="AJ632" s="5"/>
      <c r="AK632" s="5" t="s">
        <v>1418</v>
      </c>
    </row>
    <row r="633" spans="1:37" ht="15" hidden="1" customHeight="1">
      <c r="A633" s="30">
        <v>662</v>
      </c>
      <c r="B633" s="111">
        <v>44984</v>
      </c>
      <c r="C633" s="29">
        <f>B633</f>
        <v>44984</v>
      </c>
      <c r="D633" s="9" t="s">
        <v>37</v>
      </c>
      <c r="E633" s="9" t="s">
        <v>734</v>
      </c>
      <c r="F633" s="5" t="str">
        <f>E633</f>
        <v>Aldian Winata</v>
      </c>
      <c r="G633" s="17" t="s">
        <v>735</v>
      </c>
      <c r="H633" s="103"/>
      <c r="I633" s="94">
        <v>0</v>
      </c>
      <c r="J633" s="94">
        <v>0</v>
      </c>
      <c r="K633" s="94">
        <v>0</v>
      </c>
      <c r="L633" s="94">
        <v>0</v>
      </c>
      <c r="M633" s="94">
        <v>0</v>
      </c>
      <c r="N633" s="94">
        <v>0</v>
      </c>
      <c r="O633" s="94">
        <v>0</v>
      </c>
      <c r="P633" s="94">
        <v>0</v>
      </c>
      <c r="Q633" s="94">
        <v>0</v>
      </c>
      <c r="R633" s="94">
        <v>0</v>
      </c>
      <c r="S633" s="94">
        <v>0</v>
      </c>
      <c r="T633" s="94">
        <v>0</v>
      </c>
      <c r="U633" s="94">
        <v>0</v>
      </c>
      <c r="V633" s="94">
        <v>0</v>
      </c>
      <c r="W633" s="94">
        <v>0</v>
      </c>
      <c r="X633" s="94">
        <v>0</v>
      </c>
      <c r="Y633" s="94">
        <v>0</v>
      </c>
      <c r="Z633" s="94"/>
      <c r="AA633" s="9"/>
      <c r="AB633" s="9"/>
      <c r="AC633" s="9"/>
      <c r="AD633" s="9"/>
      <c r="AE633" s="12" t="s">
        <v>1390</v>
      </c>
      <c r="AF633" s="8"/>
      <c r="AG633" t="str">
        <f>VLOOKUP(OfficeForms.Table[[#This Row],[Nama Proyek]],'Nama Proyek'!$D$2:$G$40,4,0)</f>
        <v>-0.88562397,119.85928375</v>
      </c>
      <c r="AH633" s="5"/>
      <c r="AI633" s="5"/>
      <c r="AJ633" s="5"/>
      <c r="AK633" s="5" t="s">
        <v>1419</v>
      </c>
    </row>
    <row r="634" spans="1:37" ht="15" hidden="1" customHeight="1">
      <c r="A634">
        <v>666</v>
      </c>
      <c r="B634" s="111">
        <v>44984</v>
      </c>
      <c r="C634" s="29">
        <f>B634</f>
        <v>44984</v>
      </c>
      <c r="D634" s="9" t="s">
        <v>37</v>
      </c>
      <c r="E634" s="9" t="s">
        <v>57</v>
      </c>
      <c r="F634" s="5" t="str">
        <f>E634</f>
        <v>Alfian Budi Prasetya</v>
      </c>
      <c r="G634" s="17" t="s">
        <v>58</v>
      </c>
      <c r="H634" s="103"/>
      <c r="I634" s="94">
        <v>0</v>
      </c>
      <c r="J634" s="94">
        <v>0</v>
      </c>
      <c r="K634" s="94">
        <v>0</v>
      </c>
      <c r="L634" s="94">
        <v>0</v>
      </c>
      <c r="M634" s="94">
        <v>0</v>
      </c>
      <c r="N634" s="94">
        <v>0</v>
      </c>
      <c r="O634" s="94">
        <v>0</v>
      </c>
      <c r="P634" s="94">
        <v>0</v>
      </c>
      <c r="Q634" s="94">
        <v>0</v>
      </c>
      <c r="R634" s="94">
        <v>0</v>
      </c>
      <c r="S634" s="94">
        <v>0</v>
      </c>
      <c r="T634" s="94">
        <v>0</v>
      </c>
      <c r="U634" s="94">
        <v>0</v>
      </c>
      <c r="V634" s="94">
        <v>0</v>
      </c>
      <c r="W634" s="94">
        <v>0</v>
      </c>
      <c r="X634" s="94">
        <v>0</v>
      </c>
      <c r="Y634" s="94">
        <v>0</v>
      </c>
      <c r="Z634" s="94"/>
      <c r="AA634" s="9"/>
      <c r="AB634" s="9"/>
      <c r="AC634" s="9"/>
      <c r="AD634" s="9"/>
      <c r="AE634" s="12" t="s">
        <v>1390</v>
      </c>
      <c r="AF634" s="26" t="s">
        <v>1420</v>
      </c>
      <c r="AG634" t="str">
        <f>VLOOKUP(OfficeForms.Table[[#This Row],[Nama Proyek]],'Nama Proyek'!$D$2:$G$29,4,0)</f>
        <v>-6.12967558,107.07321308</v>
      </c>
      <c r="AH634" s="5"/>
      <c r="AI634" s="5"/>
      <c r="AJ634" s="5"/>
      <c r="AK634" s="5" t="s">
        <v>1421</v>
      </c>
    </row>
    <row r="635" spans="1:37" ht="15" hidden="1" customHeight="1">
      <c r="A635" s="50">
        <v>675</v>
      </c>
      <c r="B635" s="110">
        <v>44984</v>
      </c>
      <c r="C635" s="28">
        <f>B635</f>
        <v>44984</v>
      </c>
      <c r="D635" s="8" t="s">
        <v>37</v>
      </c>
      <c r="E635" s="8" t="s">
        <v>716</v>
      </c>
      <c r="F635" s="5" t="str">
        <f>E635</f>
        <v>Tri Suseno</v>
      </c>
      <c r="G635" s="15" t="s">
        <v>717</v>
      </c>
      <c r="H635" s="102"/>
      <c r="I635" s="95">
        <v>0</v>
      </c>
      <c r="J635" s="95">
        <v>0</v>
      </c>
      <c r="K635" s="95">
        <v>0</v>
      </c>
      <c r="L635" s="95">
        <v>0</v>
      </c>
      <c r="M635" s="95">
        <v>0</v>
      </c>
      <c r="N635" s="95">
        <v>0</v>
      </c>
      <c r="O635" s="95">
        <v>0</v>
      </c>
      <c r="P635" s="95">
        <v>0</v>
      </c>
      <c r="Q635" s="95">
        <v>0</v>
      </c>
      <c r="R635" s="95">
        <v>0</v>
      </c>
      <c r="S635" s="95">
        <v>0</v>
      </c>
      <c r="T635" s="95">
        <v>0</v>
      </c>
      <c r="U635" s="95">
        <v>0</v>
      </c>
      <c r="V635" s="95">
        <v>0</v>
      </c>
      <c r="W635" s="95">
        <v>0</v>
      </c>
      <c r="X635" s="95">
        <v>0</v>
      </c>
      <c r="Y635" s="95">
        <v>0</v>
      </c>
      <c r="Z635" s="95"/>
      <c r="AA635" s="8"/>
      <c r="AB635" s="8"/>
      <c r="AC635" s="8"/>
      <c r="AD635" s="8"/>
      <c r="AE635" s="16">
        <v>44927</v>
      </c>
      <c r="AF635" s="9"/>
      <c r="AG635" t="str">
        <f>VLOOKUP(OfficeForms.Table[[#This Row],[Nama Proyek]],'Nama Proyek'!$D$2:$G$29,4,0)</f>
        <v>3.76271056,115.88262689</v>
      </c>
      <c r="AH635" s="5"/>
      <c r="AI635" s="5"/>
      <c r="AJ635" s="5"/>
      <c r="AK635" s="5" t="s">
        <v>1422</v>
      </c>
    </row>
    <row r="636" spans="1:37" ht="15" hidden="1" customHeight="1">
      <c r="A636" s="31">
        <v>729</v>
      </c>
      <c r="B636" s="110">
        <v>44984</v>
      </c>
      <c r="C636" s="28">
        <f>B636</f>
        <v>44984</v>
      </c>
      <c r="D636" s="19" t="s">
        <v>37</v>
      </c>
      <c r="E636" s="19" t="s">
        <v>54</v>
      </c>
      <c r="F636" s="5" t="str">
        <f>E636</f>
        <v>Haryo Widiandoko</v>
      </c>
      <c r="G636" s="42" t="s">
        <v>55</v>
      </c>
      <c r="H636" s="106"/>
      <c r="I636" s="96">
        <v>0</v>
      </c>
      <c r="J636" s="96">
        <v>0</v>
      </c>
      <c r="K636" s="96">
        <v>0</v>
      </c>
      <c r="L636" s="96">
        <v>0</v>
      </c>
      <c r="M636" s="96">
        <v>0</v>
      </c>
      <c r="N636" s="96">
        <v>0</v>
      </c>
      <c r="O636" s="96">
        <v>0</v>
      </c>
      <c r="P636" s="96">
        <v>0</v>
      </c>
      <c r="Q636" s="96">
        <v>0</v>
      </c>
      <c r="R636" s="96">
        <v>0</v>
      </c>
      <c r="S636" s="96">
        <v>0</v>
      </c>
      <c r="T636" s="96">
        <v>0</v>
      </c>
      <c r="U636" s="96">
        <v>0</v>
      </c>
      <c r="V636" s="96">
        <v>0</v>
      </c>
      <c r="W636" s="96">
        <v>0</v>
      </c>
      <c r="X636" s="96">
        <v>0</v>
      </c>
      <c r="Y636" s="96">
        <v>0</v>
      </c>
      <c r="Z636" s="96"/>
      <c r="AA636" s="19" t="s">
        <v>1423</v>
      </c>
      <c r="AB636" s="19" t="s">
        <v>1424</v>
      </c>
      <c r="AC636" s="19" t="s">
        <v>1425</v>
      </c>
      <c r="AD636" s="19" t="s">
        <v>1425</v>
      </c>
      <c r="AE636" s="13"/>
      <c r="AF636" s="8" t="s">
        <v>1426</v>
      </c>
      <c r="AG636" t="str">
        <f>VLOOKUP(OfficeForms.Table[[#This Row],[Nama Proyek]],'Nama Proyek'!$D$2:$G$29,4,0)</f>
        <v>-6.42873464,107.19897003</v>
      </c>
      <c r="AH636" s="5"/>
      <c r="AI636" s="5"/>
      <c r="AJ636" s="5"/>
      <c r="AK636" s="5" t="s">
        <v>1427</v>
      </c>
    </row>
    <row r="637" spans="1:37" ht="15" hidden="1" customHeight="1">
      <c r="A637" s="31">
        <v>730</v>
      </c>
      <c r="B637" s="111">
        <v>44984</v>
      </c>
      <c r="C637" s="29">
        <f>B637</f>
        <v>44984</v>
      </c>
      <c r="D637" s="8" t="s">
        <v>37</v>
      </c>
      <c r="E637" s="8" t="s">
        <v>54</v>
      </c>
      <c r="F637" s="5" t="str">
        <f>E637</f>
        <v>Haryo Widiandoko</v>
      </c>
      <c r="G637" s="17" t="s">
        <v>55</v>
      </c>
      <c r="H637" s="102"/>
      <c r="I637" s="95">
        <v>0</v>
      </c>
      <c r="J637" s="95">
        <v>0</v>
      </c>
      <c r="K637" s="95">
        <v>0</v>
      </c>
      <c r="L637" s="95">
        <v>0</v>
      </c>
      <c r="M637" s="95">
        <v>0</v>
      </c>
      <c r="N637" s="95">
        <v>0</v>
      </c>
      <c r="O637" s="95">
        <v>0</v>
      </c>
      <c r="P637" s="95">
        <v>0</v>
      </c>
      <c r="Q637" s="95">
        <v>0</v>
      </c>
      <c r="R637" s="95">
        <v>0</v>
      </c>
      <c r="S637" s="95">
        <v>0</v>
      </c>
      <c r="T637" s="95">
        <v>0</v>
      </c>
      <c r="U637" s="95">
        <v>0</v>
      </c>
      <c r="V637" s="95">
        <v>0</v>
      </c>
      <c r="W637" s="95">
        <v>0</v>
      </c>
      <c r="X637" s="95">
        <v>0</v>
      </c>
      <c r="Y637" s="95">
        <v>0</v>
      </c>
      <c r="Z637" s="95"/>
      <c r="AA637" s="8"/>
      <c r="AB637" s="8"/>
      <c r="AC637" s="8"/>
      <c r="AD637" s="8"/>
      <c r="AE637" s="11">
        <v>44928</v>
      </c>
      <c r="AF637" s="42" t="s">
        <v>1428</v>
      </c>
      <c r="AG637" t="str">
        <f>VLOOKUP(OfficeForms.Table[[#This Row],[Nama Proyek]],'Nama Proyek'!$D$2:$G$29,4,0)</f>
        <v>-6.42873464,107.19897003</v>
      </c>
      <c r="AH637" s="5"/>
      <c r="AI637" s="5"/>
      <c r="AJ637" s="5"/>
      <c r="AK637" s="5" t="s">
        <v>1429</v>
      </c>
    </row>
    <row r="638" spans="1:37" ht="15" hidden="1" customHeight="1">
      <c r="A638" s="30">
        <v>731</v>
      </c>
      <c r="B638" s="110">
        <v>44984</v>
      </c>
      <c r="C638" s="28">
        <f>B638</f>
        <v>44984</v>
      </c>
      <c r="D638" s="19" t="s">
        <v>37</v>
      </c>
      <c r="E638" s="19" t="s">
        <v>54</v>
      </c>
      <c r="F638" s="5" t="str">
        <f>E638</f>
        <v>Haryo Widiandoko</v>
      </c>
      <c r="G638" s="42" t="s">
        <v>55</v>
      </c>
      <c r="H638" s="101"/>
      <c r="I638" s="96">
        <v>0</v>
      </c>
      <c r="J638" s="96">
        <v>0</v>
      </c>
      <c r="K638" s="96">
        <v>0</v>
      </c>
      <c r="L638" s="96">
        <v>0</v>
      </c>
      <c r="M638" s="96">
        <v>0</v>
      </c>
      <c r="N638" s="96">
        <v>0</v>
      </c>
      <c r="O638" s="96">
        <v>0</v>
      </c>
      <c r="P638" s="96">
        <v>0</v>
      </c>
      <c r="Q638" s="96">
        <v>0</v>
      </c>
      <c r="R638" s="96">
        <v>0</v>
      </c>
      <c r="S638" s="96">
        <v>0</v>
      </c>
      <c r="T638" s="96">
        <v>0</v>
      </c>
      <c r="U638" s="96">
        <v>0</v>
      </c>
      <c r="V638" s="96">
        <v>0</v>
      </c>
      <c r="W638" s="96">
        <v>0</v>
      </c>
      <c r="X638" s="96">
        <v>0</v>
      </c>
      <c r="Y638" s="96">
        <v>0</v>
      </c>
      <c r="Z638" s="96"/>
      <c r="AA638" s="19"/>
      <c r="AB638" s="19"/>
      <c r="AC638" s="19"/>
      <c r="AD638" s="19"/>
      <c r="AE638" s="24">
        <v>44928</v>
      </c>
      <c r="AF638" s="17"/>
      <c r="AG638" t="str">
        <f>VLOOKUP(OfficeForms.Table[[#This Row],[Nama Proyek]],'Nama Proyek'!$D$2:$G$29,4,0)</f>
        <v>-6.42873464,107.19897003</v>
      </c>
      <c r="AH638" s="5"/>
      <c r="AI638" s="5"/>
      <c r="AJ638" s="5"/>
      <c r="AK638" s="5" t="s">
        <v>1430</v>
      </c>
    </row>
    <row r="639" spans="1:37" ht="15" hidden="1" customHeight="1">
      <c r="A639" s="50">
        <v>741</v>
      </c>
      <c r="B639" s="110">
        <v>44984</v>
      </c>
      <c r="C639" s="28">
        <f>B639</f>
        <v>44984</v>
      </c>
      <c r="D639" s="8" t="s">
        <v>37</v>
      </c>
      <c r="E639" s="8" t="s">
        <v>54</v>
      </c>
      <c r="F639" s="5" t="str">
        <f>E639</f>
        <v>Haryo Widiandoko</v>
      </c>
      <c r="G639" s="42" t="s">
        <v>55</v>
      </c>
      <c r="H639" s="102"/>
      <c r="I639" s="95">
        <v>0</v>
      </c>
      <c r="J639" s="95">
        <v>0</v>
      </c>
      <c r="K639" s="95">
        <v>0</v>
      </c>
      <c r="L639" s="95">
        <v>0</v>
      </c>
      <c r="M639" s="95">
        <v>0</v>
      </c>
      <c r="N639" s="95">
        <v>0</v>
      </c>
      <c r="O639" s="95">
        <v>0</v>
      </c>
      <c r="P639" s="95">
        <v>0</v>
      </c>
      <c r="Q639" s="95">
        <v>0</v>
      </c>
      <c r="R639" s="95">
        <v>0</v>
      </c>
      <c r="S639" s="95">
        <v>0</v>
      </c>
      <c r="T639" s="95">
        <v>0</v>
      </c>
      <c r="U639" s="95">
        <v>0</v>
      </c>
      <c r="V639" s="95">
        <v>0</v>
      </c>
      <c r="W639" s="95">
        <v>0</v>
      </c>
      <c r="X639" s="95">
        <v>0</v>
      </c>
      <c r="Y639" s="95">
        <v>0</v>
      </c>
      <c r="Z639" s="95"/>
      <c r="AA639" s="8"/>
      <c r="AB639" s="8"/>
      <c r="AC639" s="8"/>
      <c r="AD639" s="8"/>
      <c r="AE639" s="16">
        <v>44928</v>
      </c>
      <c r="AF639" s="15" t="s">
        <v>1431</v>
      </c>
      <c r="AG639" t="str">
        <f>VLOOKUP(OfficeForms.Table[[#This Row],[Nama Proyek]],'Nama Proyek'!$D$2:$G$29,4,0)</f>
        <v>-6.42873464,107.19897003</v>
      </c>
      <c r="AH639" s="5"/>
      <c r="AI639" s="5"/>
      <c r="AJ639" s="5"/>
      <c r="AK639" s="5" t="s">
        <v>1432</v>
      </c>
    </row>
    <row r="640" spans="1:37" ht="15" hidden="1" customHeight="1">
      <c r="A640">
        <v>752</v>
      </c>
      <c r="B640" s="111">
        <v>44984</v>
      </c>
      <c r="C640" s="29">
        <f>B640</f>
        <v>44984</v>
      </c>
      <c r="D640" s="9" t="s">
        <v>37</v>
      </c>
      <c r="E640" s="9" t="s">
        <v>54</v>
      </c>
      <c r="F640" s="5" t="str">
        <f>E640</f>
        <v>Haryo Widiandoko</v>
      </c>
      <c r="G640" s="17" t="s">
        <v>55</v>
      </c>
      <c r="H640" s="103"/>
      <c r="I640" s="94">
        <v>0</v>
      </c>
      <c r="J640" s="94">
        <v>0</v>
      </c>
      <c r="K640" s="94">
        <v>0</v>
      </c>
      <c r="L640" s="94">
        <v>0</v>
      </c>
      <c r="M640" s="94">
        <v>0</v>
      </c>
      <c r="N640" s="94">
        <v>0</v>
      </c>
      <c r="O640" s="94">
        <v>0</v>
      </c>
      <c r="P640" s="94">
        <v>0</v>
      </c>
      <c r="Q640" s="94">
        <v>0</v>
      </c>
      <c r="R640" s="94">
        <v>0</v>
      </c>
      <c r="S640" s="94">
        <v>0</v>
      </c>
      <c r="T640" s="94">
        <v>0</v>
      </c>
      <c r="U640" s="94">
        <v>0</v>
      </c>
      <c r="V640" s="94">
        <v>0</v>
      </c>
      <c r="W640" s="94">
        <v>0</v>
      </c>
      <c r="X640" s="94">
        <v>0</v>
      </c>
      <c r="Y640" s="94">
        <v>0</v>
      </c>
      <c r="Z640" s="94"/>
      <c r="AA640" s="9"/>
      <c r="AB640" s="9"/>
      <c r="AC640" s="9"/>
      <c r="AD640" s="9"/>
      <c r="AE640" s="18">
        <v>44928</v>
      </c>
      <c r="AF640" s="8"/>
      <c r="AG640" t="str">
        <f>VLOOKUP(OfficeForms.Table[[#This Row],[Nama Proyek]],'Nama Proyek'!$D$2:$G$29,4,0)</f>
        <v>-6.42873464,107.19897003</v>
      </c>
      <c r="AH640" s="5"/>
      <c r="AI640" s="5"/>
      <c r="AJ640" s="5"/>
      <c r="AK640" s="5" t="s">
        <v>1433</v>
      </c>
    </row>
    <row r="641" spans="1:37" ht="15" hidden="1" customHeight="1">
      <c r="A641" s="30">
        <v>779</v>
      </c>
      <c r="B641" s="110">
        <v>44984</v>
      </c>
      <c r="C641" s="28">
        <f>B641</f>
        <v>44984</v>
      </c>
      <c r="D641" s="8" t="s">
        <v>37</v>
      </c>
      <c r="E641" s="8" t="s">
        <v>54</v>
      </c>
      <c r="F641" s="5" t="str">
        <f>E641</f>
        <v>Haryo Widiandoko</v>
      </c>
      <c r="G641" s="42" t="s">
        <v>55</v>
      </c>
      <c r="H641" s="102"/>
      <c r="I641" s="95">
        <v>0</v>
      </c>
      <c r="J641" s="95">
        <v>0</v>
      </c>
      <c r="K641" s="95">
        <v>0</v>
      </c>
      <c r="L641" s="95">
        <v>0</v>
      </c>
      <c r="M641" s="95">
        <v>0</v>
      </c>
      <c r="N641" s="95">
        <v>0</v>
      </c>
      <c r="O641" s="95">
        <v>0</v>
      </c>
      <c r="P641" s="95">
        <v>0</v>
      </c>
      <c r="Q641" s="95">
        <v>0</v>
      </c>
      <c r="R641" s="95">
        <v>0</v>
      </c>
      <c r="S641" s="95">
        <v>0</v>
      </c>
      <c r="T641" s="95">
        <v>0</v>
      </c>
      <c r="U641" s="95">
        <v>0</v>
      </c>
      <c r="V641" s="95">
        <v>0</v>
      </c>
      <c r="W641" s="95">
        <v>0</v>
      </c>
      <c r="X641" s="95">
        <v>0</v>
      </c>
      <c r="Y641" s="95">
        <v>0</v>
      </c>
      <c r="Z641" s="95"/>
      <c r="AA641" s="8"/>
      <c r="AB641" s="8"/>
      <c r="AC641" s="8"/>
      <c r="AD641" s="8"/>
      <c r="AE641" s="11">
        <v>44928</v>
      </c>
      <c r="AF641" s="9"/>
      <c r="AG641" t="str">
        <f>VLOOKUP(OfficeForms.Table[[#This Row],[Nama Proyek]],'Nama Proyek'!$D$2:$G$29,4,0)</f>
        <v>-6.42873464,107.19897003</v>
      </c>
      <c r="AH641" s="5"/>
      <c r="AI641" s="5"/>
      <c r="AJ641" s="5"/>
      <c r="AK641" s="5" t="s">
        <v>1434</v>
      </c>
    </row>
    <row r="642" spans="1:37" ht="15" hidden="1" customHeight="1">
      <c r="A642" s="30">
        <v>680</v>
      </c>
      <c r="B642" s="111">
        <v>44985</v>
      </c>
      <c r="C642" s="29">
        <f>B642</f>
        <v>44985</v>
      </c>
      <c r="D642" s="9" t="s">
        <v>37</v>
      </c>
      <c r="E642" s="9" t="s">
        <v>994</v>
      </c>
      <c r="F642" s="5" t="str">
        <f>E642</f>
        <v>Nenes Anggi Puspadi</v>
      </c>
      <c r="G642" s="23" t="s">
        <v>924</v>
      </c>
      <c r="H642" s="104">
        <v>44983</v>
      </c>
      <c r="I642" s="94">
        <v>9.69</v>
      </c>
      <c r="J642" s="94">
        <v>16.920000000000002</v>
      </c>
      <c r="K642" s="94">
        <v>2.87</v>
      </c>
      <c r="L642" s="94">
        <v>3.63</v>
      </c>
      <c r="M642" s="94">
        <v>0</v>
      </c>
      <c r="N642" s="94">
        <v>0</v>
      </c>
      <c r="O642" s="94">
        <v>1.71</v>
      </c>
      <c r="P642" s="94">
        <v>0</v>
      </c>
      <c r="Q642" s="94">
        <v>0</v>
      </c>
      <c r="R642" s="94">
        <v>0</v>
      </c>
      <c r="S642" s="94">
        <v>0</v>
      </c>
      <c r="T642" s="94">
        <v>0</v>
      </c>
      <c r="U642" s="94">
        <v>0</v>
      </c>
      <c r="V642" s="94">
        <v>0</v>
      </c>
      <c r="W642" s="94">
        <v>0</v>
      </c>
      <c r="X642" s="94">
        <v>0</v>
      </c>
      <c r="Y642" s="94">
        <v>0</v>
      </c>
      <c r="Z642" s="94"/>
      <c r="AA642" s="9"/>
      <c r="AB642" s="9"/>
      <c r="AC642" s="9"/>
      <c r="AD642" s="9"/>
      <c r="AE642" s="12"/>
      <c r="AF642" s="8"/>
      <c r="AG642" t="str">
        <f>VLOOKUP(OfficeForms.Table[[#This Row],[Nama Proyek]],'Nama Proyek'!$D$2:$G$40,4,0)</f>
        <v>-3.25078511,134.87791156</v>
      </c>
      <c r="AH642" s="5"/>
      <c r="AI642" s="5"/>
      <c r="AJ642" s="5"/>
      <c r="AK642" s="5" t="s">
        <v>1435</v>
      </c>
    </row>
    <row r="643" spans="1:37" ht="15" hidden="1" customHeight="1">
      <c r="A643" s="30">
        <v>519</v>
      </c>
      <c r="B643" s="110">
        <v>44985</v>
      </c>
      <c r="C643" s="28">
        <f>B643</f>
        <v>44985</v>
      </c>
      <c r="D643" s="19" t="s">
        <v>37</v>
      </c>
      <c r="E643" s="19" t="s">
        <v>504</v>
      </c>
      <c r="F643" s="5" t="str">
        <f>E643</f>
        <v>Fathan Zul Waskito</v>
      </c>
      <c r="G643" s="42" t="s">
        <v>472</v>
      </c>
      <c r="H643" s="106"/>
      <c r="I643" s="96">
        <v>0</v>
      </c>
      <c r="J643" s="96">
        <v>0</v>
      </c>
      <c r="K643" s="96">
        <v>0</v>
      </c>
      <c r="L643" s="96">
        <v>0</v>
      </c>
      <c r="M643" s="96">
        <v>0</v>
      </c>
      <c r="N643" s="96">
        <v>0</v>
      </c>
      <c r="O643" s="96">
        <v>0</v>
      </c>
      <c r="P643" s="96">
        <v>0</v>
      </c>
      <c r="Q643" s="96">
        <v>0</v>
      </c>
      <c r="R643" s="96">
        <v>0</v>
      </c>
      <c r="S643" s="96">
        <v>0</v>
      </c>
      <c r="T643" s="96">
        <v>0</v>
      </c>
      <c r="U643" s="96">
        <v>0</v>
      </c>
      <c r="V643" s="96">
        <v>0</v>
      </c>
      <c r="W643" s="96">
        <v>0</v>
      </c>
      <c r="X643" s="96">
        <v>0</v>
      </c>
      <c r="Y643" s="96">
        <v>0</v>
      </c>
      <c r="Z643" s="96"/>
      <c r="AA643" s="19" t="s">
        <v>1436</v>
      </c>
      <c r="AB643" s="19" t="s">
        <v>1437</v>
      </c>
      <c r="AC643" s="19" t="s">
        <v>674</v>
      </c>
      <c r="AD643" s="19" t="s">
        <v>674</v>
      </c>
      <c r="AE643" s="13"/>
      <c r="AF643" s="8"/>
      <c r="AG643" t="str">
        <f>VLOOKUP(OfficeForms.Table[[#This Row],[Nama Proyek]],'Nama Proyek'!$D$2:$G$29,4,0)</f>
        <v>-8.29394978,112.00545006</v>
      </c>
      <c r="AH643" s="5"/>
      <c r="AI643" s="5"/>
      <c r="AJ643" s="5"/>
      <c r="AK643" s="5" t="s">
        <v>1438</v>
      </c>
    </row>
    <row r="644" spans="1:37" ht="15" hidden="1" customHeight="1">
      <c r="A644">
        <v>676</v>
      </c>
      <c r="B644" s="111">
        <v>44985</v>
      </c>
      <c r="C644" s="29">
        <f>B644</f>
        <v>44985</v>
      </c>
      <c r="D644" s="9" t="s">
        <v>37</v>
      </c>
      <c r="E644" s="9" t="s">
        <v>734</v>
      </c>
      <c r="F644" s="5" t="s">
        <v>734</v>
      </c>
      <c r="G644" s="17" t="s">
        <v>735</v>
      </c>
      <c r="H644" s="103"/>
      <c r="I644" s="94">
        <v>0</v>
      </c>
      <c r="J644" s="94">
        <v>0</v>
      </c>
      <c r="K644" s="94">
        <v>0</v>
      </c>
      <c r="L644" s="94">
        <v>0</v>
      </c>
      <c r="M644" s="94">
        <v>0</v>
      </c>
      <c r="N644" s="94">
        <v>0</v>
      </c>
      <c r="O644" s="94">
        <v>0</v>
      </c>
      <c r="P644" s="94">
        <v>0</v>
      </c>
      <c r="Q644" s="94">
        <v>0</v>
      </c>
      <c r="R644" s="94">
        <v>0</v>
      </c>
      <c r="S644" s="94">
        <v>0</v>
      </c>
      <c r="T644" s="94">
        <v>0</v>
      </c>
      <c r="U644" s="94">
        <v>0</v>
      </c>
      <c r="V644" s="94">
        <v>0</v>
      </c>
      <c r="W644" s="94">
        <v>0</v>
      </c>
      <c r="X644" s="94">
        <v>0</v>
      </c>
      <c r="Y644" s="94">
        <v>0</v>
      </c>
      <c r="Z644" s="94"/>
      <c r="AA644" s="9" t="s">
        <v>1439</v>
      </c>
      <c r="AB644" s="9" t="s">
        <v>1440</v>
      </c>
      <c r="AC644" s="9"/>
      <c r="AD644" s="9"/>
      <c r="AE644" s="12"/>
      <c r="AF644" s="15"/>
      <c r="AG644" t="str">
        <f>VLOOKUP(OfficeForms.Table[[#This Row],[Nama Proyek]],'Nama Proyek'!$D$2:$G$40,4,0)</f>
        <v>-0.88562397,119.85928375</v>
      </c>
      <c r="AH644" s="5"/>
      <c r="AI644" s="5"/>
      <c r="AJ644" s="5"/>
      <c r="AK644" s="5" t="s">
        <v>1441</v>
      </c>
    </row>
    <row r="645" spans="1:37" ht="15" hidden="1" customHeight="1">
      <c r="A645" s="50">
        <v>677</v>
      </c>
      <c r="B645" s="110">
        <v>44985</v>
      </c>
      <c r="C645" s="28">
        <f>B645</f>
        <v>44985</v>
      </c>
      <c r="D645" s="8" t="s">
        <v>37</v>
      </c>
      <c r="E645" s="8" t="s">
        <v>1442</v>
      </c>
      <c r="F645" s="5" t="str">
        <f>E645</f>
        <v>Mohamad Febry Prasetia</v>
      </c>
      <c r="G645" s="15" t="s">
        <v>58</v>
      </c>
      <c r="H645" s="102"/>
      <c r="I645" s="95">
        <v>0</v>
      </c>
      <c r="J645" s="95">
        <v>0</v>
      </c>
      <c r="K645" s="95">
        <v>0</v>
      </c>
      <c r="L645" s="95">
        <v>0</v>
      </c>
      <c r="M645" s="95">
        <v>0</v>
      </c>
      <c r="N645" s="95">
        <v>0</v>
      </c>
      <c r="O645" s="95">
        <v>0</v>
      </c>
      <c r="P645" s="95">
        <v>0</v>
      </c>
      <c r="Q645" s="95">
        <v>0</v>
      </c>
      <c r="R645" s="95">
        <v>0</v>
      </c>
      <c r="S645" s="95">
        <v>0</v>
      </c>
      <c r="T645" s="95">
        <v>0</v>
      </c>
      <c r="U645" s="95">
        <v>0</v>
      </c>
      <c r="V645" s="95">
        <v>0</v>
      </c>
      <c r="W645" s="95">
        <v>0</v>
      </c>
      <c r="X645" s="95">
        <v>0</v>
      </c>
      <c r="Y645" s="95">
        <v>0</v>
      </c>
      <c r="Z645" s="95"/>
      <c r="AA645" s="8" t="s">
        <v>1443</v>
      </c>
      <c r="AB645" s="8"/>
      <c r="AC645" s="63" t="s">
        <v>1444</v>
      </c>
      <c r="AD645" s="8" t="s">
        <v>1444</v>
      </c>
      <c r="AE645" s="16"/>
      <c r="AF645" s="9"/>
      <c r="AG645" t="str">
        <f>VLOOKUP(OfficeForms.Table[[#This Row],[Nama Proyek]],'Nama Proyek'!$D$2:$G$29,4,0)</f>
        <v>-6.12967558,107.07321308</v>
      </c>
      <c r="AH645" s="5"/>
      <c r="AI645" s="5"/>
      <c r="AJ645" s="5"/>
      <c r="AK645" s="5" t="s">
        <v>1445</v>
      </c>
    </row>
    <row r="646" spans="1:37" ht="15" hidden="1" customHeight="1">
      <c r="A646" s="31">
        <v>678</v>
      </c>
      <c r="B646" s="111">
        <v>44985</v>
      </c>
      <c r="C646" s="29">
        <f>B646</f>
        <v>44985</v>
      </c>
      <c r="D646" s="9" t="s">
        <v>37</v>
      </c>
      <c r="E646" s="9" t="s">
        <v>278</v>
      </c>
      <c r="F646" s="5" t="str">
        <f>E646</f>
        <v>Teddy Pradana</v>
      </c>
      <c r="G646" s="17" t="s">
        <v>167</v>
      </c>
      <c r="H646" s="103"/>
      <c r="I646" s="94">
        <v>0</v>
      </c>
      <c r="J646" s="94">
        <v>0</v>
      </c>
      <c r="K646" s="94">
        <v>0</v>
      </c>
      <c r="L646" s="94">
        <v>0</v>
      </c>
      <c r="M646" s="94">
        <v>0</v>
      </c>
      <c r="N646" s="94">
        <v>0</v>
      </c>
      <c r="O646" s="94">
        <v>0</v>
      </c>
      <c r="P646" s="94">
        <v>0</v>
      </c>
      <c r="Q646" s="94">
        <v>0</v>
      </c>
      <c r="R646" s="94">
        <v>0</v>
      </c>
      <c r="S646" s="94">
        <v>0</v>
      </c>
      <c r="T646" s="94">
        <v>0</v>
      </c>
      <c r="U646" s="94">
        <v>0</v>
      </c>
      <c r="V646" s="94">
        <v>0</v>
      </c>
      <c r="W646" s="94">
        <v>0</v>
      </c>
      <c r="X646" s="94">
        <v>0</v>
      </c>
      <c r="Y646" s="94">
        <v>0</v>
      </c>
      <c r="Z646" s="94"/>
      <c r="AA646" s="20" t="s">
        <v>1446</v>
      </c>
      <c r="AB646" s="20" t="s">
        <v>1447</v>
      </c>
      <c r="AC646" s="20" t="s">
        <v>1448</v>
      </c>
      <c r="AD646" s="20" t="s">
        <v>1449</v>
      </c>
      <c r="AE646" s="12"/>
      <c r="AF646" s="8"/>
      <c r="AG646" t="str">
        <f>VLOOKUP(OfficeForms.Table[[#This Row],[Nama Proyek]],'Nama Proyek'!$D$2:$G$29,4,0)</f>
        <v>2.426249030,128.29766314</v>
      </c>
      <c r="AH646" s="5"/>
      <c r="AI646" s="5"/>
      <c r="AJ646" s="5"/>
      <c r="AK646" s="5" t="s">
        <v>1450</v>
      </c>
    </row>
    <row r="647" spans="1:37" ht="15" hidden="1" customHeight="1">
      <c r="A647">
        <v>679</v>
      </c>
      <c r="B647" s="110">
        <v>44985</v>
      </c>
      <c r="C647" s="28">
        <f>B647</f>
        <v>44985</v>
      </c>
      <c r="D647" s="8" t="s">
        <v>37</v>
      </c>
      <c r="E647" s="8" t="s">
        <v>716</v>
      </c>
      <c r="F647" s="5" t="str">
        <f>E647</f>
        <v>Tri Suseno</v>
      </c>
      <c r="G647" s="8" t="s">
        <v>717</v>
      </c>
      <c r="H647" s="105"/>
      <c r="I647" s="95">
        <v>0</v>
      </c>
      <c r="J647" s="95">
        <v>0</v>
      </c>
      <c r="K647" s="95">
        <v>0</v>
      </c>
      <c r="L647" s="95">
        <v>0</v>
      </c>
      <c r="M647" s="95">
        <v>0</v>
      </c>
      <c r="N647" s="95">
        <v>0</v>
      </c>
      <c r="O647" s="95">
        <v>0</v>
      </c>
      <c r="P647" s="95">
        <v>0</v>
      </c>
      <c r="Q647" s="95">
        <v>0</v>
      </c>
      <c r="R647" s="95">
        <v>0</v>
      </c>
      <c r="S647" s="95">
        <v>0</v>
      </c>
      <c r="T647" s="95">
        <v>0</v>
      </c>
      <c r="U647" s="95">
        <v>0</v>
      </c>
      <c r="V647" s="95">
        <v>0</v>
      </c>
      <c r="W647" s="95">
        <v>0</v>
      </c>
      <c r="X647" s="95">
        <v>0</v>
      </c>
      <c r="Y647" s="95">
        <v>0</v>
      </c>
      <c r="Z647" s="95"/>
      <c r="AA647" s="63" t="s">
        <v>1451</v>
      </c>
      <c r="AB647" s="63" t="s">
        <v>1452</v>
      </c>
      <c r="AC647" s="8"/>
      <c r="AD647" s="8"/>
      <c r="AE647" s="11"/>
      <c r="AF647" s="9"/>
      <c r="AG647" t="str">
        <f>VLOOKUP(OfficeForms.Table[[#This Row],[Nama Proyek]],'Nama Proyek'!$D$2:$G$29,4,0)</f>
        <v>3.76271056,115.88262689</v>
      </c>
      <c r="AH647" s="5"/>
      <c r="AI647" s="5"/>
      <c r="AJ647" s="5"/>
      <c r="AK647" s="5" t="s">
        <v>1453</v>
      </c>
    </row>
    <row r="648" spans="1:37" ht="15" hidden="1" customHeight="1">
      <c r="A648" s="50">
        <v>682</v>
      </c>
      <c r="B648" s="111">
        <v>44985</v>
      </c>
      <c r="C648" s="29">
        <f>B648</f>
        <v>44985</v>
      </c>
      <c r="D648" s="9" t="s">
        <v>37</v>
      </c>
      <c r="E648" s="9" t="s">
        <v>994</v>
      </c>
      <c r="F648" s="5" t="s">
        <v>994</v>
      </c>
      <c r="G648" s="39" t="s">
        <v>924</v>
      </c>
      <c r="H648" s="104"/>
      <c r="I648" s="94">
        <v>0</v>
      </c>
      <c r="J648" s="94">
        <v>0</v>
      </c>
      <c r="K648" s="94">
        <v>0</v>
      </c>
      <c r="L648" s="94">
        <v>0</v>
      </c>
      <c r="M648" s="94">
        <v>0</v>
      </c>
      <c r="N648" s="94">
        <v>0</v>
      </c>
      <c r="O648" s="94">
        <v>0</v>
      </c>
      <c r="P648" s="94">
        <v>0</v>
      </c>
      <c r="Q648" s="94">
        <v>0</v>
      </c>
      <c r="R648" s="94">
        <v>0</v>
      </c>
      <c r="S648" s="94">
        <v>0</v>
      </c>
      <c r="T648" s="94">
        <v>0</v>
      </c>
      <c r="U648" s="94">
        <v>0</v>
      </c>
      <c r="V648" s="94">
        <v>0</v>
      </c>
      <c r="W648" s="94">
        <v>0</v>
      </c>
      <c r="X648" s="94">
        <v>0</v>
      </c>
      <c r="Y648" s="94">
        <v>0</v>
      </c>
      <c r="Z648" s="94"/>
      <c r="AA648" s="9"/>
      <c r="AB648" s="9"/>
      <c r="AC648" s="9"/>
      <c r="AD648" s="9"/>
      <c r="AE648" s="12" t="s">
        <v>1246</v>
      </c>
      <c r="AF648" s="8" t="s">
        <v>1454</v>
      </c>
      <c r="AG648" t="str">
        <f>VLOOKUP(OfficeForms.Table[[#This Row],[Nama Proyek]],'Nama Proyek'!$D$2:$G$40,4,0)</f>
        <v>-3.25078511,134.87791156</v>
      </c>
      <c r="AH648" s="5"/>
      <c r="AI648" s="5"/>
      <c r="AJ648" s="5"/>
      <c r="AK648" s="5" t="s">
        <v>1455</v>
      </c>
    </row>
    <row r="649" spans="1:37" ht="15" hidden="1" customHeight="1">
      <c r="A649" s="31">
        <v>683</v>
      </c>
      <c r="B649" s="110">
        <v>44985</v>
      </c>
      <c r="C649" s="28">
        <f>B649</f>
        <v>44985</v>
      </c>
      <c r="D649" s="8" t="s">
        <v>37</v>
      </c>
      <c r="E649" s="8" t="s">
        <v>994</v>
      </c>
      <c r="F649" s="5" t="str">
        <f>E649</f>
        <v>Nenes Anggi Puspadi</v>
      </c>
      <c r="G649" s="39" t="s">
        <v>924</v>
      </c>
      <c r="H649" s="105"/>
      <c r="I649" s="95">
        <v>0</v>
      </c>
      <c r="J649" s="95">
        <v>0</v>
      </c>
      <c r="K649" s="95">
        <v>0</v>
      </c>
      <c r="L649" s="95">
        <v>0</v>
      </c>
      <c r="M649" s="95">
        <v>0</v>
      </c>
      <c r="N649" s="95">
        <v>0</v>
      </c>
      <c r="O649" s="95">
        <v>0</v>
      </c>
      <c r="P649" s="95">
        <v>0</v>
      </c>
      <c r="Q649" s="95">
        <v>0</v>
      </c>
      <c r="R649" s="95">
        <v>0</v>
      </c>
      <c r="S649" s="95">
        <v>0</v>
      </c>
      <c r="T649" s="95">
        <v>0</v>
      </c>
      <c r="U649" s="95">
        <v>0</v>
      </c>
      <c r="V649" s="95">
        <v>0</v>
      </c>
      <c r="W649" s="95">
        <v>0</v>
      </c>
      <c r="X649" s="95">
        <v>0</v>
      </c>
      <c r="Y649" s="95">
        <v>0</v>
      </c>
      <c r="Z649" s="95"/>
      <c r="AA649" s="8"/>
      <c r="AB649" s="8"/>
      <c r="AC649" s="8"/>
      <c r="AD649" s="8"/>
      <c r="AE649" s="11" t="s">
        <v>1246</v>
      </c>
      <c r="AF649" s="40" t="s">
        <v>1456</v>
      </c>
      <c r="AG649" t="str">
        <f>VLOOKUP(OfficeForms.Table[[#This Row],[Nama Proyek]],'Nama Proyek'!$D$2:$G$40,4,0)</f>
        <v>-3.25078511,134.87791156</v>
      </c>
      <c r="AH649" s="5"/>
      <c r="AI649" s="5"/>
      <c r="AJ649" s="5"/>
      <c r="AK649" s="5" t="s">
        <v>1457</v>
      </c>
    </row>
    <row r="650" spans="1:37" ht="15" hidden="1" customHeight="1">
      <c r="A650" s="31">
        <v>684</v>
      </c>
      <c r="B650" s="111">
        <v>44985</v>
      </c>
      <c r="C650" s="29">
        <f>B650</f>
        <v>44985</v>
      </c>
      <c r="D650" s="9" t="s">
        <v>37</v>
      </c>
      <c r="E650" s="9" t="s">
        <v>994</v>
      </c>
      <c r="F650" s="5" t="str">
        <f>E650</f>
        <v>Nenes Anggi Puspadi</v>
      </c>
      <c r="G650" s="23" t="s">
        <v>924</v>
      </c>
      <c r="H650" s="104"/>
      <c r="I650" s="94">
        <v>0</v>
      </c>
      <c r="J650" s="94">
        <v>0</v>
      </c>
      <c r="K650" s="94">
        <v>0</v>
      </c>
      <c r="L650" s="94">
        <v>0</v>
      </c>
      <c r="M650" s="94">
        <v>0</v>
      </c>
      <c r="N650" s="94">
        <v>0</v>
      </c>
      <c r="O650" s="94">
        <v>0</v>
      </c>
      <c r="P650" s="94">
        <v>0</v>
      </c>
      <c r="Q650" s="94">
        <v>0</v>
      </c>
      <c r="R650" s="94">
        <v>0</v>
      </c>
      <c r="S650" s="94">
        <v>0</v>
      </c>
      <c r="T650" s="94">
        <v>0</v>
      </c>
      <c r="U650" s="94">
        <v>0</v>
      </c>
      <c r="V650" s="94">
        <v>0</v>
      </c>
      <c r="W650" s="94">
        <v>0</v>
      </c>
      <c r="X650" s="94">
        <v>0</v>
      </c>
      <c r="Y650" s="94">
        <v>0</v>
      </c>
      <c r="Z650" s="94"/>
      <c r="AA650" s="9"/>
      <c r="AB650" s="9"/>
      <c r="AC650" s="9"/>
      <c r="AD650" s="9"/>
      <c r="AE650" s="12" t="s">
        <v>1246</v>
      </c>
      <c r="AF650" s="8"/>
      <c r="AG650" t="str">
        <f>VLOOKUP(OfficeForms.Table[[#This Row],[Nama Proyek]],'Nama Proyek'!$D$2:$G$40,4,0)</f>
        <v>-3.25078511,134.87791156</v>
      </c>
      <c r="AH650" s="5"/>
      <c r="AI650" s="5"/>
      <c r="AJ650" s="5"/>
      <c r="AK650" s="5" t="s">
        <v>1458</v>
      </c>
    </row>
    <row r="651" spans="1:37" ht="15" hidden="1" customHeight="1">
      <c r="A651" s="30">
        <v>685</v>
      </c>
      <c r="B651" s="110">
        <v>44985</v>
      </c>
      <c r="C651" s="28">
        <f>B651</f>
        <v>44985</v>
      </c>
      <c r="D651" s="8" t="s">
        <v>37</v>
      </c>
      <c r="E651" s="8" t="s">
        <v>994</v>
      </c>
      <c r="F651" s="5" t="str">
        <f>E651</f>
        <v>Nenes Anggi Puspadi</v>
      </c>
      <c r="G651" s="23" t="s">
        <v>924</v>
      </c>
      <c r="H651" s="105"/>
      <c r="I651" s="95">
        <v>0</v>
      </c>
      <c r="J651" s="95">
        <v>0</v>
      </c>
      <c r="K651" s="95">
        <v>0</v>
      </c>
      <c r="L651" s="95">
        <v>0</v>
      </c>
      <c r="M651" s="95">
        <v>0</v>
      </c>
      <c r="N651" s="95">
        <v>0</v>
      </c>
      <c r="O651" s="95">
        <v>0</v>
      </c>
      <c r="P651" s="95">
        <v>0</v>
      </c>
      <c r="Q651" s="95">
        <v>0</v>
      </c>
      <c r="R651" s="95">
        <v>0</v>
      </c>
      <c r="S651" s="95">
        <v>0</v>
      </c>
      <c r="T651" s="95">
        <v>0</v>
      </c>
      <c r="U651" s="95">
        <v>0</v>
      </c>
      <c r="V651" s="95">
        <v>0</v>
      </c>
      <c r="W651" s="95">
        <v>0</v>
      </c>
      <c r="X651" s="95">
        <v>0</v>
      </c>
      <c r="Y651" s="95">
        <v>0</v>
      </c>
      <c r="Z651" s="95"/>
      <c r="AA651" s="41" t="s">
        <v>1459</v>
      </c>
      <c r="AB651" s="41" t="s">
        <v>1460</v>
      </c>
      <c r="AC651" s="8"/>
      <c r="AD651" s="8"/>
      <c r="AE651" s="11"/>
      <c r="AF651" s="8" t="s">
        <v>1461</v>
      </c>
      <c r="AG651" t="str">
        <f>VLOOKUP(OfficeForms.Table[[#This Row],[Nama Proyek]],'Nama Proyek'!$D$2:$G$40,4,0)</f>
        <v>-3.25078511,134.87791156</v>
      </c>
      <c r="AH651" s="5"/>
      <c r="AI651" s="5"/>
      <c r="AJ651" s="5"/>
      <c r="AK651" s="5" t="s">
        <v>1462</v>
      </c>
    </row>
    <row r="652" spans="1:37" ht="15" hidden="1" customHeight="1">
      <c r="A652">
        <v>232</v>
      </c>
      <c r="B652" s="111">
        <v>44990</v>
      </c>
      <c r="C652" s="29">
        <f>B652</f>
        <v>44990</v>
      </c>
      <c r="D652" s="9" t="s">
        <v>37</v>
      </c>
      <c r="E652" s="9" t="s">
        <v>54</v>
      </c>
      <c r="F652" s="5" t="str">
        <f>E652</f>
        <v>Haryo Widiandoko</v>
      </c>
      <c r="G652" s="17" t="s">
        <v>55</v>
      </c>
      <c r="H652" s="104">
        <v>45049</v>
      </c>
      <c r="I652" s="94">
        <v>81.790000000000006</v>
      </c>
      <c r="J652" s="94">
        <v>86.1</v>
      </c>
      <c r="K652" s="94">
        <v>0.32300000000000001</v>
      </c>
      <c r="L652" s="94">
        <v>0.24099999999999999</v>
      </c>
      <c r="M652" s="94">
        <v>30.75</v>
      </c>
      <c r="N652" s="94">
        <v>2.069</v>
      </c>
      <c r="O652" s="94">
        <v>2.5379999999999998</v>
      </c>
      <c r="P652" s="94">
        <v>0.05</v>
      </c>
      <c r="Q652" s="94">
        <v>0.65800000000000003</v>
      </c>
      <c r="R652" s="94">
        <v>10.246</v>
      </c>
      <c r="S652" s="94">
        <v>30.547000000000001</v>
      </c>
      <c r="T652" s="94">
        <v>0.78800000000000003</v>
      </c>
      <c r="U652" s="94">
        <v>1.857</v>
      </c>
      <c r="V652" s="94">
        <v>0.186</v>
      </c>
      <c r="W652" s="94">
        <v>0.29899999999999999</v>
      </c>
      <c r="X652" s="94">
        <v>0.81</v>
      </c>
      <c r="Y652" s="94">
        <v>0</v>
      </c>
      <c r="Z652" s="94"/>
      <c r="AA652" s="9"/>
      <c r="AB652" s="9"/>
      <c r="AC652" s="9"/>
      <c r="AD652" s="9"/>
      <c r="AE652" s="12"/>
      <c r="AF652" s="8"/>
      <c r="AG652" t="str">
        <f>VLOOKUP(OfficeForms.Table[[#This Row],[Nama Proyek]],'Nama Proyek'!$D$2:$G$29,4,0)</f>
        <v>-6.42873464,107.19897003</v>
      </c>
      <c r="AH652" s="5"/>
      <c r="AI652" s="5"/>
      <c r="AJ652" s="5"/>
      <c r="AK652" s="5" t="s">
        <v>1463</v>
      </c>
    </row>
    <row r="653" spans="1:37" ht="15" hidden="1" customHeight="1">
      <c r="A653">
        <v>803</v>
      </c>
      <c r="B653" s="110">
        <v>44990</v>
      </c>
      <c r="C653" s="28">
        <f>B653</f>
        <v>44990</v>
      </c>
      <c r="D653" s="8" t="s">
        <v>37</v>
      </c>
      <c r="E653" s="8" t="s">
        <v>79</v>
      </c>
      <c r="F653" s="5" t="s">
        <v>79</v>
      </c>
      <c r="G653" s="35" t="s">
        <v>80</v>
      </c>
      <c r="H653" s="105"/>
      <c r="I653" s="95">
        <v>0</v>
      </c>
      <c r="J653" s="95">
        <v>0</v>
      </c>
      <c r="K653" s="95">
        <v>0</v>
      </c>
      <c r="L653" s="95">
        <v>0</v>
      </c>
      <c r="M653" s="95">
        <v>0</v>
      </c>
      <c r="N653" s="95">
        <v>0</v>
      </c>
      <c r="O653" s="95">
        <v>0</v>
      </c>
      <c r="P653" s="95">
        <v>0</v>
      </c>
      <c r="Q653" s="95">
        <v>0</v>
      </c>
      <c r="R653" s="95">
        <v>0</v>
      </c>
      <c r="S653" s="95">
        <v>0</v>
      </c>
      <c r="T653" s="95">
        <v>0</v>
      </c>
      <c r="U653" s="95">
        <v>0</v>
      </c>
      <c r="V653" s="95">
        <v>0</v>
      </c>
      <c r="W653" s="95">
        <v>0</v>
      </c>
      <c r="X653" s="95">
        <v>0</v>
      </c>
      <c r="Y653" s="95">
        <v>0</v>
      </c>
      <c r="Z653" s="95"/>
      <c r="AA653" s="8" t="s">
        <v>421</v>
      </c>
      <c r="AB653" s="8" t="s">
        <v>261</v>
      </c>
      <c r="AC653" s="8" t="s">
        <v>1464</v>
      </c>
      <c r="AD653" s="8" t="s">
        <v>1464</v>
      </c>
      <c r="AE653" s="11"/>
      <c r="AF653" s="8"/>
      <c r="AG653" t="str">
        <f>VLOOKUP(OfficeForms.Table[[#This Row],[Nama Proyek]],'Nama Proyek'!$D$2:$G$29,4,0)</f>
        <v>-7.82225167,113.29968319</v>
      </c>
      <c r="AH653" s="5"/>
      <c r="AI653" s="5"/>
      <c r="AJ653" s="5"/>
      <c r="AK653" s="5" t="s">
        <v>1465</v>
      </c>
    </row>
    <row r="654" spans="1:37" ht="15" hidden="1" customHeight="1">
      <c r="A654" s="31">
        <v>490</v>
      </c>
      <c r="B654" s="111">
        <v>44992</v>
      </c>
      <c r="C654" s="29">
        <f>B654</f>
        <v>44992</v>
      </c>
      <c r="D654" s="8" t="s">
        <v>37</v>
      </c>
      <c r="E654" s="8" t="s">
        <v>75</v>
      </c>
      <c r="F654" s="5" t="str">
        <f>E654</f>
        <v>Banyu Purwita</v>
      </c>
      <c r="G654" s="37" t="s">
        <v>76</v>
      </c>
      <c r="H654" s="105">
        <v>45108</v>
      </c>
      <c r="I654" s="95">
        <v>59.28</v>
      </c>
      <c r="J654" s="95">
        <v>64.058999999999997</v>
      </c>
      <c r="K654" s="95">
        <v>0</v>
      </c>
      <c r="L654" s="95">
        <v>0</v>
      </c>
      <c r="M654" s="95">
        <v>6.1310000000000002</v>
      </c>
      <c r="N654" s="95">
        <v>0</v>
      </c>
      <c r="O654" s="95">
        <v>12.262</v>
      </c>
      <c r="P654" s="95">
        <v>0</v>
      </c>
      <c r="Q654" s="95">
        <v>6.181</v>
      </c>
      <c r="R654" s="95">
        <v>0</v>
      </c>
      <c r="S654" s="95">
        <v>32.670999999999999</v>
      </c>
      <c r="T654" s="95">
        <v>0</v>
      </c>
      <c r="U654" s="95">
        <v>6.3E-2</v>
      </c>
      <c r="V654" s="95">
        <v>0</v>
      </c>
      <c r="W654" s="95">
        <v>0</v>
      </c>
      <c r="X654" s="95">
        <v>0</v>
      </c>
      <c r="Y654" s="95">
        <v>0</v>
      </c>
      <c r="Z654" s="95"/>
      <c r="AA654" s="8"/>
      <c r="AB654" s="8"/>
      <c r="AC654" s="8"/>
      <c r="AD654" s="8"/>
      <c r="AE654" s="11"/>
      <c r="AF654" s="8" t="s">
        <v>1466</v>
      </c>
      <c r="AG654" t="str">
        <f>VLOOKUP(OfficeForms.Table[[#This Row],[Nama Proyek]],'Nama Proyek'!$D$2:$G$29,4,0)</f>
        <v>-2.95293103,104.75455094</v>
      </c>
      <c r="AH654" s="5"/>
      <c r="AI654" s="5"/>
      <c r="AJ654" s="5"/>
      <c r="AK654" s="5" t="s">
        <v>1467</v>
      </c>
    </row>
    <row r="655" spans="1:37" ht="15" hidden="1" customHeight="1">
      <c r="A655" s="31">
        <v>942</v>
      </c>
      <c r="B655" s="111">
        <v>44992</v>
      </c>
      <c r="C655" s="29">
        <f>B655</f>
        <v>44992</v>
      </c>
      <c r="D655" s="8" t="s">
        <v>37</v>
      </c>
      <c r="E655" s="8" t="s">
        <v>75</v>
      </c>
      <c r="F655" s="5" t="str">
        <f>E655</f>
        <v>Banyu Purwita</v>
      </c>
      <c r="G655" s="37" t="s">
        <v>76</v>
      </c>
      <c r="H655" s="105"/>
      <c r="I655" s="95">
        <v>0</v>
      </c>
      <c r="J655" s="95">
        <v>0</v>
      </c>
      <c r="K655" s="95">
        <v>0</v>
      </c>
      <c r="L655" s="95">
        <v>0</v>
      </c>
      <c r="M655" s="95">
        <v>0</v>
      </c>
      <c r="N655" s="95">
        <v>0</v>
      </c>
      <c r="O655" s="95">
        <v>0</v>
      </c>
      <c r="P655" s="95">
        <v>0</v>
      </c>
      <c r="Q655" s="95">
        <v>0</v>
      </c>
      <c r="R655" s="95">
        <v>0</v>
      </c>
      <c r="S655" s="95">
        <v>0</v>
      </c>
      <c r="T655" s="95">
        <v>0</v>
      </c>
      <c r="U655" s="95">
        <v>0</v>
      </c>
      <c r="V655" s="95">
        <v>0</v>
      </c>
      <c r="W655" s="95">
        <v>0</v>
      </c>
      <c r="X655" s="95">
        <v>0</v>
      </c>
      <c r="Y655" s="95">
        <v>0</v>
      </c>
      <c r="Z655" s="95"/>
      <c r="AA655" s="8"/>
      <c r="AB655" s="8"/>
      <c r="AC655" s="8"/>
      <c r="AD655" s="8"/>
      <c r="AE655" s="11">
        <v>44933</v>
      </c>
      <c r="AF655" s="43" t="s">
        <v>1468</v>
      </c>
      <c r="AG655" t="str">
        <f>VLOOKUP(OfficeForms.Table[[#This Row],[Nama Proyek]],'Nama Proyek'!$D$2:$G$29,4,0)</f>
        <v>-2.95293103,104.75455094</v>
      </c>
      <c r="AH655" s="5"/>
      <c r="AI655" s="5"/>
      <c r="AJ655" s="5"/>
      <c r="AK655" s="5" t="s">
        <v>1469</v>
      </c>
    </row>
    <row r="656" spans="1:37" ht="15" hidden="1" customHeight="1">
      <c r="A656" s="31">
        <v>995</v>
      </c>
      <c r="B656" s="110">
        <v>44995</v>
      </c>
      <c r="C656" s="28">
        <f>B656</f>
        <v>44995</v>
      </c>
      <c r="D656" s="19" t="s">
        <v>37</v>
      </c>
      <c r="E656" s="19" t="s">
        <v>82</v>
      </c>
      <c r="F656" s="5" t="str">
        <f>E656</f>
        <v>Ajik Prastiyo</v>
      </c>
      <c r="G656" s="42" t="s">
        <v>1317</v>
      </c>
      <c r="H656" s="106">
        <v>44936</v>
      </c>
      <c r="I656" s="96">
        <v>0.71390966</v>
      </c>
      <c r="J656" s="96">
        <v>1.76723952</v>
      </c>
      <c r="K656" s="96">
        <v>6.6365359999999998E-2</v>
      </c>
      <c r="L656" s="96">
        <v>3.4788140000000002E-2</v>
      </c>
      <c r="M656" s="96">
        <v>8.7606149999999994E-2</v>
      </c>
      <c r="N656" s="96">
        <v>4.1523980000000002E-2</v>
      </c>
      <c r="O656" s="96">
        <v>0</v>
      </c>
      <c r="P656" s="96">
        <v>0</v>
      </c>
      <c r="Q656" s="96">
        <v>0</v>
      </c>
      <c r="R656" s="96">
        <v>0</v>
      </c>
      <c r="S656" s="96">
        <v>5.7659580000000002E-2</v>
      </c>
      <c r="T656" s="96">
        <v>0</v>
      </c>
      <c r="U656" s="96">
        <v>0</v>
      </c>
      <c r="V656" s="96">
        <v>0</v>
      </c>
      <c r="W656" s="96">
        <v>0</v>
      </c>
      <c r="X656" s="96">
        <v>0</v>
      </c>
      <c r="Y656" s="96">
        <v>0</v>
      </c>
      <c r="Z656" s="96"/>
      <c r="AA656" s="19"/>
      <c r="AB656" s="19"/>
      <c r="AC656" s="19"/>
      <c r="AD656" s="19"/>
      <c r="AE656" s="13"/>
      <c r="AF656" s="26" t="s">
        <v>1470</v>
      </c>
      <c r="AG656" t="str">
        <f>VLOOKUP(OfficeForms.Table[[#This Row],[Nama Proyek]],'Nama Proyek'!$D$2:$G$29,4,0)</f>
        <v>-7.72647690,113.63515320</v>
      </c>
      <c r="AH656" s="5"/>
      <c r="AI656" s="5"/>
      <c r="AJ656" s="5"/>
      <c r="AK656" s="5" t="s">
        <v>1471</v>
      </c>
    </row>
    <row r="657" spans="1:37" ht="15" hidden="1" customHeight="1">
      <c r="A657" s="50">
        <v>1002</v>
      </c>
      <c r="B657" s="111">
        <v>44995</v>
      </c>
      <c r="C657" s="29">
        <f>B657</f>
        <v>44995</v>
      </c>
      <c r="D657" s="8" t="s">
        <v>37</v>
      </c>
      <c r="E657" s="8" t="s">
        <v>136</v>
      </c>
      <c r="F657" s="5" t="str">
        <f>E657</f>
        <v>Utomo Aryowibowo</v>
      </c>
      <c r="G657" s="32" t="s">
        <v>1472</v>
      </c>
      <c r="H657" s="105">
        <v>44967</v>
      </c>
      <c r="I657" s="95">
        <v>5.6260000000000003</v>
      </c>
      <c r="J657" s="95">
        <v>5.798</v>
      </c>
      <c r="K657" s="95">
        <v>0</v>
      </c>
      <c r="L657" s="95">
        <v>2.4300000000000002</v>
      </c>
      <c r="M657" s="95">
        <v>0</v>
      </c>
      <c r="N657" s="95">
        <v>0</v>
      </c>
      <c r="O657" s="95">
        <v>0</v>
      </c>
      <c r="P657" s="95">
        <v>2.593</v>
      </c>
      <c r="Q657" s="95">
        <v>0</v>
      </c>
      <c r="R657" s="95">
        <v>0</v>
      </c>
      <c r="S657" s="95">
        <v>0</v>
      </c>
      <c r="T657" s="95">
        <v>0</v>
      </c>
      <c r="U657" s="95">
        <v>0</v>
      </c>
      <c r="V657" s="95">
        <v>0</v>
      </c>
      <c r="W657" s="95">
        <v>0</v>
      </c>
      <c r="X657" s="95">
        <v>0</v>
      </c>
      <c r="Y657" s="95">
        <v>0</v>
      </c>
      <c r="Z657" s="95"/>
      <c r="AA657" s="8"/>
      <c r="AB657" s="8"/>
      <c r="AC657" s="8"/>
      <c r="AD657" s="8"/>
      <c r="AE657" s="16"/>
      <c r="AF657" s="19"/>
      <c r="AG657" t="str">
        <f>VLOOKUP(OfficeForms.Table[[#This Row],[Nama Proyek]],'Nama Proyek'!$D$2:$G$29,4,0)</f>
        <v>-0.96849430,116.70188410</v>
      </c>
      <c r="AH657" s="5"/>
      <c r="AI657" s="5"/>
      <c r="AJ657" s="5"/>
      <c r="AK657" s="5" t="s">
        <v>1473</v>
      </c>
    </row>
    <row r="658" spans="1:37" ht="15" hidden="1" customHeight="1">
      <c r="A658">
        <v>1088</v>
      </c>
      <c r="B658" s="111">
        <v>44995</v>
      </c>
      <c r="C658" s="29">
        <f>B658</f>
        <v>44995</v>
      </c>
      <c r="D658" s="9" t="s">
        <v>37</v>
      </c>
      <c r="E658" s="9" t="s">
        <v>504</v>
      </c>
      <c r="F658" s="5" t="str">
        <f>E658</f>
        <v>Fathan Zul Waskito</v>
      </c>
      <c r="G658" s="9" t="s">
        <v>472</v>
      </c>
      <c r="H658" s="103">
        <v>44995</v>
      </c>
      <c r="I658" s="94">
        <v>52.017000000000003</v>
      </c>
      <c r="J658" s="94">
        <v>76.194999999999993</v>
      </c>
      <c r="K658" s="94">
        <v>1.234</v>
      </c>
      <c r="L658" s="94">
        <v>1.9E-2</v>
      </c>
      <c r="M658" s="94">
        <v>56.850999999999999</v>
      </c>
      <c r="N658" s="94">
        <v>8.0000000000000002E-3</v>
      </c>
      <c r="O658" s="94">
        <v>5.0830000000000002</v>
      </c>
      <c r="P658" s="94">
        <v>0.129</v>
      </c>
      <c r="Q658" s="94">
        <v>1.4470000000000001</v>
      </c>
      <c r="R658" s="94">
        <v>0</v>
      </c>
      <c r="S658" s="94">
        <v>5.94</v>
      </c>
      <c r="T658" s="94">
        <v>0</v>
      </c>
      <c r="U658" s="94">
        <v>0</v>
      </c>
      <c r="V658" s="94">
        <v>0</v>
      </c>
      <c r="W658" s="94">
        <v>0</v>
      </c>
      <c r="X658" s="94">
        <v>0</v>
      </c>
      <c r="Y658" s="94">
        <v>0</v>
      </c>
      <c r="Z658" s="94"/>
      <c r="AA658" s="9"/>
      <c r="AB658" s="9"/>
      <c r="AC658" s="9"/>
      <c r="AD658" s="9"/>
      <c r="AE658" s="12"/>
      <c r="AF658" s="19"/>
      <c r="AG658" t="str">
        <f>VLOOKUP(OfficeForms.Table[[#This Row],[Nama Proyek]],'Nama Proyek'!$D$2:$G$29,4,0)</f>
        <v>-8.29394978,112.00545006</v>
      </c>
      <c r="AH658" s="5"/>
      <c r="AI658" s="5"/>
      <c r="AJ658" s="5"/>
      <c r="AK658" s="5" t="s">
        <v>1474</v>
      </c>
    </row>
    <row r="659" spans="1:37" ht="15" hidden="1" customHeight="1">
      <c r="A659" s="30">
        <v>999</v>
      </c>
      <c r="B659" s="110">
        <v>44995</v>
      </c>
      <c r="C659" s="28">
        <f>B659</f>
        <v>44995</v>
      </c>
      <c r="D659" s="19" t="s">
        <v>37</v>
      </c>
      <c r="E659" s="19" t="s">
        <v>47</v>
      </c>
      <c r="F659" s="5" t="str">
        <f>E659</f>
        <v>Basuki Rahmat Hakim</v>
      </c>
      <c r="G659" s="59" t="s">
        <v>48</v>
      </c>
      <c r="H659" s="106">
        <v>45190</v>
      </c>
      <c r="I659" s="96">
        <v>80.41</v>
      </c>
      <c r="J659" s="96">
        <v>84.72</v>
      </c>
      <c r="K659" s="96">
        <v>0.11899999999999999</v>
      </c>
      <c r="L659" s="96">
        <v>77.709999999999994</v>
      </c>
      <c r="M659" s="96">
        <v>0</v>
      </c>
      <c r="N659" s="96">
        <v>0</v>
      </c>
      <c r="O659" s="96">
        <v>0</v>
      </c>
      <c r="P659" s="96">
        <v>0</v>
      </c>
      <c r="Q659" s="96">
        <v>0</v>
      </c>
      <c r="R659" s="96">
        <v>0.30499999999999999</v>
      </c>
      <c r="S659" s="96">
        <v>0</v>
      </c>
      <c r="T659" s="96">
        <v>0</v>
      </c>
      <c r="U659" s="96">
        <v>0</v>
      </c>
      <c r="V659" s="96">
        <v>0</v>
      </c>
      <c r="W659" s="96">
        <v>0</v>
      </c>
      <c r="X659" s="96">
        <v>0</v>
      </c>
      <c r="Y659" s="96">
        <v>0</v>
      </c>
      <c r="Z659" s="96"/>
      <c r="AA659" s="19"/>
      <c r="AB659" s="19"/>
      <c r="AC659" s="19"/>
      <c r="AD659" s="19"/>
      <c r="AE659" s="13"/>
      <c r="AF659" s="8"/>
      <c r="AG659" t="str">
        <f>VLOOKUP(OfficeForms.Table[[#This Row],[Nama Proyek]],'Nama Proyek'!$D$2:$G$29,4,0)</f>
        <v>3.76047575,115.89977678</v>
      </c>
      <c r="AH659" s="5"/>
      <c r="AI659" s="5"/>
      <c r="AJ659" s="5"/>
      <c r="AK659" s="5" t="s">
        <v>1475</v>
      </c>
    </row>
    <row r="660" spans="1:37" ht="15" hidden="1" customHeight="1">
      <c r="A660" s="31">
        <v>1056</v>
      </c>
      <c r="B660" s="111">
        <v>44995</v>
      </c>
      <c r="C660" s="29">
        <f>B660</f>
        <v>44995</v>
      </c>
      <c r="D660" s="9" t="s">
        <v>37</v>
      </c>
      <c r="E660" s="9" t="s">
        <v>109</v>
      </c>
      <c r="F660" s="5" t="str">
        <f>E660</f>
        <v>Muhamad Saifudin Ashari</v>
      </c>
      <c r="G660" s="9" t="s">
        <v>39</v>
      </c>
      <c r="H660" s="103">
        <v>45193</v>
      </c>
      <c r="I660" s="94">
        <v>97.942999999999998</v>
      </c>
      <c r="J660" s="94">
        <v>100</v>
      </c>
      <c r="K660" s="94">
        <v>100</v>
      </c>
      <c r="L660" s="94">
        <v>99.17</v>
      </c>
      <c r="M660" s="94">
        <v>99.778000000000006</v>
      </c>
      <c r="N660" s="94">
        <v>100</v>
      </c>
      <c r="O660" s="94">
        <v>84.840999999999994</v>
      </c>
      <c r="P660" s="94">
        <v>100</v>
      </c>
      <c r="Q660" s="94">
        <v>98.207999999999998</v>
      </c>
      <c r="R660" s="94">
        <v>98.539000000000001</v>
      </c>
      <c r="S660" s="94">
        <v>99.188000000000002</v>
      </c>
      <c r="T660" s="94">
        <v>100</v>
      </c>
      <c r="U660" s="94">
        <v>88.677000000000007</v>
      </c>
      <c r="V660" s="94">
        <v>79.509</v>
      </c>
      <c r="W660" s="94">
        <v>100</v>
      </c>
      <c r="X660" s="94">
        <v>31.001000000000001</v>
      </c>
      <c r="Y660" s="94">
        <v>82.734999999999999</v>
      </c>
      <c r="Z660" s="94"/>
      <c r="AA660" s="9"/>
      <c r="AB660" s="9"/>
      <c r="AC660" s="9"/>
      <c r="AD660" s="9"/>
      <c r="AE660" s="12"/>
      <c r="AF660" s="8"/>
      <c r="AG660" t="str">
        <f>VLOOKUP(OfficeForms.Table[[#This Row],[Nama Proyek]],'Nama Proyek'!$D$2:$G$29,4,0)</f>
        <v>-6.80675464,106.785366</v>
      </c>
      <c r="AH660" s="5"/>
      <c r="AI660" s="5"/>
      <c r="AJ660" s="5"/>
      <c r="AK660" s="5" t="s">
        <v>1476</v>
      </c>
    </row>
    <row r="661" spans="1:37" ht="15" hidden="1" customHeight="1">
      <c r="A661" s="31">
        <v>324</v>
      </c>
      <c r="B661" s="111">
        <v>44995</v>
      </c>
      <c r="C661" s="29">
        <f>B661</f>
        <v>44995</v>
      </c>
      <c r="D661" s="8" t="s">
        <v>37</v>
      </c>
      <c r="E661" s="8" t="s">
        <v>54</v>
      </c>
      <c r="F661" s="5" t="str">
        <f>E661</f>
        <v>Haryo Widiandoko</v>
      </c>
      <c r="G661" s="9" t="s">
        <v>55</v>
      </c>
      <c r="H661" s="102">
        <v>45194</v>
      </c>
      <c r="I661" s="95">
        <v>88.825999999999993</v>
      </c>
      <c r="J661" s="95">
        <v>91.49</v>
      </c>
      <c r="K661" s="95">
        <v>0.33100000000000002</v>
      </c>
      <c r="L661" s="95">
        <v>0.254</v>
      </c>
      <c r="M661" s="95">
        <v>31.916</v>
      </c>
      <c r="N661" s="95">
        <v>2.2090000000000001</v>
      </c>
      <c r="O661" s="95">
        <v>2.8929999999999998</v>
      </c>
      <c r="P661" s="95">
        <v>5.2999999999999999E-2</v>
      </c>
      <c r="Q661" s="95">
        <v>0.67500000000000004</v>
      </c>
      <c r="R661" s="95">
        <v>12.159000000000001</v>
      </c>
      <c r="S661" s="95">
        <v>33.56</v>
      </c>
      <c r="T661" s="95">
        <v>0.83099999999999996</v>
      </c>
      <c r="U661" s="95">
        <v>2.081</v>
      </c>
      <c r="V661" s="95">
        <v>0.19600000000000001</v>
      </c>
      <c r="W661" s="95">
        <v>0.316</v>
      </c>
      <c r="X661" s="95">
        <v>0.90200000000000002</v>
      </c>
      <c r="Y661" s="95">
        <v>0</v>
      </c>
      <c r="Z661" s="95"/>
      <c r="AA661" s="8"/>
      <c r="AB661" s="8"/>
      <c r="AC661" s="8"/>
      <c r="AD661" s="8"/>
      <c r="AE661" s="11"/>
      <c r="AF661" s="19" t="s">
        <v>1477</v>
      </c>
      <c r="AG661" t="str">
        <f>VLOOKUP(OfficeForms.Table[[#This Row],[Nama Proyek]],'Nama Proyek'!$D$2:$G$29,4,0)</f>
        <v>-6.42873464,107.19897003</v>
      </c>
      <c r="AH661" s="5"/>
      <c r="AI661" s="5"/>
      <c r="AJ661" s="5"/>
      <c r="AK661" s="5" t="s">
        <v>1478</v>
      </c>
    </row>
    <row r="662" spans="1:37" ht="15" hidden="1" customHeight="1">
      <c r="A662">
        <v>1000</v>
      </c>
      <c r="B662" s="111">
        <v>44995</v>
      </c>
      <c r="C662" s="29">
        <f>B662</f>
        <v>44995</v>
      </c>
      <c r="D662" s="8" t="s">
        <v>37</v>
      </c>
      <c r="E662" s="8" t="s">
        <v>1479</v>
      </c>
      <c r="F662" s="5" t="str">
        <f>E662</f>
        <v>Fian Aziz</v>
      </c>
      <c r="G662" s="39" t="s">
        <v>1480</v>
      </c>
      <c r="H662" s="105">
        <v>45194</v>
      </c>
      <c r="I662" s="95">
        <v>12.862</v>
      </c>
      <c r="J662" s="95">
        <v>9.1050000000000004</v>
      </c>
      <c r="K662" s="95">
        <v>0</v>
      </c>
      <c r="L662" s="95">
        <v>0</v>
      </c>
      <c r="M662" s="95">
        <v>0</v>
      </c>
      <c r="N662" s="95">
        <v>0</v>
      </c>
      <c r="O662" s="95">
        <v>0</v>
      </c>
      <c r="P662" s="95">
        <v>0</v>
      </c>
      <c r="Q662" s="95">
        <v>0</v>
      </c>
      <c r="R662" s="95">
        <v>0</v>
      </c>
      <c r="S662" s="95">
        <v>0</v>
      </c>
      <c r="T662" s="95">
        <v>0</v>
      </c>
      <c r="U662" s="95">
        <v>0</v>
      </c>
      <c r="V662" s="95">
        <v>0</v>
      </c>
      <c r="W662" s="95">
        <v>0</v>
      </c>
      <c r="X662" s="95">
        <v>0</v>
      </c>
      <c r="Y662" s="95">
        <v>0</v>
      </c>
      <c r="Z662" s="95"/>
      <c r="AA662" s="8"/>
      <c r="AB662" s="8"/>
      <c r="AC662" s="8"/>
      <c r="AD662" s="8"/>
      <c r="AE662" s="11"/>
      <c r="AF662" s="48" t="s">
        <v>1481</v>
      </c>
      <c r="AG662" t="str">
        <f>VLOOKUP(OfficeForms.Table[[#This Row],[Nama Proyek]],'Nama Proyek'!$D$2:$G$29,4,0)</f>
        <v>-6.23191260,107.90813480</v>
      </c>
      <c r="AH662" s="5"/>
      <c r="AI662" s="5"/>
      <c r="AJ662" s="5"/>
      <c r="AK662" s="5" t="s">
        <v>1482</v>
      </c>
    </row>
    <row r="663" spans="1:37" ht="15" hidden="1" customHeight="1">
      <c r="A663">
        <v>982</v>
      </c>
      <c r="B663" s="111">
        <v>44995</v>
      </c>
      <c r="C663" s="29">
        <f>B663</f>
        <v>44995</v>
      </c>
      <c r="D663" s="9" t="s">
        <v>37</v>
      </c>
      <c r="E663" s="9" t="s">
        <v>1282</v>
      </c>
      <c r="F663" s="5" t="s">
        <v>1282</v>
      </c>
      <c r="G663" s="54" t="s">
        <v>989</v>
      </c>
      <c r="H663" s="103">
        <v>45200</v>
      </c>
      <c r="I663" s="94">
        <v>11.249000000000001</v>
      </c>
      <c r="J663" s="94">
        <v>12.028</v>
      </c>
      <c r="K663" s="94">
        <v>0.373</v>
      </c>
      <c r="L663" s="94">
        <v>0</v>
      </c>
      <c r="M663" s="94">
        <v>5.19</v>
      </c>
      <c r="N663" s="94">
        <v>3.5999999999999997E-2</v>
      </c>
      <c r="O663" s="94">
        <v>0</v>
      </c>
      <c r="P663" s="94">
        <v>9.2999999999999999E-2</v>
      </c>
      <c r="Q663" s="94">
        <v>0.42399999999999999</v>
      </c>
      <c r="R663" s="94">
        <v>7.1999999999999995E-2</v>
      </c>
      <c r="S663" s="94">
        <v>2.8809999999999998</v>
      </c>
      <c r="T663" s="94">
        <v>0</v>
      </c>
      <c r="U663" s="94">
        <v>0.01</v>
      </c>
      <c r="V663" s="94">
        <v>0</v>
      </c>
      <c r="W663" s="94">
        <v>0</v>
      </c>
      <c r="X663" s="94">
        <v>0</v>
      </c>
      <c r="Y663" s="94">
        <v>0</v>
      </c>
      <c r="Z663" s="94"/>
      <c r="AA663" s="9"/>
      <c r="AB663" s="9"/>
      <c r="AC663" s="9"/>
      <c r="AD663" s="9"/>
      <c r="AE663" s="18"/>
      <c r="AF663" s="19"/>
      <c r="AG663" t="str">
        <f>VLOOKUP(OfficeForms.Table[[#This Row],[Nama Proyek]],'Nama Proyek'!$D$2:$G$29,4,0)</f>
        <v>-1.98399270,103.7135193</v>
      </c>
      <c r="AH663" s="5"/>
      <c r="AI663" s="5"/>
      <c r="AJ663" s="5"/>
      <c r="AK663" s="5" t="s">
        <v>1483</v>
      </c>
    </row>
    <row r="664" spans="1:37" ht="15" hidden="1" customHeight="1">
      <c r="A664" s="31">
        <v>564</v>
      </c>
      <c r="B664" s="111">
        <v>44995</v>
      </c>
      <c r="C664" s="29">
        <f>B664</f>
        <v>44995</v>
      </c>
      <c r="D664" s="9" t="s">
        <v>37</v>
      </c>
      <c r="E664" s="9" t="s">
        <v>57</v>
      </c>
      <c r="F664" s="5" t="str">
        <f>E664</f>
        <v>Alfian Budi Prasetya</v>
      </c>
      <c r="G664" s="9" t="s">
        <v>1484</v>
      </c>
      <c r="H664" s="103"/>
      <c r="I664" s="94">
        <v>0</v>
      </c>
      <c r="J664" s="94">
        <v>0</v>
      </c>
      <c r="K664" s="94">
        <v>0</v>
      </c>
      <c r="L664" s="94">
        <v>0</v>
      </c>
      <c r="M664" s="94">
        <v>0</v>
      </c>
      <c r="N664" s="94">
        <v>0</v>
      </c>
      <c r="O664" s="94">
        <v>0</v>
      </c>
      <c r="P664" s="94">
        <v>0</v>
      </c>
      <c r="Q664" s="94">
        <v>0</v>
      </c>
      <c r="R664" s="94">
        <v>0</v>
      </c>
      <c r="S664" s="94">
        <v>0</v>
      </c>
      <c r="T664" s="94">
        <v>0</v>
      </c>
      <c r="U664" s="94">
        <v>0</v>
      </c>
      <c r="V664" s="94">
        <v>0</v>
      </c>
      <c r="W664" s="94">
        <v>0</v>
      </c>
      <c r="X664" s="94">
        <v>0</v>
      </c>
      <c r="Y664" s="94">
        <v>0</v>
      </c>
      <c r="Z664" s="94"/>
      <c r="AA664" s="9"/>
      <c r="AB664" s="9"/>
      <c r="AC664" s="9"/>
      <c r="AD664" s="9"/>
      <c r="AE664" s="12"/>
      <c r="AF664" s="15"/>
      <c r="AG664" t="str">
        <f>VLOOKUP(OfficeForms.Table[[#This Row],[Nama Proyek]],'Nama Proyek'!$D$2:$G$29,4,0)</f>
        <v>-8.01003300,110.33312900</v>
      </c>
      <c r="AH664" s="5"/>
      <c r="AI664" s="5"/>
      <c r="AJ664" s="5"/>
      <c r="AK664" s="5" t="s">
        <v>1485</v>
      </c>
    </row>
    <row r="665" spans="1:37" ht="15" hidden="1" customHeight="1">
      <c r="A665" s="31">
        <v>628</v>
      </c>
      <c r="B665" s="111">
        <v>44995</v>
      </c>
      <c r="C665" s="29">
        <f>B665</f>
        <v>44995</v>
      </c>
      <c r="D665" s="8" t="s">
        <v>37</v>
      </c>
      <c r="E665" s="8" t="s">
        <v>109</v>
      </c>
      <c r="F665" s="5" t="str">
        <f>E665</f>
        <v>Muhamad Saifudin Ashari</v>
      </c>
      <c r="G665" s="9" t="s">
        <v>39</v>
      </c>
      <c r="H665" s="105"/>
      <c r="I665" s="95">
        <v>0</v>
      </c>
      <c r="J665" s="95">
        <v>0</v>
      </c>
      <c r="K665" s="95">
        <v>0</v>
      </c>
      <c r="L665" s="95">
        <v>0</v>
      </c>
      <c r="M665" s="95">
        <v>0</v>
      </c>
      <c r="N665" s="95">
        <v>0</v>
      </c>
      <c r="O665" s="95">
        <v>0</v>
      </c>
      <c r="P665" s="95">
        <v>0</v>
      </c>
      <c r="Q665" s="95">
        <v>0</v>
      </c>
      <c r="R665" s="95">
        <v>0</v>
      </c>
      <c r="S665" s="95">
        <v>0</v>
      </c>
      <c r="T665" s="95">
        <v>0</v>
      </c>
      <c r="U665" s="95">
        <v>0</v>
      </c>
      <c r="V665" s="95">
        <v>0</v>
      </c>
      <c r="W665" s="95">
        <v>0</v>
      </c>
      <c r="X665" s="95">
        <v>0</v>
      </c>
      <c r="Y665" s="95">
        <v>0</v>
      </c>
      <c r="Z665" s="95"/>
      <c r="AA665" s="8"/>
      <c r="AB665" s="8"/>
      <c r="AC665" s="8"/>
      <c r="AD665" s="15"/>
      <c r="AE665" s="16" t="s">
        <v>1312</v>
      </c>
      <c r="AF665" s="42"/>
      <c r="AG665" t="str">
        <f>VLOOKUP(OfficeForms.Table[[#This Row],[Nama Proyek]],'Nama Proyek'!$D$2:$G$29,4,0)</f>
        <v>-6.80675464,106.785366</v>
      </c>
      <c r="AH665" s="5"/>
      <c r="AI665" s="5"/>
      <c r="AJ665" s="5"/>
      <c r="AK665" s="5" t="s">
        <v>1486</v>
      </c>
    </row>
    <row r="666" spans="1:37" ht="15" hidden="1" customHeight="1">
      <c r="A666" s="30">
        <v>693</v>
      </c>
      <c r="B666" s="110">
        <v>44995</v>
      </c>
      <c r="C666" s="28">
        <f>B666</f>
        <v>44995</v>
      </c>
      <c r="D666" s="8" t="s">
        <v>37</v>
      </c>
      <c r="E666" s="8" t="s">
        <v>109</v>
      </c>
      <c r="F666" s="5" t="str">
        <f>E666</f>
        <v>Muhamad Saifudin Ashari</v>
      </c>
      <c r="G666" s="19" t="s">
        <v>39</v>
      </c>
      <c r="H666" s="102"/>
      <c r="I666" s="95">
        <v>0</v>
      </c>
      <c r="J666" s="95">
        <v>0</v>
      </c>
      <c r="K666" s="95">
        <v>0</v>
      </c>
      <c r="L666" s="95">
        <v>0</v>
      </c>
      <c r="M666" s="95">
        <v>0</v>
      </c>
      <c r="N666" s="95">
        <v>0</v>
      </c>
      <c r="O666" s="95">
        <v>0</v>
      </c>
      <c r="P666" s="95">
        <v>0</v>
      </c>
      <c r="Q666" s="95">
        <v>0</v>
      </c>
      <c r="R666" s="95">
        <v>0</v>
      </c>
      <c r="S666" s="95">
        <v>0</v>
      </c>
      <c r="T666" s="95">
        <v>0</v>
      </c>
      <c r="U666" s="95">
        <v>0</v>
      </c>
      <c r="V666" s="95">
        <v>0</v>
      </c>
      <c r="W666" s="95">
        <v>0</v>
      </c>
      <c r="X666" s="95">
        <v>0</v>
      </c>
      <c r="Y666" s="95">
        <v>0</v>
      </c>
      <c r="Z666" s="95"/>
      <c r="AA666" s="8" t="s">
        <v>1487</v>
      </c>
      <c r="AB666" s="8" t="s">
        <v>1488</v>
      </c>
      <c r="AC666" s="8" t="s">
        <v>1489</v>
      </c>
      <c r="AD666" s="8" t="s">
        <v>1489</v>
      </c>
      <c r="AE666" s="16"/>
      <c r="AF666" s="9"/>
      <c r="AG666" t="str">
        <f>VLOOKUP(OfficeForms.Table[[#This Row],[Nama Proyek]],'Nama Proyek'!$D$2:$G$29,4,0)</f>
        <v>-6.80675464,106.785366</v>
      </c>
      <c r="AH666" s="5"/>
      <c r="AI666" s="5"/>
      <c r="AJ666" s="5"/>
      <c r="AK666" s="5" t="s">
        <v>1490</v>
      </c>
    </row>
    <row r="667" spans="1:37" ht="15" hidden="1" customHeight="1">
      <c r="A667">
        <v>715</v>
      </c>
      <c r="B667" s="110">
        <v>44995</v>
      </c>
      <c r="C667" s="28">
        <f>B667</f>
        <v>44995</v>
      </c>
      <c r="D667" s="8" t="s">
        <v>37</v>
      </c>
      <c r="E667" s="8" t="s">
        <v>504</v>
      </c>
      <c r="F667" s="5" t="s">
        <v>504</v>
      </c>
      <c r="G667" s="19" t="s">
        <v>472</v>
      </c>
      <c r="H667" s="105"/>
      <c r="I667" s="95">
        <v>0</v>
      </c>
      <c r="J667" s="95">
        <v>0</v>
      </c>
      <c r="K667" s="95">
        <v>0</v>
      </c>
      <c r="L667" s="95">
        <v>0</v>
      </c>
      <c r="M667" s="95">
        <v>0</v>
      </c>
      <c r="N667" s="95">
        <v>0</v>
      </c>
      <c r="O667" s="95">
        <v>0</v>
      </c>
      <c r="P667" s="95">
        <v>0</v>
      </c>
      <c r="Q667" s="95">
        <v>0</v>
      </c>
      <c r="R667" s="95">
        <v>0</v>
      </c>
      <c r="S667" s="95">
        <v>0</v>
      </c>
      <c r="T667" s="95">
        <v>0</v>
      </c>
      <c r="U667" s="95">
        <v>0</v>
      </c>
      <c r="V667" s="95">
        <v>0</v>
      </c>
      <c r="W667" s="95">
        <v>0</v>
      </c>
      <c r="X667" s="95">
        <v>0</v>
      </c>
      <c r="Y667" s="95">
        <v>0</v>
      </c>
      <c r="Z667" s="95"/>
      <c r="AA667" s="8"/>
      <c r="AB667" s="8"/>
      <c r="AC667" s="8"/>
      <c r="AD667" s="8"/>
      <c r="AE667" s="11" t="s">
        <v>1491</v>
      </c>
      <c r="AF667" s="8"/>
      <c r="AG667" t="str">
        <f>VLOOKUP(OfficeForms.Table[[#This Row],[Nama Proyek]],'Nama Proyek'!$D$2:$G$29,4,0)</f>
        <v>-8.29394978,112.00545006</v>
      </c>
      <c r="AH667" s="5"/>
      <c r="AI667" s="5"/>
      <c r="AJ667" s="5"/>
      <c r="AK667" s="5" t="s">
        <v>1492</v>
      </c>
    </row>
    <row r="668" spans="1:37" ht="15" hidden="1" customHeight="1">
      <c r="A668">
        <v>717</v>
      </c>
      <c r="B668" s="110">
        <v>44995</v>
      </c>
      <c r="C668" s="28">
        <f>B668</f>
        <v>44995</v>
      </c>
      <c r="D668" s="19" t="s">
        <v>37</v>
      </c>
      <c r="E668" s="19" t="s">
        <v>504</v>
      </c>
      <c r="F668" s="5" t="s">
        <v>504</v>
      </c>
      <c r="G668" s="19" t="s">
        <v>472</v>
      </c>
      <c r="H668" s="101"/>
      <c r="I668" s="96">
        <v>0</v>
      </c>
      <c r="J668" s="96">
        <v>0</v>
      </c>
      <c r="K668" s="96">
        <v>0</v>
      </c>
      <c r="L668" s="96">
        <v>0</v>
      </c>
      <c r="M668" s="96">
        <v>0</v>
      </c>
      <c r="N668" s="96">
        <v>0</v>
      </c>
      <c r="O668" s="96">
        <v>0</v>
      </c>
      <c r="P668" s="96">
        <v>0</v>
      </c>
      <c r="Q668" s="96">
        <v>0</v>
      </c>
      <c r="R668" s="96">
        <v>0</v>
      </c>
      <c r="S668" s="96">
        <v>0</v>
      </c>
      <c r="T668" s="96">
        <v>0</v>
      </c>
      <c r="U668" s="96">
        <v>0</v>
      </c>
      <c r="V668" s="96">
        <v>0</v>
      </c>
      <c r="W668" s="96">
        <v>0</v>
      </c>
      <c r="X668" s="96">
        <v>0</v>
      </c>
      <c r="Y668" s="96">
        <v>0</v>
      </c>
      <c r="Z668" s="96"/>
      <c r="AA668" s="19"/>
      <c r="AB668" s="19"/>
      <c r="AC668" s="19"/>
      <c r="AD668" s="19"/>
      <c r="AE668" s="13" t="s">
        <v>1493</v>
      </c>
      <c r="AF668" s="9" t="s">
        <v>1494</v>
      </c>
      <c r="AG668" t="str">
        <f>VLOOKUP(OfficeForms.Table[[#This Row],[Nama Proyek]],'Nama Proyek'!$D$2:$G$29,4,0)</f>
        <v>-8.29394978,112.00545006</v>
      </c>
      <c r="AH668" s="5"/>
      <c r="AI668" s="5"/>
      <c r="AJ668" s="5"/>
      <c r="AK668" s="5" t="s">
        <v>1495</v>
      </c>
    </row>
    <row r="669" spans="1:37" ht="15" hidden="1" customHeight="1">
      <c r="A669" s="31">
        <v>719</v>
      </c>
      <c r="B669" s="110">
        <v>44995</v>
      </c>
      <c r="C669" s="28">
        <f>B669</f>
        <v>44995</v>
      </c>
      <c r="D669" s="8" t="s">
        <v>37</v>
      </c>
      <c r="E669" s="8" t="s">
        <v>504</v>
      </c>
      <c r="F669" s="5" t="s">
        <v>504</v>
      </c>
      <c r="G669" s="19" t="s">
        <v>472</v>
      </c>
      <c r="H669" s="105"/>
      <c r="I669" s="95">
        <v>0</v>
      </c>
      <c r="J669" s="95">
        <v>0</v>
      </c>
      <c r="K669" s="95">
        <v>0</v>
      </c>
      <c r="L669" s="95">
        <v>0</v>
      </c>
      <c r="M669" s="95">
        <v>0</v>
      </c>
      <c r="N669" s="95">
        <v>0</v>
      </c>
      <c r="O669" s="95">
        <v>0</v>
      </c>
      <c r="P669" s="95">
        <v>0</v>
      </c>
      <c r="Q669" s="95">
        <v>0</v>
      </c>
      <c r="R669" s="95">
        <v>0</v>
      </c>
      <c r="S669" s="95">
        <v>0</v>
      </c>
      <c r="T669" s="95">
        <v>0</v>
      </c>
      <c r="U669" s="95">
        <v>0</v>
      </c>
      <c r="V669" s="95">
        <v>0</v>
      </c>
      <c r="W669" s="95">
        <v>0</v>
      </c>
      <c r="X669" s="95">
        <v>0</v>
      </c>
      <c r="Y669" s="95">
        <v>0</v>
      </c>
      <c r="Z669" s="95"/>
      <c r="AA669" s="8" t="s">
        <v>1496</v>
      </c>
      <c r="AB669" s="8" t="s">
        <v>624</v>
      </c>
      <c r="AC669" s="8" t="s">
        <v>674</v>
      </c>
      <c r="AD669" s="8" t="s">
        <v>674</v>
      </c>
      <c r="AE669" s="11"/>
      <c r="AF669" s="9"/>
      <c r="AG669" t="str">
        <f>VLOOKUP(OfficeForms.Table[[#This Row],[Nama Proyek]],'Nama Proyek'!$D$2:$G$29,4,0)</f>
        <v>-8.29394978,112.00545006</v>
      </c>
      <c r="AH669" s="5"/>
      <c r="AI669" s="5"/>
      <c r="AJ669" s="5"/>
      <c r="AK669" s="5" t="s">
        <v>1497</v>
      </c>
    </row>
    <row r="670" spans="1:37" ht="15" hidden="1" customHeight="1">
      <c r="A670" s="50">
        <v>984</v>
      </c>
      <c r="B670" s="111">
        <v>44995</v>
      </c>
      <c r="C670" s="29">
        <f>B670</f>
        <v>44995</v>
      </c>
      <c r="D670" s="8" t="s">
        <v>37</v>
      </c>
      <c r="E670" s="8" t="s">
        <v>1282</v>
      </c>
      <c r="F670" s="5" t="str">
        <f>E670</f>
        <v>Achmad Rival Setyawan, S.T</v>
      </c>
      <c r="G670" s="52" t="s">
        <v>989</v>
      </c>
      <c r="H670" s="105"/>
      <c r="I670" s="95">
        <v>0</v>
      </c>
      <c r="J670" s="95">
        <v>0</v>
      </c>
      <c r="K670" s="95">
        <v>0</v>
      </c>
      <c r="L670" s="95">
        <v>0</v>
      </c>
      <c r="M670" s="95">
        <v>0</v>
      </c>
      <c r="N670" s="95">
        <v>0</v>
      </c>
      <c r="O670" s="95">
        <v>0</v>
      </c>
      <c r="P670" s="95">
        <v>0</v>
      </c>
      <c r="Q670" s="95">
        <v>0</v>
      </c>
      <c r="R670" s="95">
        <v>0</v>
      </c>
      <c r="S670" s="95">
        <v>0</v>
      </c>
      <c r="T670" s="95">
        <v>0</v>
      </c>
      <c r="U670" s="95">
        <v>0</v>
      </c>
      <c r="V670" s="95">
        <v>0</v>
      </c>
      <c r="W670" s="95">
        <v>0</v>
      </c>
      <c r="X670" s="95">
        <v>0</v>
      </c>
      <c r="Y670" s="95">
        <v>0</v>
      </c>
      <c r="Z670" s="95"/>
      <c r="AA670" s="8"/>
      <c r="AB670" s="8"/>
      <c r="AC670" s="8"/>
      <c r="AD670" s="8"/>
      <c r="AE670" s="11" t="s">
        <v>1498</v>
      </c>
      <c r="AF670" s="8"/>
      <c r="AG670" t="str">
        <f>VLOOKUP(OfficeForms.Table[[#This Row],[Nama Proyek]],'Nama Proyek'!$D$2:$G$29,4,0)</f>
        <v>-1.98399270,103.7135193</v>
      </c>
      <c r="AH670" s="5"/>
      <c r="AI670" s="5"/>
      <c r="AJ670" s="5"/>
      <c r="AK670" s="5" t="s">
        <v>1499</v>
      </c>
    </row>
    <row r="671" spans="1:37" ht="15" hidden="1" customHeight="1">
      <c r="A671">
        <v>987</v>
      </c>
      <c r="B671" s="110">
        <v>44995</v>
      </c>
      <c r="C671" s="28">
        <f>B671</f>
        <v>44995</v>
      </c>
      <c r="D671" s="19" t="s">
        <v>37</v>
      </c>
      <c r="E671" s="19" t="s">
        <v>57</v>
      </c>
      <c r="F671" s="5" t="str">
        <f>E671</f>
        <v>Alfian Budi Prasetya</v>
      </c>
      <c r="G671" s="38" t="s">
        <v>1484</v>
      </c>
      <c r="H671" s="101"/>
      <c r="I671" s="96">
        <v>0</v>
      </c>
      <c r="J671" s="96">
        <v>0</v>
      </c>
      <c r="K671" s="96">
        <v>0</v>
      </c>
      <c r="L671" s="96">
        <v>0</v>
      </c>
      <c r="M671" s="96">
        <v>0</v>
      </c>
      <c r="N671" s="96">
        <v>0</v>
      </c>
      <c r="O671" s="96">
        <v>0</v>
      </c>
      <c r="P671" s="96">
        <v>0</v>
      </c>
      <c r="Q671" s="96">
        <v>0</v>
      </c>
      <c r="R671" s="96">
        <v>0</v>
      </c>
      <c r="S671" s="96">
        <v>0</v>
      </c>
      <c r="T671" s="96">
        <v>0</v>
      </c>
      <c r="U671" s="96">
        <v>0</v>
      </c>
      <c r="V671" s="96">
        <v>0</v>
      </c>
      <c r="W671" s="96">
        <v>0</v>
      </c>
      <c r="X671" s="96">
        <v>0</v>
      </c>
      <c r="Y671" s="96">
        <v>0</v>
      </c>
      <c r="Z671" s="96"/>
      <c r="AA671" s="19"/>
      <c r="AB671" s="19"/>
      <c r="AC671" s="19"/>
      <c r="AD671" s="19"/>
      <c r="AE671" s="13">
        <v>44965</v>
      </c>
      <c r="AF671" s="9"/>
      <c r="AG671" t="str">
        <f>VLOOKUP(OfficeForms.Table[[#This Row],[Nama Proyek]],'Nama Proyek'!$D$2:$G$29,4,0)</f>
        <v>-8.01003300,110.33312900</v>
      </c>
      <c r="AH671" s="5"/>
      <c r="AI671" s="5"/>
      <c r="AJ671" s="5"/>
      <c r="AK671" s="5" t="s">
        <v>1500</v>
      </c>
    </row>
    <row r="672" spans="1:37" ht="15" hidden="1" customHeight="1">
      <c r="A672" s="31">
        <v>990</v>
      </c>
      <c r="B672" s="111">
        <v>44995</v>
      </c>
      <c r="C672" s="29">
        <f>B672</f>
        <v>44995</v>
      </c>
      <c r="D672" s="9" t="s">
        <v>37</v>
      </c>
      <c r="E672" s="9" t="s">
        <v>54</v>
      </c>
      <c r="F672" s="5" t="str">
        <f>E672</f>
        <v>Haryo Widiandoko</v>
      </c>
      <c r="G672" s="9" t="s">
        <v>55</v>
      </c>
      <c r="H672" s="103"/>
      <c r="I672" s="94">
        <v>0</v>
      </c>
      <c r="J672" s="94">
        <v>0</v>
      </c>
      <c r="K672" s="94">
        <v>0</v>
      </c>
      <c r="L672" s="94">
        <v>0</v>
      </c>
      <c r="M672" s="94">
        <v>0</v>
      </c>
      <c r="N672" s="94">
        <v>0</v>
      </c>
      <c r="O672" s="94">
        <v>0</v>
      </c>
      <c r="P672" s="94">
        <v>0</v>
      </c>
      <c r="Q672" s="94">
        <v>0</v>
      </c>
      <c r="R672" s="94">
        <v>0</v>
      </c>
      <c r="S672" s="94">
        <v>0</v>
      </c>
      <c r="T672" s="94">
        <v>0</v>
      </c>
      <c r="U672" s="94">
        <v>0</v>
      </c>
      <c r="V672" s="94">
        <v>0</v>
      </c>
      <c r="W672" s="94">
        <v>0</v>
      </c>
      <c r="X672" s="94">
        <v>0</v>
      </c>
      <c r="Y672" s="94">
        <v>0</v>
      </c>
      <c r="Z672" s="94"/>
      <c r="AA672" s="9" t="s">
        <v>1501</v>
      </c>
      <c r="AB672" s="9" t="s">
        <v>1501</v>
      </c>
      <c r="AC672" s="9" t="s">
        <v>1269</v>
      </c>
      <c r="AD672" s="9" t="s">
        <v>1269</v>
      </c>
      <c r="AE672" s="12"/>
      <c r="AF672" s="8" t="s">
        <v>1502</v>
      </c>
      <c r="AG672" t="str">
        <f>VLOOKUP(OfficeForms.Table[[#This Row],[Nama Proyek]],'Nama Proyek'!$D$2:$G$29,4,0)</f>
        <v>-6.42873464,107.19897003</v>
      </c>
      <c r="AH672" s="5"/>
      <c r="AI672" s="5"/>
      <c r="AJ672" s="5"/>
      <c r="AK672" s="5" t="s">
        <v>1503</v>
      </c>
    </row>
    <row r="673" spans="1:37" ht="15" hidden="1" customHeight="1">
      <c r="A673" s="31">
        <v>991</v>
      </c>
      <c r="B673" s="110">
        <v>44995</v>
      </c>
      <c r="C673" s="28">
        <f>B673</f>
        <v>44995</v>
      </c>
      <c r="D673" s="8" t="s">
        <v>37</v>
      </c>
      <c r="E673" s="8" t="s">
        <v>54</v>
      </c>
      <c r="F673" s="5" t="str">
        <f>E673</f>
        <v>Haryo Widiandoko</v>
      </c>
      <c r="G673" s="19" t="s">
        <v>55</v>
      </c>
      <c r="H673" s="102"/>
      <c r="I673" s="95">
        <v>0</v>
      </c>
      <c r="J673" s="95">
        <v>0</v>
      </c>
      <c r="K673" s="95">
        <v>0</v>
      </c>
      <c r="L673" s="95">
        <v>0</v>
      </c>
      <c r="M673" s="95">
        <v>0</v>
      </c>
      <c r="N673" s="95">
        <v>0</v>
      </c>
      <c r="O673" s="95">
        <v>0</v>
      </c>
      <c r="P673" s="95">
        <v>0</v>
      </c>
      <c r="Q673" s="95">
        <v>0</v>
      </c>
      <c r="R673" s="95">
        <v>0</v>
      </c>
      <c r="S673" s="95">
        <v>0</v>
      </c>
      <c r="T673" s="95">
        <v>0</v>
      </c>
      <c r="U673" s="95">
        <v>0</v>
      </c>
      <c r="V673" s="95">
        <v>0</v>
      </c>
      <c r="W673" s="95">
        <v>0</v>
      </c>
      <c r="X673" s="95">
        <v>0</v>
      </c>
      <c r="Y673" s="95">
        <v>0</v>
      </c>
      <c r="Z673" s="95"/>
      <c r="AA673" s="8"/>
      <c r="AB673" s="8"/>
      <c r="AC673" s="8"/>
      <c r="AD673" s="8"/>
      <c r="AE673" s="11">
        <v>44935</v>
      </c>
      <c r="AF673" s="9"/>
      <c r="AG673" t="str">
        <f>VLOOKUP(OfficeForms.Table[[#This Row],[Nama Proyek]],'Nama Proyek'!$D$2:$G$29,4,0)</f>
        <v>-6.42873464,107.19897003</v>
      </c>
      <c r="AH673" s="5"/>
      <c r="AI673" s="5"/>
      <c r="AJ673" s="5"/>
      <c r="AK673" s="5" t="s">
        <v>1504</v>
      </c>
    </row>
    <row r="674" spans="1:37" ht="15" hidden="1" customHeight="1">
      <c r="A674" s="31">
        <v>993</v>
      </c>
      <c r="B674" s="110">
        <v>44995</v>
      </c>
      <c r="C674" s="28">
        <f>B674</f>
        <v>44995</v>
      </c>
      <c r="D674" s="19" t="s">
        <v>37</v>
      </c>
      <c r="E674" s="19" t="s">
        <v>57</v>
      </c>
      <c r="F674" s="5" t="str">
        <f>E674</f>
        <v>Alfian Budi Prasetya</v>
      </c>
      <c r="G674" s="38" t="s">
        <v>1484</v>
      </c>
      <c r="H674" s="101"/>
      <c r="I674" s="96">
        <v>0</v>
      </c>
      <c r="J674" s="96">
        <v>0</v>
      </c>
      <c r="K674" s="96">
        <v>0</v>
      </c>
      <c r="L674" s="96">
        <v>0</v>
      </c>
      <c r="M674" s="96">
        <v>0</v>
      </c>
      <c r="N674" s="96">
        <v>0</v>
      </c>
      <c r="O674" s="96">
        <v>0</v>
      </c>
      <c r="P674" s="96">
        <v>0</v>
      </c>
      <c r="Q674" s="96">
        <v>0</v>
      </c>
      <c r="R674" s="96">
        <v>0</v>
      </c>
      <c r="S674" s="96">
        <v>0</v>
      </c>
      <c r="T674" s="96">
        <v>0</v>
      </c>
      <c r="U674" s="96">
        <v>0</v>
      </c>
      <c r="V674" s="96">
        <v>0</v>
      </c>
      <c r="W674" s="96">
        <v>0</v>
      </c>
      <c r="X674" s="96">
        <v>0</v>
      </c>
      <c r="Y674" s="96">
        <v>0</v>
      </c>
      <c r="Z674" s="96"/>
      <c r="AA674" s="19" t="s">
        <v>1505</v>
      </c>
      <c r="AB674" s="19" t="s">
        <v>1505</v>
      </c>
      <c r="AC674" s="19"/>
      <c r="AD674" s="19"/>
      <c r="AE674" s="13"/>
      <c r="AF674" s="8"/>
      <c r="AG674" t="str">
        <f>VLOOKUP(OfficeForms.Table[[#This Row],[Nama Proyek]],'Nama Proyek'!$D$2:$G$29,4,0)</f>
        <v>-8.01003300,110.33312900</v>
      </c>
      <c r="AH674" s="5"/>
      <c r="AI674" s="5"/>
      <c r="AJ674" s="5"/>
      <c r="AK674" s="5" t="s">
        <v>1506</v>
      </c>
    </row>
    <row r="675" spans="1:37" ht="15" hidden="1" customHeight="1">
      <c r="A675" s="50">
        <v>994</v>
      </c>
      <c r="B675" s="111">
        <v>44995</v>
      </c>
      <c r="C675" s="29">
        <f>B675</f>
        <v>44995</v>
      </c>
      <c r="D675" s="8" t="s">
        <v>37</v>
      </c>
      <c r="E675" s="8" t="s">
        <v>79</v>
      </c>
      <c r="F675" s="5" t="str">
        <f>E675</f>
        <v>Fajar Sodiq Febriansyah</v>
      </c>
      <c r="G675" s="9" t="s">
        <v>1317</v>
      </c>
      <c r="H675" s="102"/>
      <c r="I675" s="95">
        <v>0</v>
      </c>
      <c r="J675" s="95">
        <v>0</v>
      </c>
      <c r="K675" s="95">
        <v>0</v>
      </c>
      <c r="L675" s="95">
        <v>0</v>
      </c>
      <c r="M675" s="95">
        <v>0</v>
      </c>
      <c r="N675" s="95">
        <v>0</v>
      </c>
      <c r="O675" s="95">
        <v>0</v>
      </c>
      <c r="P675" s="95">
        <v>0</v>
      </c>
      <c r="Q675" s="95">
        <v>0</v>
      </c>
      <c r="R675" s="95">
        <v>0</v>
      </c>
      <c r="S675" s="95">
        <v>0</v>
      </c>
      <c r="T675" s="95">
        <v>0</v>
      </c>
      <c r="U675" s="95">
        <v>0</v>
      </c>
      <c r="V675" s="95">
        <v>0</v>
      </c>
      <c r="W675" s="95">
        <v>0</v>
      </c>
      <c r="X675" s="95">
        <v>0</v>
      </c>
      <c r="Y675" s="95">
        <v>0</v>
      </c>
      <c r="Z675" s="95"/>
      <c r="AA675" s="8" t="s">
        <v>1507</v>
      </c>
      <c r="AB675" s="8" t="s">
        <v>1508</v>
      </c>
      <c r="AC675" s="8" t="s">
        <v>1509</v>
      </c>
      <c r="AD675" s="8" t="s">
        <v>1510</v>
      </c>
      <c r="AE675" s="11"/>
      <c r="AF675" s="19"/>
      <c r="AG675" t="str">
        <f>VLOOKUP(OfficeForms.Table[[#This Row],[Nama Proyek]],'Nama Proyek'!$D$2:$G$29,4,0)</f>
        <v>-7.72647690,113.63515320</v>
      </c>
      <c r="AH675" s="5"/>
      <c r="AI675" s="5"/>
      <c r="AJ675" s="5"/>
      <c r="AK675" s="5" t="s">
        <v>1511</v>
      </c>
    </row>
    <row r="676" spans="1:37" ht="15" hidden="1" customHeight="1">
      <c r="A676">
        <v>996</v>
      </c>
      <c r="B676" s="111">
        <v>44995</v>
      </c>
      <c r="C676" s="29">
        <f>B676</f>
        <v>44995</v>
      </c>
      <c r="D676" s="8" t="s">
        <v>37</v>
      </c>
      <c r="E676" s="8" t="s">
        <v>79</v>
      </c>
      <c r="F676" s="5" t="str">
        <f>E676</f>
        <v>Fajar Sodiq Febriansyah</v>
      </c>
      <c r="G676" s="9" t="s">
        <v>1317</v>
      </c>
      <c r="H676" s="105"/>
      <c r="I676" s="95">
        <v>0</v>
      </c>
      <c r="J676" s="95">
        <v>0</v>
      </c>
      <c r="K676" s="95">
        <v>0</v>
      </c>
      <c r="L676" s="95">
        <v>0</v>
      </c>
      <c r="M676" s="95">
        <v>0</v>
      </c>
      <c r="N676" s="95">
        <v>0</v>
      </c>
      <c r="O676" s="95">
        <v>0</v>
      </c>
      <c r="P676" s="95">
        <v>0</v>
      </c>
      <c r="Q676" s="95">
        <v>0</v>
      </c>
      <c r="R676" s="95">
        <v>0</v>
      </c>
      <c r="S676" s="95">
        <v>0</v>
      </c>
      <c r="T676" s="95">
        <v>0</v>
      </c>
      <c r="U676" s="95">
        <v>0</v>
      </c>
      <c r="V676" s="95">
        <v>0</v>
      </c>
      <c r="W676" s="95">
        <v>0</v>
      </c>
      <c r="X676" s="95">
        <v>0</v>
      </c>
      <c r="Y676" s="95">
        <v>0</v>
      </c>
      <c r="Z676" s="95"/>
      <c r="AA676" s="8"/>
      <c r="AB676" s="8"/>
      <c r="AC676" s="8"/>
      <c r="AD676" s="8"/>
      <c r="AE676" s="11">
        <v>44995</v>
      </c>
      <c r="AF676" s="43" t="s">
        <v>1512</v>
      </c>
      <c r="AG676" t="str">
        <f>VLOOKUP(OfficeForms.Table[[#This Row],[Nama Proyek]],'Nama Proyek'!$D$2:$G$29,4,0)</f>
        <v>-7.72647690,113.63515320</v>
      </c>
      <c r="AH676" s="5"/>
      <c r="AI676" s="5"/>
      <c r="AJ676" s="5"/>
      <c r="AK676" s="5" t="s">
        <v>1513</v>
      </c>
    </row>
    <row r="677" spans="1:37" ht="15" hidden="1" customHeight="1">
      <c r="A677" s="30">
        <v>997</v>
      </c>
      <c r="B677" s="110">
        <v>44995</v>
      </c>
      <c r="C677" s="28">
        <f>B677</f>
        <v>44995</v>
      </c>
      <c r="D677" s="19" t="s">
        <v>37</v>
      </c>
      <c r="E677" s="19" t="s">
        <v>79</v>
      </c>
      <c r="F677" s="5" t="str">
        <f>E677</f>
        <v>Fajar Sodiq Febriansyah</v>
      </c>
      <c r="G677" s="19" t="s">
        <v>1317</v>
      </c>
      <c r="H677" s="106"/>
      <c r="I677" s="96">
        <v>0</v>
      </c>
      <c r="J677" s="96">
        <v>0</v>
      </c>
      <c r="K677" s="96">
        <v>0</v>
      </c>
      <c r="L677" s="96">
        <v>0</v>
      </c>
      <c r="M677" s="96">
        <v>0</v>
      </c>
      <c r="N677" s="96">
        <v>0</v>
      </c>
      <c r="O677" s="96">
        <v>0</v>
      </c>
      <c r="P677" s="96">
        <v>0</v>
      </c>
      <c r="Q677" s="96">
        <v>0</v>
      </c>
      <c r="R677" s="96">
        <v>0</v>
      </c>
      <c r="S677" s="96">
        <v>0</v>
      </c>
      <c r="T677" s="96">
        <v>0</v>
      </c>
      <c r="U677" s="96">
        <v>0</v>
      </c>
      <c r="V677" s="96">
        <v>0</v>
      </c>
      <c r="W677" s="96">
        <v>0</v>
      </c>
      <c r="X677" s="96">
        <v>0</v>
      </c>
      <c r="Y677" s="96">
        <v>0</v>
      </c>
      <c r="Z677" s="96"/>
      <c r="AA677" s="19"/>
      <c r="AB677" s="19"/>
      <c r="AC677" s="19"/>
      <c r="AD677" s="19"/>
      <c r="AE677" s="13">
        <v>44995</v>
      </c>
      <c r="AF677" s="8"/>
      <c r="AG677" t="str">
        <f>VLOOKUP(OfficeForms.Table[[#This Row],[Nama Proyek]],'Nama Proyek'!$D$2:$G$29,4,0)</f>
        <v>-7.72647690,113.63515320</v>
      </c>
      <c r="AH677" s="5"/>
      <c r="AI677" s="5"/>
      <c r="AJ677" s="5"/>
      <c r="AK677" s="5" t="s">
        <v>1514</v>
      </c>
    </row>
    <row r="678" spans="1:37" ht="15" hidden="1" customHeight="1">
      <c r="A678" s="31">
        <v>998</v>
      </c>
      <c r="B678" s="111">
        <v>44995</v>
      </c>
      <c r="C678" s="29">
        <f>B678</f>
        <v>44995</v>
      </c>
      <c r="D678" s="8" t="s">
        <v>37</v>
      </c>
      <c r="E678" s="8" t="s">
        <v>47</v>
      </c>
      <c r="F678" s="5" t="str">
        <f>E678</f>
        <v>Basuki Rahmat Hakim</v>
      </c>
      <c r="G678" s="60" t="s">
        <v>48</v>
      </c>
      <c r="H678" s="102"/>
      <c r="I678" s="95">
        <v>0</v>
      </c>
      <c r="J678" s="95">
        <v>0</v>
      </c>
      <c r="K678" s="95">
        <v>0</v>
      </c>
      <c r="L678" s="95">
        <v>0</v>
      </c>
      <c r="M678" s="95">
        <v>0</v>
      </c>
      <c r="N678" s="95">
        <v>0</v>
      </c>
      <c r="O678" s="95">
        <v>0</v>
      </c>
      <c r="P678" s="95">
        <v>0</v>
      </c>
      <c r="Q678" s="95">
        <v>0</v>
      </c>
      <c r="R678" s="95">
        <v>0</v>
      </c>
      <c r="S678" s="95">
        <v>0</v>
      </c>
      <c r="T678" s="95">
        <v>0</v>
      </c>
      <c r="U678" s="95">
        <v>0</v>
      </c>
      <c r="V678" s="95">
        <v>0</v>
      </c>
      <c r="W678" s="95">
        <v>0</v>
      </c>
      <c r="X678" s="95">
        <v>0</v>
      </c>
      <c r="Y678" s="95">
        <v>0</v>
      </c>
      <c r="Z678" s="95"/>
      <c r="AA678" s="63" t="s">
        <v>1515</v>
      </c>
      <c r="AB678" s="8" t="s">
        <v>1516</v>
      </c>
      <c r="AC678" s="15" t="s">
        <v>1517</v>
      </c>
      <c r="AD678" s="15"/>
      <c r="AE678" s="16"/>
      <c r="AF678" s="42"/>
      <c r="AG678" t="str">
        <f>VLOOKUP(OfficeForms.Table[[#This Row],[Nama Proyek]],'Nama Proyek'!$D$2:$G$29,4,0)</f>
        <v>3.76047575,115.89977678</v>
      </c>
      <c r="AH678" s="5"/>
      <c r="AI678" s="5"/>
      <c r="AJ678" s="5"/>
      <c r="AK678" s="5" t="s">
        <v>1518</v>
      </c>
    </row>
    <row r="679" spans="1:37" ht="15" hidden="1" customHeight="1">
      <c r="A679" s="31">
        <v>1001</v>
      </c>
      <c r="B679" s="110">
        <v>44995</v>
      </c>
      <c r="C679" s="28">
        <f>B679</f>
        <v>44995</v>
      </c>
      <c r="D679" s="19" t="s">
        <v>37</v>
      </c>
      <c r="E679" s="19" t="s">
        <v>47</v>
      </c>
      <c r="F679" s="5" t="str">
        <f>E679</f>
        <v>Basuki Rahmat Hakim</v>
      </c>
      <c r="G679" s="60" t="s">
        <v>48</v>
      </c>
      <c r="H679" s="101"/>
      <c r="I679" s="96">
        <v>0</v>
      </c>
      <c r="J679" s="96">
        <v>0</v>
      </c>
      <c r="K679" s="96">
        <v>0</v>
      </c>
      <c r="L679" s="96">
        <v>0</v>
      </c>
      <c r="M679" s="96">
        <v>0</v>
      </c>
      <c r="N679" s="96">
        <v>0</v>
      </c>
      <c r="O679" s="96">
        <v>0</v>
      </c>
      <c r="P679" s="96">
        <v>0</v>
      </c>
      <c r="Q679" s="96">
        <v>0</v>
      </c>
      <c r="R679" s="96">
        <v>0</v>
      </c>
      <c r="S679" s="96">
        <v>0</v>
      </c>
      <c r="T679" s="96">
        <v>0</v>
      </c>
      <c r="U679" s="96">
        <v>0</v>
      </c>
      <c r="V679" s="96">
        <v>0</v>
      </c>
      <c r="W679" s="96">
        <v>0</v>
      </c>
      <c r="X679" s="96">
        <v>0</v>
      </c>
      <c r="Y679" s="96">
        <v>0</v>
      </c>
      <c r="Z679" s="96"/>
      <c r="AA679" s="19"/>
      <c r="AB679" s="42"/>
      <c r="AC679" s="19"/>
      <c r="AD679" s="19"/>
      <c r="AE679" s="24">
        <v>44995</v>
      </c>
      <c r="AF679" s="15"/>
      <c r="AG679" t="str">
        <f>VLOOKUP(OfficeForms.Table[[#This Row],[Nama Proyek]],'Nama Proyek'!$D$2:$G$29,4,0)</f>
        <v>3.76047575,115.89977678</v>
      </c>
      <c r="AH679" s="5"/>
      <c r="AI679" s="5"/>
      <c r="AJ679" s="5"/>
      <c r="AK679" s="5" t="s">
        <v>1519</v>
      </c>
    </row>
    <row r="680" spans="1:37" ht="15" hidden="1" customHeight="1">
      <c r="A680">
        <v>1003</v>
      </c>
      <c r="B680" s="110">
        <v>44995</v>
      </c>
      <c r="C680" s="28">
        <f>B680</f>
        <v>44995</v>
      </c>
      <c r="D680" s="19" t="s">
        <v>37</v>
      </c>
      <c r="E680" s="19" t="s">
        <v>136</v>
      </c>
      <c r="F680" s="5" t="str">
        <f>E680</f>
        <v>Utomo Aryowibowo</v>
      </c>
      <c r="G680" s="22" t="s">
        <v>1472</v>
      </c>
      <c r="H680" s="106"/>
      <c r="I680" s="96">
        <v>0</v>
      </c>
      <c r="J680" s="96">
        <v>0</v>
      </c>
      <c r="K680" s="96">
        <v>0</v>
      </c>
      <c r="L680" s="96">
        <v>0</v>
      </c>
      <c r="M680" s="96">
        <v>0</v>
      </c>
      <c r="N680" s="96">
        <v>0</v>
      </c>
      <c r="O680" s="96">
        <v>0</v>
      </c>
      <c r="P680" s="96">
        <v>0</v>
      </c>
      <c r="Q680" s="96">
        <v>0</v>
      </c>
      <c r="R680" s="96">
        <v>0</v>
      </c>
      <c r="S680" s="96">
        <v>0</v>
      </c>
      <c r="T680" s="96">
        <v>0</v>
      </c>
      <c r="U680" s="96">
        <v>0</v>
      </c>
      <c r="V680" s="96">
        <v>0</v>
      </c>
      <c r="W680" s="96">
        <v>0</v>
      </c>
      <c r="X680" s="96">
        <v>0</v>
      </c>
      <c r="Y680" s="96">
        <v>0</v>
      </c>
      <c r="Z680" s="96"/>
      <c r="AA680" s="19" t="s">
        <v>1520</v>
      </c>
      <c r="AB680" s="19" t="s">
        <v>1520</v>
      </c>
      <c r="AC680" s="19" t="s">
        <v>1521</v>
      </c>
      <c r="AD680" s="19" t="s">
        <v>1521</v>
      </c>
      <c r="AE680" s="24"/>
      <c r="AF680" s="15" t="s">
        <v>1522</v>
      </c>
      <c r="AG680" t="str">
        <f>VLOOKUP(OfficeForms.Table[[#This Row],[Nama Proyek]],'Nama Proyek'!$D$2:$G$29,4,0)</f>
        <v>-0.96849430,116.70188410</v>
      </c>
      <c r="AH680" s="5"/>
      <c r="AI680" s="5"/>
      <c r="AJ680" s="5"/>
      <c r="AK680" s="5" t="s">
        <v>1523</v>
      </c>
    </row>
    <row r="681" spans="1:37" ht="15" hidden="1" customHeight="1">
      <c r="A681" s="50">
        <v>1004</v>
      </c>
      <c r="B681" s="111">
        <v>44995</v>
      </c>
      <c r="C681" s="29">
        <f>B681</f>
        <v>44995</v>
      </c>
      <c r="D681" s="8" t="s">
        <v>37</v>
      </c>
      <c r="E681" s="8" t="s">
        <v>136</v>
      </c>
      <c r="F681" s="5" t="str">
        <f>E681</f>
        <v>Utomo Aryowibowo</v>
      </c>
      <c r="G681" s="22" t="s">
        <v>1472</v>
      </c>
      <c r="H681" s="105"/>
      <c r="I681" s="95">
        <v>0</v>
      </c>
      <c r="J681" s="95">
        <v>0</v>
      </c>
      <c r="K681" s="95">
        <v>0</v>
      </c>
      <c r="L681" s="95">
        <v>0</v>
      </c>
      <c r="M681" s="95">
        <v>0</v>
      </c>
      <c r="N681" s="95">
        <v>0</v>
      </c>
      <c r="O681" s="95">
        <v>0</v>
      </c>
      <c r="P681" s="95">
        <v>0</v>
      </c>
      <c r="Q681" s="95">
        <v>0</v>
      </c>
      <c r="R681" s="95">
        <v>0</v>
      </c>
      <c r="S681" s="95">
        <v>0</v>
      </c>
      <c r="T681" s="95">
        <v>0</v>
      </c>
      <c r="U681" s="95">
        <v>0</v>
      </c>
      <c r="V681" s="95">
        <v>0</v>
      </c>
      <c r="W681" s="95">
        <v>0</v>
      </c>
      <c r="X681" s="95">
        <v>0</v>
      </c>
      <c r="Y681" s="95">
        <v>0</v>
      </c>
      <c r="Z681" s="95"/>
      <c r="AA681" s="8"/>
      <c r="AB681" s="8"/>
      <c r="AC681" s="15"/>
      <c r="AD681" s="15"/>
      <c r="AE681" s="16" t="s">
        <v>1524</v>
      </c>
      <c r="AF681" s="19"/>
      <c r="AG681" t="str">
        <f>VLOOKUP(OfficeForms.Table[[#This Row],[Nama Proyek]],'Nama Proyek'!$D$2:$G$29,4,0)</f>
        <v>-0.96849430,116.70188410</v>
      </c>
      <c r="AH681" s="5"/>
      <c r="AI681" s="5"/>
      <c r="AJ681" s="5"/>
      <c r="AK681" s="5" t="s">
        <v>1525</v>
      </c>
    </row>
    <row r="682" spans="1:37" ht="15" hidden="1" customHeight="1">
      <c r="A682" s="31">
        <v>1021</v>
      </c>
      <c r="B682" s="110">
        <v>44995</v>
      </c>
      <c r="C682" s="28">
        <f>B682</f>
        <v>44995</v>
      </c>
      <c r="D682" s="8" t="s">
        <v>37</v>
      </c>
      <c r="E682" s="8" t="s">
        <v>54</v>
      </c>
      <c r="F682" s="5" t="str">
        <f>E682</f>
        <v>Haryo Widiandoko</v>
      </c>
      <c r="G682" s="42" t="s">
        <v>55</v>
      </c>
      <c r="H682" s="105"/>
      <c r="I682" s="95">
        <v>0</v>
      </c>
      <c r="J682" s="95">
        <v>0</v>
      </c>
      <c r="K682" s="95">
        <v>0</v>
      </c>
      <c r="L682" s="95">
        <v>0</v>
      </c>
      <c r="M682" s="95">
        <v>0</v>
      </c>
      <c r="N682" s="95">
        <v>0</v>
      </c>
      <c r="O682" s="95">
        <v>0</v>
      </c>
      <c r="P682" s="95">
        <v>0</v>
      </c>
      <c r="Q682" s="95">
        <v>0</v>
      </c>
      <c r="R682" s="95">
        <v>0</v>
      </c>
      <c r="S682" s="95">
        <v>0</v>
      </c>
      <c r="T682" s="95">
        <v>0</v>
      </c>
      <c r="U682" s="95">
        <v>0</v>
      </c>
      <c r="V682" s="95">
        <v>0</v>
      </c>
      <c r="W682" s="95">
        <v>0</v>
      </c>
      <c r="X682" s="95">
        <v>0</v>
      </c>
      <c r="Y682" s="95">
        <v>0</v>
      </c>
      <c r="Z682" s="95"/>
      <c r="AA682" s="8"/>
      <c r="AB682" s="8"/>
      <c r="AC682" s="8"/>
      <c r="AD682" s="8"/>
      <c r="AE682" s="11">
        <v>44935</v>
      </c>
      <c r="AF682" s="17" t="s">
        <v>1526</v>
      </c>
      <c r="AG682" t="str">
        <f>VLOOKUP(OfficeForms.Table[[#This Row],[Nama Proyek]],'Nama Proyek'!$D$2:$G$29,4,0)</f>
        <v>-6.42873464,107.19897003</v>
      </c>
      <c r="AH682" s="5"/>
      <c r="AI682" s="5"/>
      <c r="AJ682" s="5"/>
      <c r="AK682" s="5" t="s">
        <v>1527</v>
      </c>
    </row>
    <row r="683" spans="1:37" ht="15" hidden="1" customHeight="1">
      <c r="A683" s="30">
        <v>1022</v>
      </c>
      <c r="B683" s="111">
        <v>44995</v>
      </c>
      <c r="C683" s="29">
        <f>B683</f>
        <v>44995</v>
      </c>
      <c r="D683" s="9" t="s">
        <v>37</v>
      </c>
      <c r="E683" s="9" t="s">
        <v>54</v>
      </c>
      <c r="F683" s="5" t="str">
        <f>E683</f>
        <v>Haryo Widiandoko</v>
      </c>
      <c r="G683" s="17" t="s">
        <v>55</v>
      </c>
      <c r="H683" s="103"/>
      <c r="I683" s="94">
        <v>0</v>
      </c>
      <c r="J683" s="94">
        <v>0</v>
      </c>
      <c r="K683" s="94">
        <v>0</v>
      </c>
      <c r="L683" s="94">
        <v>0</v>
      </c>
      <c r="M683" s="94">
        <v>0</v>
      </c>
      <c r="N683" s="94">
        <v>0</v>
      </c>
      <c r="O683" s="94">
        <v>0</v>
      </c>
      <c r="P683" s="94">
        <v>0</v>
      </c>
      <c r="Q683" s="94">
        <v>0</v>
      </c>
      <c r="R683" s="94">
        <v>0</v>
      </c>
      <c r="S683" s="94">
        <v>0</v>
      </c>
      <c r="T683" s="94">
        <v>0</v>
      </c>
      <c r="U683" s="94">
        <v>0</v>
      </c>
      <c r="V683" s="94">
        <v>0</v>
      </c>
      <c r="W683" s="94">
        <v>0</v>
      </c>
      <c r="X683" s="94">
        <v>0</v>
      </c>
      <c r="Y683" s="94">
        <v>0</v>
      </c>
      <c r="Z683" s="94"/>
      <c r="AA683" s="9"/>
      <c r="AB683" s="9"/>
      <c r="AC683" s="17"/>
      <c r="AD683" s="17"/>
      <c r="AE683" s="18">
        <v>44935</v>
      </c>
      <c r="AF683" s="25" t="s">
        <v>1528</v>
      </c>
      <c r="AG683" t="str">
        <f>VLOOKUP(OfficeForms.Table[[#This Row],[Nama Proyek]],'Nama Proyek'!$D$2:$G$29,4,0)</f>
        <v>-6.42873464,107.19897003</v>
      </c>
      <c r="AH683" s="5"/>
      <c r="AI683" s="5"/>
      <c r="AJ683" s="5"/>
      <c r="AK683" s="5" t="s">
        <v>1529</v>
      </c>
    </row>
    <row r="684" spans="1:37" ht="15" hidden="1" customHeight="1">
      <c r="A684" s="30">
        <v>1073</v>
      </c>
      <c r="B684" s="110">
        <v>44997</v>
      </c>
      <c r="C684" s="28">
        <f>B684</f>
        <v>44997</v>
      </c>
      <c r="D684" s="19" t="s">
        <v>37</v>
      </c>
      <c r="E684" s="19" t="s">
        <v>1282</v>
      </c>
      <c r="F684" s="5" t="str">
        <f>E684</f>
        <v>Achmad Rival Setyawan, S.T</v>
      </c>
      <c r="G684" s="10" t="s">
        <v>989</v>
      </c>
      <c r="H684" s="101">
        <v>45255</v>
      </c>
      <c r="I684" s="96">
        <v>33.396999999999998</v>
      </c>
      <c r="J684" s="96">
        <v>35.25</v>
      </c>
      <c r="K684" s="96">
        <v>0.42799999999999999</v>
      </c>
      <c r="L684" s="96">
        <v>0</v>
      </c>
      <c r="M684" s="96">
        <v>17.725000000000001</v>
      </c>
      <c r="N684" s="96">
        <v>4.9000000000000002E-2</v>
      </c>
      <c r="O684" s="96">
        <v>5.3999999999999999E-2</v>
      </c>
      <c r="P684" s="96">
        <v>0.14399999999999999</v>
      </c>
      <c r="Q684" s="96">
        <v>1.786</v>
      </c>
      <c r="R684" s="96">
        <v>3.2850000000000001</v>
      </c>
      <c r="S684" s="96">
        <v>10.894</v>
      </c>
      <c r="T684" s="96">
        <v>0</v>
      </c>
      <c r="U684" s="96">
        <v>4.4999999999999998E-2</v>
      </c>
      <c r="V684" s="96">
        <v>0</v>
      </c>
      <c r="W684" s="96">
        <v>0</v>
      </c>
      <c r="X684" s="96">
        <v>0</v>
      </c>
      <c r="Y684" s="96">
        <v>0</v>
      </c>
      <c r="Z684" s="96"/>
      <c r="AA684" s="19"/>
      <c r="AB684" s="19"/>
      <c r="AC684" s="19"/>
      <c r="AD684" s="19"/>
      <c r="AE684" s="13"/>
      <c r="AF684" s="8"/>
      <c r="AG684" t="str">
        <f>VLOOKUP(OfficeForms.Table[[#This Row],[Nama Proyek]],'Nama Proyek'!$D$2:$G$29,4,0)</f>
        <v>-1.98399270,103.7135193</v>
      </c>
      <c r="AH684" s="5"/>
      <c r="AI684" s="5"/>
      <c r="AJ684" s="5"/>
      <c r="AK684" s="5" t="s">
        <v>1530</v>
      </c>
    </row>
    <row r="685" spans="1:37" ht="15" hidden="1" customHeight="1">
      <c r="A685">
        <v>1074</v>
      </c>
      <c r="B685" s="111">
        <v>44997</v>
      </c>
      <c r="C685" s="29">
        <f>B685</f>
        <v>44997</v>
      </c>
      <c r="D685" s="8" t="s">
        <v>37</v>
      </c>
      <c r="E685" s="8" t="s">
        <v>998</v>
      </c>
      <c r="F685" s="5" t="str">
        <f>E685</f>
        <v>Dani Ramdhani</v>
      </c>
      <c r="G685" s="37" t="s">
        <v>76</v>
      </c>
      <c r="H685" s="102"/>
      <c r="I685" s="95">
        <v>0</v>
      </c>
      <c r="J685" s="95">
        <v>0</v>
      </c>
      <c r="K685" s="95">
        <v>0</v>
      </c>
      <c r="L685" s="95">
        <v>0</v>
      </c>
      <c r="M685" s="95">
        <v>0</v>
      </c>
      <c r="N685" s="95">
        <v>0</v>
      </c>
      <c r="O685" s="95">
        <v>0</v>
      </c>
      <c r="P685" s="95">
        <v>0</v>
      </c>
      <c r="Q685" s="95">
        <v>0</v>
      </c>
      <c r="R685" s="95">
        <v>0</v>
      </c>
      <c r="S685" s="95">
        <v>0</v>
      </c>
      <c r="T685" s="95">
        <v>0</v>
      </c>
      <c r="U685" s="95">
        <v>0</v>
      </c>
      <c r="V685" s="95">
        <v>0</v>
      </c>
      <c r="W685" s="95">
        <v>0</v>
      </c>
      <c r="X685" s="95">
        <v>0</v>
      </c>
      <c r="Y685" s="95">
        <v>0</v>
      </c>
      <c r="Z685" s="95"/>
      <c r="AA685" s="63" t="s">
        <v>1531</v>
      </c>
      <c r="AB685" s="8"/>
      <c r="AC685" s="8"/>
      <c r="AD685" s="8"/>
      <c r="AE685" s="11"/>
      <c r="AF685" s="8"/>
      <c r="AG685" t="str">
        <f>VLOOKUP(OfficeForms.Table[[#This Row],[Nama Proyek]],'Nama Proyek'!$D$2:$G$29,4,0)</f>
        <v>-2.95293103,104.75455094</v>
      </c>
      <c r="AH685" s="5"/>
      <c r="AI685" s="5"/>
      <c r="AJ685" s="5"/>
      <c r="AK685" s="5" t="s">
        <v>1532</v>
      </c>
    </row>
    <row r="686" spans="1:37" ht="15" hidden="1" customHeight="1">
      <c r="A686">
        <v>423</v>
      </c>
      <c r="B686" s="110">
        <v>45000</v>
      </c>
      <c r="C686" s="28">
        <f>B686</f>
        <v>45000</v>
      </c>
      <c r="D686" s="8" t="s">
        <v>37</v>
      </c>
      <c r="E686" s="8" t="s">
        <v>109</v>
      </c>
      <c r="F686" s="5" t="str">
        <f>E686</f>
        <v>Muhamad Saifudin Ashari</v>
      </c>
      <c r="G686" s="42" t="s">
        <v>39</v>
      </c>
      <c r="H686" s="102"/>
      <c r="I686" s="95">
        <v>0</v>
      </c>
      <c r="J686" s="95">
        <v>0</v>
      </c>
      <c r="K686" s="95">
        <v>0</v>
      </c>
      <c r="L686" s="95">
        <v>0</v>
      </c>
      <c r="M686" s="95">
        <v>0</v>
      </c>
      <c r="N686" s="95">
        <v>0</v>
      </c>
      <c r="O686" s="95">
        <v>0</v>
      </c>
      <c r="P686" s="95">
        <v>0</v>
      </c>
      <c r="Q686" s="95">
        <v>0</v>
      </c>
      <c r="R686" s="95">
        <v>0</v>
      </c>
      <c r="S686" s="95">
        <v>0</v>
      </c>
      <c r="T686" s="95">
        <v>0</v>
      </c>
      <c r="U686" s="95">
        <v>0</v>
      </c>
      <c r="V686" s="95">
        <v>0</v>
      </c>
      <c r="W686" s="95">
        <v>0</v>
      </c>
      <c r="X686" s="95">
        <v>0</v>
      </c>
      <c r="Y686" s="95">
        <v>0</v>
      </c>
      <c r="Z686" s="95"/>
      <c r="AA686" s="8" t="s">
        <v>1533</v>
      </c>
      <c r="AB686" s="8" t="s">
        <v>1534</v>
      </c>
      <c r="AC686" s="8" t="s">
        <v>1535</v>
      </c>
      <c r="AD686" s="8" t="s">
        <v>1536</v>
      </c>
      <c r="AE686" s="11"/>
      <c r="AF686" s="15"/>
      <c r="AG686" t="str">
        <f>VLOOKUP(OfficeForms.Table[[#This Row],[Nama Proyek]],'Nama Proyek'!$D$2:$G$29,4,0)</f>
        <v>-6.80675464,106.785366</v>
      </c>
      <c r="AH686" s="5"/>
      <c r="AI686" s="5"/>
      <c r="AJ686" s="5"/>
      <c r="AK686" s="5" t="s">
        <v>1537</v>
      </c>
    </row>
    <row r="687" spans="1:37" ht="15" hidden="1" customHeight="1">
      <c r="A687" s="31">
        <v>870</v>
      </c>
      <c r="B687" s="111">
        <v>45001</v>
      </c>
      <c r="C687" s="29">
        <f>B687</f>
        <v>45001</v>
      </c>
      <c r="D687" s="8" t="s">
        <v>37</v>
      </c>
      <c r="E687" s="8" t="s">
        <v>64</v>
      </c>
      <c r="F687" s="5" t="str">
        <f>E687</f>
        <v>Nizar Zulkarnain</v>
      </c>
      <c r="G687" s="17" t="s">
        <v>65</v>
      </c>
      <c r="H687" s="102">
        <v>44997</v>
      </c>
      <c r="I687" s="95">
        <v>75.546000000000006</v>
      </c>
      <c r="J687" s="95">
        <v>81.582999999999998</v>
      </c>
      <c r="K687" s="95">
        <v>65.88</v>
      </c>
      <c r="L687" s="95">
        <v>59.06</v>
      </c>
      <c r="M687" s="95">
        <v>82.63</v>
      </c>
      <c r="N687" s="95">
        <v>83.14</v>
      </c>
      <c r="O687" s="95">
        <v>51.44</v>
      </c>
      <c r="P687" s="95">
        <v>65.290000000000006</v>
      </c>
      <c r="Q687" s="95">
        <v>57.97</v>
      </c>
      <c r="R687" s="95">
        <v>56.93</v>
      </c>
      <c r="S687" s="95">
        <v>85.32</v>
      </c>
      <c r="T687" s="95">
        <v>90.16</v>
      </c>
      <c r="U687" s="95">
        <v>36.909999999999997</v>
      </c>
      <c r="V687" s="95">
        <v>24.15</v>
      </c>
      <c r="W687" s="95">
        <v>0</v>
      </c>
      <c r="X687" s="95">
        <v>98.36</v>
      </c>
      <c r="Y687" s="95">
        <v>41.02</v>
      </c>
      <c r="Z687" s="95"/>
      <c r="AA687" s="8"/>
      <c r="AB687" s="8"/>
      <c r="AC687" s="15"/>
      <c r="AD687" s="15"/>
      <c r="AE687" s="16"/>
      <c r="AF687" s="42"/>
      <c r="AG687" t="str">
        <f>VLOOKUP(OfficeForms.Table[[#This Row],[Nama Proyek]],'Nama Proyek'!$D$2:$G$29,4,0)</f>
        <v>-6.35008011,107.02324233</v>
      </c>
      <c r="AH687" s="5"/>
      <c r="AI687" s="5"/>
      <c r="AJ687" s="5"/>
      <c r="AK687" s="5" t="s">
        <v>1538</v>
      </c>
    </row>
    <row r="688" spans="1:37" ht="15" hidden="1" customHeight="1">
      <c r="A688" s="31">
        <v>315</v>
      </c>
      <c r="B688" s="110">
        <v>45002</v>
      </c>
      <c r="C688" s="28">
        <f>B688</f>
        <v>45002</v>
      </c>
      <c r="D688" s="8" t="s">
        <v>37</v>
      </c>
      <c r="E688" s="8" t="s">
        <v>75</v>
      </c>
      <c r="F688" s="5" t="str">
        <f>E688</f>
        <v>Banyu Purwita</v>
      </c>
      <c r="G688" s="55" t="s">
        <v>76</v>
      </c>
      <c r="H688" s="102">
        <v>45001</v>
      </c>
      <c r="I688" s="95">
        <v>42.715000000000003</v>
      </c>
      <c r="J688" s="95">
        <v>43.531999999999996</v>
      </c>
      <c r="K688" s="95">
        <v>0</v>
      </c>
      <c r="L688" s="95">
        <v>0</v>
      </c>
      <c r="M688" s="95">
        <v>1.2330000000000001</v>
      </c>
      <c r="N688" s="95">
        <v>0</v>
      </c>
      <c r="O688" s="95">
        <v>12.15</v>
      </c>
      <c r="P688" s="95">
        <v>0</v>
      </c>
      <c r="Q688" s="95">
        <v>1.855</v>
      </c>
      <c r="R688" s="95">
        <v>0</v>
      </c>
      <c r="S688" s="95">
        <v>25.673999999999999</v>
      </c>
      <c r="T688" s="95">
        <v>0</v>
      </c>
      <c r="U688" s="95">
        <v>6.3E-2</v>
      </c>
      <c r="V688" s="95">
        <v>0</v>
      </c>
      <c r="W688" s="95">
        <v>0</v>
      </c>
      <c r="X688" s="95">
        <v>0</v>
      </c>
      <c r="Y688" s="95">
        <v>0</v>
      </c>
      <c r="Z688" s="95"/>
      <c r="AA688" s="8"/>
      <c r="AB688" s="8"/>
      <c r="AC688" s="8"/>
      <c r="AD688" s="8"/>
      <c r="AE688" s="16"/>
      <c r="AF688" s="9" t="s">
        <v>1539</v>
      </c>
      <c r="AG688" t="str">
        <f>VLOOKUP(OfficeForms.Table[[#This Row],[Nama Proyek]],'Nama Proyek'!$D$2:$G$29,4,0)</f>
        <v>-2.95293103,104.75455094</v>
      </c>
      <c r="AH688" s="5"/>
      <c r="AI688" s="5"/>
      <c r="AJ688" s="5"/>
      <c r="AK688" s="5" t="s">
        <v>1540</v>
      </c>
    </row>
    <row r="689" spans="1:37" ht="15" hidden="1" customHeight="1">
      <c r="A689" s="31">
        <v>781</v>
      </c>
      <c r="B689" s="110">
        <v>45002</v>
      </c>
      <c r="C689" s="28">
        <f>B689</f>
        <v>45002</v>
      </c>
      <c r="D689" s="19" t="s">
        <v>37</v>
      </c>
      <c r="E689" s="19" t="s">
        <v>75</v>
      </c>
      <c r="F689" s="5" t="str">
        <f>E689</f>
        <v>Banyu Purwita</v>
      </c>
      <c r="G689" s="55" t="s">
        <v>76</v>
      </c>
      <c r="H689" s="106"/>
      <c r="I689" s="96">
        <v>0</v>
      </c>
      <c r="J689" s="96">
        <v>0</v>
      </c>
      <c r="K689" s="96">
        <v>0</v>
      </c>
      <c r="L689" s="96">
        <v>0</v>
      </c>
      <c r="M689" s="96">
        <v>0</v>
      </c>
      <c r="N689" s="96">
        <v>0</v>
      </c>
      <c r="O689" s="96">
        <v>0</v>
      </c>
      <c r="P689" s="96">
        <v>0</v>
      </c>
      <c r="Q689" s="96">
        <v>0</v>
      </c>
      <c r="R689" s="96">
        <v>0</v>
      </c>
      <c r="S689" s="96">
        <v>0</v>
      </c>
      <c r="T689" s="96">
        <v>0</v>
      </c>
      <c r="U689" s="96">
        <v>0</v>
      </c>
      <c r="V689" s="96">
        <v>0</v>
      </c>
      <c r="W689" s="96">
        <v>0</v>
      </c>
      <c r="X689" s="96">
        <v>0</v>
      </c>
      <c r="Y689" s="96">
        <v>0</v>
      </c>
      <c r="Z689" s="96"/>
      <c r="AA689" s="19"/>
      <c r="AB689" s="19"/>
      <c r="AC689" s="19"/>
      <c r="AD689" s="19"/>
      <c r="AE689" s="13" t="s">
        <v>1541</v>
      </c>
      <c r="AF689" s="8"/>
      <c r="AG689" t="str">
        <f>VLOOKUP(OfficeForms.Table[[#This Row],[Nama Proyek]],'Nama Proyek'!$D$2:$G$29,4,0)</f>
        <v>-2.95293103,104.75455094</v>
      </c>
      <c r="AH689" s="5"/>
      <c r="AI689" s="5"/>
      <c r="AJ689" s="5"/>
      <c r="AK689" s="5" t="s">
        <v>1542</v>
      </c>
    </row>
    <row r="690" spans="1:37" ht="15" hidden="1" customHeight="1">
      <c r="A690" s="50">
        <v>782</v>
      </c>
      <c r="B690" s="111">
        <v>45002</v>
      </c>
      <c r="C690" s="29">
        <f>B690</f>
        <v>45002</v>
      </c>
      <c r="D690" s="8" t="s">
        <v>37</v>
      </c>
      <c r="E690" s="8" t="s">
        <v>75</v>
      </c>
      <c r="F690" s="5" t="str">
        <f>E690</f>
        <v>Banyu Purwita</v>
      </c>
      <c r="G690" s="54" t="s">
        <v>76</v>
      </c>
      <c r="H690" s="105"/>
      <c r="I690" s="95">
        <v>0</v>
      </c>
      <c r="J690" s="95">
        <v>0</v>
      </c>
      <c r="K690" s="95">
        <v>0</v>
      </c>
      <c r="L690" s="95">
        <v>0</v>
      </c>
      <c r="M690" s="95">
        <v>0</v>
      </c>
      <c r="N690" s="95">
        <v>0</v>
      </c>
      <c r="O690" s="95">
        <v>0</v>
      </c>
      <c r="P690" s="95">
        <v>0</v>
      </c>
      <c r="Q690" s="95">
        <v>0</v>
      </c>
      <c r="R690" s="95">
        <v>0</v>
      </c>
      <c r="S690" s="95">
        <v>0</v>
      </c>
      <c r="T690" s="95">
        <v>0</v>
      </c>
      <c r="U690" s="95">
        <v>0</v>
      </c>
      <c r="V690" s="95">
        <v>0</v>
      </c>
      <c r="W690" s="95">
        <v>0</v>
      </c>
      <c r="X690" s="95">
        <v>0</v>
      </c>
      <c r="Y690" s="95">
        <v>0</v>
      </c>
      <c r="Z690" s="95"/>
      <c r="AA690" s="8" t="s">
        <v>1543</v>
      </c>
      <c r="AB690" s="8" t="s">
        <v>1543</v>
      </c>
      <c r="AC690" s="8" t="s">
        <v>1543</v>
      </c>
      <c r="AD690" s="8" t="s">
        <v>1543</v>
      </c>
      <c r="AE690" s="11"/>
      <c r="AF690" s="43" t="s">
        <v>1544</v>
      </c>
      <c r="AG690" t="str">
        <f>VLOOKUP(OfficeForms.Table[[#This Row],[Nama Proyek]],'Nama Proyek'!$D$2:$G$29,4,0)</f>
        <v>-2.95293103,104.75455094</v>
      </c>
      <c r="AH690" s="5"/>
      <c r="AI690" s="5"/>
      <c r="AJ690" s="5"/>
      <c r="AK690" s="5" t="s">
        <v>1545</v>
      </c>
    </row>
    <row r="691" spans="1:37" ht="15" customHeight="1">
      <c r="A691">
        <v>702</v>
      </c>
      <c r="B691" s="111">
        <v>45005</v>
      </c>
      <c r="C691" s="29">
        <f>B691</f>
        <v>45005</v>
      </c>
      <c r="D691" s="9" t="s">
        <v>46</v>
      </c>
      <c r="E691" s="9" t="s">
        <v>1546</v>
      </c>
      <c r="F691" s="5" t="s">
        <v>1546</v>
      </c>
      <c r="G691" s="23" t="s">
        <v>1480</v>
      </c>
      <c r="H691" s="104">
        <v>45005</v>
      </c>
      <c r="I691" s="94">
        <v>0</v>
      </c>
      <c r="J691" s="94">
        <v>0</v>
      </c>
      <c r="K691" s="94">
        <v>0</v>
      </c>
      <c r="L691" s="94">
        <v>0</v>
      </c>
      <c r="M691" s="94">
        <v>0</v>
      </c>
      <c r="N691" s="94">
        <v>0</v>
      </c>
      <c r="O691" s="94">
        <v>0</v>
      </c>
      <c r="P691" s="94">
        <v>0</v>
      </c>
      <c r="Q691" s="94">
        <v>0</v>
      </c>
      <c r="R691" s="94">
        <v>0</v>
      </c>
      <c r="S691" s="94">
        <v>0</v>
      </c>
      <c r="T691" s="94">
        <v>0</v>
      </c>
      <c r="U691" s="94">
        <v>0</v>
      </c>
      <c r="V691" s="94">
        <v>0</v>
      </c>
      <c r="W691" s="94">
        <v>0</v>
      </c>
      <c r="X691" s="94">
        <v>0</v>
      </c>
      <c r="Y691" s="94">
        <v>0</v>
      </c>
      <c r="Z691" s="94"/>
      <c r="AA691" s="9"/>
      <c r="AB691" s="9"/>
      <c r="AC691" s="9"/>
      <c r="AD691" s="9"/>
      <c r="AE691" s="12"/>
      <c r="AF691" s="19"/>
      <c r="AG691" t="str">
        <f>VLOOKUP(OfficeForms.Table[[#This Row],[Nama Proyek]],'Nama Proyek'!$D$2:$G$29,4,0)</f>
        <v>-6.23191260,107.90813480</v>
      </c>
      <c r="AH691" s="5"/>
      <c r="AI691" s="5"/>
      <c r="AJ691" s="5"/>
      <c r="AK691" s="5" t="s">
        <v>1547</v>
      </c>
    </row>
    <row r="692" spans="1:37" ht="15" hidden="1" customHeight="1">
      <c r="A692" s="31">
        <v>431</v>
      </c>
      <c r="B692" s="110">
        <v>45005</v>
      </c>
      <c r="C692" s="28">
        <f>B692</f>
        <v>45005</v>
      </c>
      <c r="D692" s="8" t="s">
        <v>37</v>
      </c>
      <c r="E692" s="8" t="s">
        <v>109</v>
      </c>
      <c r="F692" s="5" t="str">
        <f>E692</f>
        <v>Muhamad Saifudin Ashari</v>
      </c>
      <c r="G692" s="42" t="s">
        <v>39</v>
      </c>
      <c r="H692" s="102"/>
      <c r="I692" s="95">
        <v>0</v>
      </c>
      <c r="J692" s="95">
        <v>0</v>
      </c>
      <c r="K692" s="95">
        <v>0</v>
      </c>
      <c r="L692" s="95">
        <v>0</v>
      </c>
      <c r="M692" s="95">
        <v>0</v>
      </c>
      <c r="N692" s="95">
        <v>0</v>
      </c>
      <c r="O692" s="95">
        <v>0</v>
      </c>
      <c r="P692" s="95">
        <v>0</v>
      </c>
      <c r="Q692" s="95">
        <v>0</v>
      </c>
      <c r="R692" s="95">
        <v>0</v>
      </c>
      <c r="S692" s="95">
        <v>0</v>
      </c>
      <c r="T692" s="95">
        <v>0</v>
      </c>
      <c r="U692" s="95">
        <v>0</v>
      </c>
      <c r="V692" s="95">
        <v>0</v>
      </c>
      <c r="W692" s="95">
        <v>0</v>
      </c>
      <c r="X692" s="95">
        <v>0</v>
      </c>
      <c r="Y692" s="95">
        <v>0</v>
      </c>
      <c r="Z692" s="95"/>
      <c r="AA692" s="8"/>
      <c r="AB692" s="8"/>
      <c r="AC692" s="8"/>
      <c r="AD692" s="8"/>
      <c r="AE692" s="11" t="s">
        <v>1548</v>
      </c>
      <c r="AF692" s="9"/>
      <c r="AG692" t="str">
        <f>VLOOKUP(OfficeForms.Table[[#This Row],[Nama Proyek]],'Nama Proyek'!$D$2:$G$29,4,0)</f>
        <v>-6.80675464,106.785366</v>
      </c>
      <c r="AH692" s="5"/>
      <c r="AI692" s="5"/>
      <c r="AJ692" s="5"/>
      <c r="AK692" s="5" t="s">
        <v>1549</v>
      </c>
    </row>
    <row r="693" spans="1:37" ht="15" hidden="1" customHeight="1">
      <c r="A693">
        <v>374</v>
      </c>
      <c r="B693" s="111">
        <v>45009</v>
      </c>
      <c r="C693" s="29">
        <f>B693</f>
        <v>45009</v>
      </c>
      <c r="D693" s="8" t="s">
        <v>37</v>
      </c>
      <c r="E693" s="8" t="s">
        <v>75</v>
      </c>
      <c r="F693" s="5" t="str">
        <f>E693</f>
        <v>Banyu Purwita</v>
      </c>
      <c r="G693" s="37" t="s">
        <v>76</v>
      </c>
      <c r="H693" s="102">
        <v>45008</v>
      </c>
      <c r="I693" s="95">
        <v>43.357999999999997</v>
      </c>
      <c r="J693" s="95">
        <v>43.640999999999998</v>
      </c>
      <c r="K693" s="95">
        <v>0</v>
      </c>
      <c r="L693" s="95">
        <v>0</v>
      </c>
      <c r="M693" s="95">
        <v>1.6619999999999999</v>
      </c>
      <c r="N693" s="95">
        <v>0</v>
      </c>
      <c r="O693" s="95">
        <v>12.15</v>
      </c>
      <c r="P693" s="95">
        <v>0</v>
      </c>
      <c r="Q693" s="95">
        <v>1.855</v>
      </c>
      <c r="R693" s="95">
        <v>0</v>
      </c>
      <c r="S693" s="95">
        <v>25.872</v>
      </c>
      <c r="T693" s="95">
        <v>0</v>
      </c>
      <c r="U693" s="95">
        <v>6.3E-2</v>
      </c>
      <c r="V693" s="95">
        <v>0</v>
      </c>
      <c r="W693" s="95">
        <v>0</v>
      </c>
      <c r="X693" s="95">
        <v>0</v>
      </c>
      <c r="Y693" s="95">
        <v>0</v>
      </c>
      <c r="Z693" s="95"/>
      <c r="AA693" s="8"/>
      <c r="AB693" s="8"/>
      <c r="AC693" s="8"/>
      <c r="AD693" s="8"/>
      <c r="AE693" s="11"/>
      <c r="AF693" s="42" t="s">
        <v>1550</v>
      </c>
      <c r="AG693" t="str">
        <f>VLOOKUP(OfficeForms.Table[[#This Row],[Nama Proyek]],'Nama Proyek'!$D$2:$G$29,4,0)</f>
        <v>-2.95293103,104.75455094</v>
      </c>
      <c r="AH693" s="5"/>
      <c r="AI693" s="5"/>
      <c r="AJ693" s="5"/>
      <c r="AK693" s="5" t="s">
        <v>1551</v>
      </c>
    </row>
    <row r="694" spans="1:37" ht="15" hidden="1" customHeight="1">
      <c r="A694">
        <v>706</v>
      </c>
      <c r="B694" s="111">
        <v>45009</v>
      </c>
      <c r="C694" s="29">
        <f>B694</f>
        <v>45009</v>
      </c>
      <c r="D694" s="9" t="s">
        <v>37</v>
      </c>
      <c r="E694" s="9" t="s">
        <v>214</v>
      </c>
      <c r="F694" s="5" t="str">
        <f>E694</f>
        <v>BASUKI RAHMAT HAKIM</v>
      </c>
      <c r="G694" s="59" t="s">
        <v>48</v>
      </c>
      <c r="H694" s="103">
        <v>45009</v>
      </c>
      <c r="I694" s="94">
        <v>50.03</v>
      </c>
      <c r="J694" s="94">
        <v>55.24</v>
      </c>
      <c r="K694" s="94">
        <v>0</v>
      </c>
      <c r="L694" s="94">
        <v>48.177</v>
      </c>
      <c r="M694" s="94">
        <v>0</v>
      </c>
      <c r="N694" s="94">
        <v>0</v>
      </c>
      <c r="O694" s="94">
        <v>0</v>
      </c>
      <c r="P694" s="94">
        <v>0</v>
      </c>
      <c r="Q694" s="94">
        <v>0</v>
      </c>
      <c r="R694" s="94">
        <v>0.23100000000000001</v>
      </c>
      <c r="S694" s="94">
        <v>0</v>
      </c>
      <c r="T694" s="94">
        <v>0</v>
      </c>
      <c r="U694" s="94">
        <v>0</v>
      </c>
      <c r="V694" s="94">
        <v>0</v>
      </c>
      <c r="W694" s="94">
        <v>0</v>
      </c>
      <c r="X694" s="94">
        <v>0</v>
      </c>
      <c r="Y694" s="94">
        <v>0</v>
      </c>
      <c r="Z694" s="94"/>
      <c r="AA694" s="9"/>
      <c r="AB694" s="9"/>
      <c r="AC694" s="9"/>
      <c r="AD694" s="9"/>
      <c r="AE694" s="18"/>
      <c r="AF694" s="41" t="s">
        <v>1552</v>
      </c>
      <c r="AG694" t="str">
        <f>VLOOKUP(OfficeForms.Table[[#This Row],[Nama Proyek]],'Nama Proyek'!$D$2:$G$29,4,0)</f>
        <v>3.76047575,115.89977678</v>
      </c>
      <c r="AH694" s="5"/>
      <c r="AI694" s="5"/>
      <c r="AJ694" s="5"/>
      <c r="AK694" s="5" t="s">
        <v>1553</v>
      </c>
    </row>
    <row r="695" spans="1:37" ht="15" hidden="1" customHeight="1">
      <c r="A695" s="31">
        <v>707</v>
      </c>
      <c r="B695" s="110">
        <v>45009</v>
      </c>
      <c r="C695" s="28">
        <f>B695</f>
        <v>45009</v>
      </c>
      <c r="D695" s="8" t="s">
        <v>37</v>
      </c>
      <c r="E695" s="8" t="s">
        <v>214</v>
      </c>
      <c r="F695" s="5" t="str">
        <f>E695</f>
        <v>BASUKI RAHMAT HAKIM</v>
      </c>
      <c r="G695" s="60" t="s">
        <v>48</v>
      </c>
      <c r="H695" s="105"/>
      <c r="I695" s="95">
        <v>0</v>
      </c>
      <c r="J695" s="95">
        <v>0</v>
      </c>
      <c r="K695" s="95">
        <v>0</v>
      </c>
      <c r="L695" s="95">
        <v>0</v>
      </c>
      <c r="M695" s="95">
        <v>0</v>
      </c>
      <c r="N695" s="95">
        <v>0</v>
      </c>
      <c r="O695" s="95">
        <v>0</v>
      </c>
      <c r="P695" s="95">
        <v>0</v>
      </c>
      <c r="Q695" s="95">
        <v>0</v>
      </c>
      <c r="R695" s="95">
        <v>0</v>
      </c>
      <c r="S695" s="95">
        <v>0</v>
      </c>
      <c r="T695" s="95">
        <v>0</v>
      </c>
      <c r="U695" s="95">
        <v>0</v>
      </c>
      <c r="V695" s="95">
        <v>0</v>
      </c>
      <c r="W695" s="95">
        <v>0</v>
      </c>
      <c r="X695" s="95">
        <v>0</v>
      </c>
      <c r="Y695" s="95">
        <v>0</v>
      </c>
      <c r="Z695" s="95"/>
      <c r="AA695" s="8"/>
      <c r="AB695" s="8"/>
      <c r="AC695" s="8"/>
      <c r="AD695" s="8"/>
      <c r="AE695" s="11" t="s">
        <v>1554</v>
      </c>
      <c r="AF695" s="9"/>
      <c r="AG695" t="str">
        <f>VLOOKUP(OfficeForms.Table[[#This Row],[Nama Proyek]],'Nama Proyek'!$D$2:$G$29,4,0)</f>
        <v>3.76047575,115.89977678</v>
      </c>
      <c r="AH695" s="5"/>
      <c r="AI695" s="5"/>
      <c r="AJ695" s="5"/>
      <c r="AK695" s="5" t="s">
        <v>1555</v>
      </c>
    </row>
    <row r="696" spans="1:37" ht="15" hidden="1" customHeight="1">
      <c r="A696" s="30">
        <v>708</v>
      </c>
      <c r="B696" s="111">
        <v>45009</v>
      </c>
      <c r="C696" s="29">
        <f>B696</f>
        <v>45009</v>
      </c>
      <c r="D696" s="9" t="s">
        <v>37</v>
      </c>
      <c r="E696" s="9" t="s">
        <v>214</v>
      </c>
      <c r="F696" s="5" t="str">
        <f>E696</f>
        <v>BASUKI RAHMAT HAKIM</v>
      </c>
      <c r="G696" s="59" t="s">
        <v>48</v>
      </c>
      <c r="H696" s="104"/>
      <c r="I696" s="94">
        <v>0</v>
      </c>
      <c r="J696" s="94">
        <v>0</v>
      </c>
      <c r="K696" s="94">
        <v>0</v>
      </c>
      <c r="L696" s="94">
        <v>0</v>
      </c>
      <c r="M696" s="94">
        <v>0</v>
      </c>
      <c r="N696" s="94">
        <v>0</v>
      </c>
      <c r="O696" s="94">
        <v>0</v>
      </c>
      <c r="P696" s="94">
        <v>0</v>
      </c>
      <c r="Q696" s="94">
        <v>0</v>
      </c>
      <c r="R696" s="94">
        <v>0</v>
      </c>
      <c r="S696" s="94">
        <v>0</v>
      </c>
      <c r="T696" s="94">
        <v>0</v>
      </c>
      <c r="U696" s="94">
        <v>0</v>
      </c>
      <c r="V696" s="94">
        <v>0</v>
      </c>
      <c r="W696" s="94">
        <v>0</v>
      </c>
      <c r="X696" s="94">
        <v>0</v>
      </c>
      <c r="Y696" s="94">
        <v>0</v>
      </c>
      <c r="Z696" s="94"/>
      <c r="AA696" s="9" t="s">
        <v>1556</v>
      </c>
      <c r="AB696" s="9" t="s">
        <v>1557</v>
      </c>
      <c r="AC696" s="9" t="s">
        <v>1558</v>
      </c>
      <c r="AD696" s="9"/>
      <c r="AE696" s="12"/>
      <c r="AF696" s="8"/>
      <c r="AG696" t="str">
        <f>VLOOKUP(OfficeForms.Table[[#This Row],[Nama Proyek]],'Nama Proyek'!$D$2:$G$29,4,0)</f>
        <v>3.76047575,115.89977678</v>
      </c>
      <c r="AH696" s="5"/>
      <c r="AI696" s="5"/>
      <c r="AJ696" s="5"/>
      <c r="AK696" s="5" t="s">
        <v>1559</v>
      </c>
    </row>
    <row r="697" spans="1:37" ht="15" hidden="1" customHeight="1">
      <c r="A697" s="31">
        <v>783</v>
      </c>
      <c r="B697" s="110">
        <v>45009</v>
      </c>
      <c r="C697" s="28">
        <f>B697</f>
        <v>45009</v>
      </c>
      <c r="D697" s="19" t="s">
        <v>37</v>
      </c>
      <c r="E697" s="19" t="s">
        <v>75</v>
      </c>
      <c r="F697" s="5" t="str">
        <f>E697</f>
        <v>Banyu Purwita</v>
      </c>
      <c r="G697" s="34" t="s">
        <v>76</v>
      </c>
      <c r="H697" s="101"/>
      <c r="I697" s="96">
        <v>0</v>
      </c>
      <c r="J697" s="96">
        <v>0</v>
      </c>
      <c r="K697" s="96">
        <v>0</v>
      </c>
      <c r="L697" s="96">
        <v>0</v>
      </c>
      <c r="M697" s="96">
        <v>0</v>
      </c>
      <c r="N697" s="96">
        <v>0</v>
      </c>
      <c r="O697" s="96">
        <v>0</v>
      </c>
      <c r="P697" s="96">
        <v>0</v>
      </c>
      <c r="Q697" s="96">
        <v>0</v>
      </c>
      <c r="R697" s="96">
        <v>0</v>
      </c>
      <c r="S697" s="96">
        <v>0</v>
      </c>
      <c r="T697" s="96">
        <v>0</v>
      </c>
      <c r="U697" s="96">
        <v>0</v>
      </c>
      <c r="V697" s="96">
        <v>0</v>
      </c>
      <c r="W697" s="96">
        <v>0</v>
      </c>
      <c r="X697" s="96">
        <v>0</v>
      </c>
      <c r="Y697" s="96">
        <v>0</v>
      </c>
      <c r="Z697" s="96"/>
      <c r="AA697" s="19"/>
      <c r="AB697" s="19"/>
      <c r="AC697" s="19"/>
      <c r="AD697" s="19"/>
      <c r="AE697" s="13" t="s">
        <v>1560</v>
      </c>
      <c r="AF697" s="15"/>
      <c r="AG697" t="str">
        <f>VLOOKUP(OfficeForms.Table[[#This Row],[Nama Proyek]],'Nama Proyek'!$D$2:$G$29,4,0)</f>
        <v>-2.95293103,104.75455094</v>
      </c>
      <c r="AH697" s="5"/>
      <c r="AI697" s="5"/>
      <c r="AJ697" s="5"/>
      <c r="AK697" s="5" t="s">
        <v>1561</v>
      </c>
    </row>
    <row r="698" spans="1:37" ht="15" hidden="1" customHeight="1">
      <c r="A698">
        <v>791</v>
      </c>
      <c r="B698" s="110">
        <v>45009</v>
      </c>
      <c r="C698" s="28">
        <f>B698</f>
        <v>45009</v>
      </c>
      <c r="D698" s="8" t="s">
        <v>37</v>
      </c>
      <c r="E698" s="8" t="s">
        <v>75</v>
      </c>
      <c r="F698" s="5" t="str">
        <f>E698</f>
        <v>Banyu Purwita</v>
      </c>
      <c r="G698" s="34" t="s">
        <v>76</v>
      </c>
      <c r="H698" s="102"/>
      <c r="I698" s="95">
        <v>0</v>
      </c>
      <c r="J698" s="95">
        <v>0</v>
      </c>
      <c r="K698" s="95">
        <v>0</v>
      </c>
      <c r="L698" s="95">
        <v>0</v>
      </c>
      <c r="M698" s="95">
        <v>0</v>
      </c>
      <c r="N698" s="95">
        <v>0</v>
      </c>
      <c r="O698" s="95">
        <v>0</v>
      </c>
      <c r="P698" s="95">
        <v>0</v>
      </c>
      <c r="Q698" s="95">
        <v>0</v>
      </c>
      <c r="R698" s="95">
        <v>0</v>
      </c>
      <c r="S698" s="95">
        <v>0</v>
      </c>
      <c r="T698" s="95">
        <v>0</v>
      </c>
      <c r="U698" s="95">
        <v>0</v>
      </c>
      <c r="V698" s="95">
        <v>0</v>
      </c>
      <c r="W698" s="95">
        <v>0</v>
      </c>
      <c r="X698" s="95">
        <v>0</v>
      </c>
      <c r="Y698" s="95">
        <v>0</v>
      </c>
      <c r="Z698" s="95"/>
      <c r="AA698" s="8" t="s">
        <v>1562</v>
      </c>
      <c r="AB698" s="8" t="s">
        <v>1563</v>
      </c>
      <c r="AC698" s="8"/>
      <c r="AD698" s="8"/>
      <c r="AE698" s="16"/>
      <c r="AF698" s="17" t="s">
        <v>1564</v>
      </c>
      <c r="AG698" t="str">
        <f>VLOOKUP(OfficeForms.Table[[#This Row],[Nama Proyek]],'Nama Proyek'!$D$2:$G$29,4,0)</f>
        <v>-2.95293103,104.75455094</v>
      </c>
      <c r="AH698" s="5"/>
      <c r="AI698" s="5"/>
      <c r="AJ698" s="5"/>
      <c r="AK698" s="5" t="s">
        <v>1565</v>
      </c>
    </row>
    <row r="699" spans="1:37" ht="15" hidden="1" customHeight="1">
      <c r="A699">
        <v>709</v>
      </c>
      <c r="B699" s="110">
        <v>45011</v>
      </c>
      <c r="C699" s="28">
        <f>B699</f>
        <v>45011</v>
      </c>
      <c r="D699" s="8" t="s">
        <v>37</v>
      </c>
      <c r="E699" s="8" t="s">
        <v>687</v>
      </c>
      <c r="F699" s="5" t="str">
        <f>E699</f>
        <v>Andri Julio Hermawan</v>
      </c>
      <c r="G699" s="39" t="s">
        <v>750</v>
      </c>
      <c r="H699" s="105">
        <v>45005</v>
      </c>
      <c r="I699" s="95">
        <v>13.707000000000001</v>
      </c>
      <c r="J699" s="95">
        <v>13.254</v>
      </c>
      <c r="K699" s="95">
        <v>0</v>
      </c>
      <c r="L699" s="95">
        <v>0</v>
      </c>
      <c r="M699" s="95">
        <v>10.013</v>
      </c>
      <c r="N699" s="95">
        <v>0</v>
      </c>
      <c r="O699" s="95">
        <v>0</v>
      </c>
      <c r="P699" s="95">
        <v>0</v>
      </c>
      <c r="Q699" s="95">
        <v>0</v>
      </c>
      <c r="R699" s="95">
        <v>0</v>
      </c>
      <c r="S699" s="95">
        <v>3.11</v>
      </c>
      <c r="T699" s="95">
        <v>0</v>
      </c>
      <c r="U699" s="95">
        <v>0</v>
      </c>
      <c r="V699" s="95">
        <v>0</v>
      </c>
      <c r="W699" s="95">
        <v>0</v>
      </c>
      <c r="X699" s="95">
        <v>0</v>
      </c>
      <c r="Y699" s="95">
        <v>0</v>
      </c>
      <c r="Z699" s="95"/>
      <c r="AA699" s="8"/>
      <c r="AB699" s="8"/>
      <c r="AC699" s="8"/>
      <c r="AD699" s="8"/>
      <c r="AE699" s="16"/>
      <c r="AF699" s="40" t="s">
        <v>1566</v>
      </c>
      <c r="AG699" t="str">
        <f>VLOOKUP(OfficeForms.Table[[#This Row],[Nama Proyek]],'Nama Proyek'!$D$2:$G$29,4,0)</f>
        <v>-1.10415341,116.73424356</v>
      </c>
      <c r="AH699" s="5"/>
      <c r="AI699" s="5"/>
      <c r="AJ699" s="5"/>
      <c r="AK699" s="5" t="s">
        <v>1567</v>
      </c>
    </row>
    <row r="700" spans="1:37" ht="15" hidden="1" customHeight="1">
      <c r="A700" s="31">
        <v>681</v>
      </c>
      <c r="B700" s="110">
        <v>45011</v>
      </c>
      <c r="C700" s="28">
        <f>B700</f>
        <v>45011</v>
      </c>
      <c r="D700" s="8" t="s">
        <v>37</v>
      </c>
      <c r="E700" s="8" t="s">
        <v>994</v>
      </c>
      <c r="F700" s="5" t="str">
        <f>E700</f>
        <v>Nenes Anggi Puspadi</v>
      </c>
      <c r="G700" s="39" t="s">
        <v>924</v>
      </c>
      <c r="H700" s="105"/>
      <c r="I700" s="95">
        <v>0</v>
      </c>
      <c r="J700" s="95">
        <v>0</v>
      </c>
      <c r="K700" s="95">
        <v>0</v>
      </c>
      <c r="L700" s="95">
        <v>0</v>
      </c>
      <c r="M700" s="95">
        <v>0</v>
      </c>
      <c r="N700" s="95">
        <v>0</v>
      </c>
      <c r="O700" s="95">
        <v>0</v>
      </c>
      <c r="P700" s="95">
        <v>0</v>
      </c>
      <c r="Q700" s="95">
        <v>0</v>
      </c>
      <c r="R700" s="95">
        <v>0</v>
      </c>
      <c r="S700" s="95">
        <v>0</v>
      </c>
      <c r="T700" s="95">
        <v>0</v>
      </c>
      <c r="U700" s="95">
        <v>0</v>
      </c>
      <c r="V700" s="95">
        <v>0</v>
      </c>
      <c r="W700" s="95">
        <v>0</v>
      </c>
      <c r="X700" s="95">
        <v>0</v>
      </c>
      <c r="Y700" s="95">
        <v>0</v>
      </c>
      <c r="Z700" s="95"/>
      <c r="AA700" s="8" t="s">
        <v>1568</v>
      </c>
      <c r="AB700" s="41" t="s">
        <v>1569</v>
      </c>
      <c r="AC700" s="8"/>
      <c r="AD700" s="8"/>
      <c r="AE700" s="11"/>
      <c r="AF700" s="40" t="s">
        <v>1570</v>
      </c>
      <c r="AG700" t="str">
        <f>VLOOKUP(OfficeForms.Table[[#This Row],[Nama Proyek]],'Nama Proyek'!$D$2:$G$40,4,0)</f>
        <v>-3.25078511,134.87791156</v>
      </c>
      <c r="AH700" s="5"/>
      <c r="AI700" s="5"/>
      <c r="AJ700" s="5"/>
      <c r="AK700" s="5" t="s">
        <v>1571</v>
      </c>
    </row>
    <row r="701" spans="1:37" ht="15" hidden="1" customHeight="1">
      <c r="A701" s="31">
        <v>691</v>
      </c>
      <c r="B701" s="110">
        <v>45011</v>
      </c>
      <c r="C701" s="28">
        <f>B701</f>
        <v>45011</v>
      </c>
      <c r="D701" s="8" t="s">
        <v>37</v>
      </c>
      <c r="E701" s="8" t="s">
        <v>994</v>
      </c>
      <c r="F701" s="5" t="str">
        <f>E701</f>
        <v>Nenes Anggi Puspadi</v>
      </c>
      <c r="G701" s="23" t="s">
        <v>924</v>
      </c>
      <c r="H701" s="105"/>
      <c r="I701" s="95">
        <v>0</v>
      </c>
      <c r="J701" s="95">
        <v>0</v>
      </c>
      <c r="K701" s="95">
        <v>0</v>
      </c>
      <c r="L701" s="95">
        <v>0</v>
      </c>
      <c r="M701" s="95">
        <v>0</v>
      </c>
      <c r="N701" s="95">
        <v>0</v>
      </c>
      <c r="O701" s="95">
        <v>0</v>
      </c>
      <c r="P701" s="95">
        <v>0</v>
      </c>
      <c r="Q701" s="95">
        <v>0</v>
      </c>
      <c r="R701" s="95">
        <v>0</v>
      </c>
      <c r="S701" s="95">
        <v>0</v>
      </c>
      <c r="T701" s="95">
        <v>0</v>
      </c>
      <c r="U701" s="95">
        <v>0</v>
      </c>
      <c r="V701" s="95">
        <v>0</v>
      </c>
      <c r="W701" s="95">
        <v>0</v>
      </c>
      <c r="X701" s="95">
        <v>0</v>
      </c>
      <c r="Y701" s="95">
        <v>0</v>
      </c>
      <c r="Z701" s="95"/>
      <c r="AA701" s="8"/>
      <c r="AB701" s="8"/>
      <c r="AC701" s="8"/>
      <c r="AD701" s="8"/>
      <c r="AE701" s="11" t="s">
        <v>1572</v>
      </c>
      <c r="AF701" s="41" t="s">
        <v>1573</v>
      </c>
      <c r="AG701" t="str">
        <f>VLOOKUP(OfficeForms.Table[[#This Row],[Nama Proyek]],'Nama Proyek'!$D$2:$G$40,4,0)</f>
        <v>-3.25078511,134.87791156</v>
      </c>
      <c r="AH701" s="5"/>
      <c r="AI701" s="5"/>
      <c r="AJ701" s="5"/>
      <c r="AK701" s="5" t="s">
        <v>1574</v>
      </c>
    </row>
    <row r="702" spans="1:37" ht="15" hidden="1" customHeight="1">
      <c r="A702" s="30">
        <v>710</v>
      </c>
      <c r="B702" s="111">
        <v>45011</v>
      </c>
      <c r="C702" s="29">
        <f>B702</f>
        <v>45011</v>
      </c>
      <c r="D702" s="9" t="s">
        <v>37</v>
      </c>
      <c r="E702" s="9" t="s">
        <v>687</v>
      </c>
      <c r="F702" s="5" t="str">
        <f>E702</f>
        <v>Andri Julio Hermawan</v>
      </c>
      <c r="G702" s="32" t="s">
        <v>750</v>
      </c>
      <c r="H702" s="103"/>
      <c r="I702" s="94">
        <v>0</v>
      </c>
      <c r="J702" s="94">
        <v>0</v>
      </c>
      <c r="K702" s="94">
        <v>0</v>
      </c>
      <c r="L702" s="94">
        <v>0</v>
      </c>
      <c r="M702" s="94">
        <v>0</v>
      </c>
      <c r="N702" s="94">
        <v>0</v>
      </c>
      <c r="O702" s="94">
        <v>0</v>
      </c>
      <c r="P702" s="94">
        <v>0</v>
      </c>
      <c r="Q702" s="94">
        <v>0</v>
      </c>
      <c r="R702" s="94">
        <v>0</v>
      </c>
      <c r="S702" s="94">
        <v>0</v>
      </c>
      <c r="T702" s="94">
        <v>0</v>
      </c>
      <c r="U702" s="94">
        <v>0</v>
      </c>
      <c r="V702" s="94">
        <v>0</v>
      </c>
      <c r="W702" s="94">
        <v>0</v>
      </c>
      <c r="X702" s="94">
        <v>0</v>
      </c>
      <c r="Y702" s="94">
        <v>0</v>
      </c>
      <c r="Z702" s="94"/>
      <c r="AA702" s="9"/>
      <c r="AB702" s="9"/>
      <c r="AC702" s="9"/>
      <c r="AD702" s="9"/>
      <c r="AE702" s="12" t="s">
        <v>1548</v>
      </c>
      <c r="AF702" s="15"/>
      <c r="AG702" t="str">
        <f>VLOOKUP(OfficeForms.Table[[#This Row],[Nama Proyek]],'Nama Proyek'!$D$2:$G$29,4,0)</f>
        <v>-1.10415341,116.73424356</v>
      </c>
      <c r="AH702" s="5"/>
      <c r="AI702" s="5"/>
      <c r="AJ702" s="5"/>
      <c r="AK702" s="5" t="s">
        <v>1575</v>
      </c>
    </row>
    <row r="703" spans="1:37" ht="15" hidden="1" customHeight="1">
      <c r="A703">
        <v>711</v>
      </c>
      <c r="B703" s="110">
        <v>45011</v>
      </c>
      <c r="C703" s="28">
        <f>B703</f>
        <v>45011</v>
      </c>
      <c r="D703" s="8" t="s">
        <v>37</v>
      </c>
      <c r="E703" s="8" t="s">
        <v>687</v>
      </c>
      <c r="F703" s="5" t="str">
        <f>E703</f>
        <v>Andri Julio Hermawan</v>
      </c>
      <c r="G703" s="23" t="s">
        <v>750</v>
      </c>
      <c r="H703" s="102"/>
      <c r="I703" s="95">
        <v>0</v>
      </c>
      <c r="J703" s="95">
        <v>0</v>
      </c>
      <c r="K703" s="95">
        <v>0</v>
      </c>
      <c r="L703" s="95">
        <v>0</v>
      </c>
      <c r="M703" s="95">
        <v>0</v>
      </c>
      <c r="N703" s="95">
        <v>0</v>
      </c>
      <c r="O703" s="95">
        <v>0</v>
      </c>
      <c r="P703" s="95">
        <v>0</v>
      </c>
      <c r="Q703" s="95">
        <v>0</v>
      </c>
      <c r="R703" s="95">
        <v>0</v>
      </c>
      <c r="S703" s="95">
        <v>0</v>
      </c>
      <c r="T703" s="95">
        <v>0</v>
      </c>
      <c r="U703" s="95">
        <v>0</v>
      </c>
      <c r="V703" s="95">
        <v>0</v>
      </c>
      <c r="W703" s="95">
        <v>0</v>
      </c>
      <c r="X703" s="95">
        <v>0</v>
      </c>
      <c r="Y703" s="95">
        <v>0</v>
      </c>
      <c r="Z703" s="95"/>
      <c r="AA703" s="8" t="s">
        <v>1576</v>
      </c>
      <c r="AB703" s="8" t="s">
        <v>1577</v>
      </c>
      <c r="AC703" s="8" t="s">
        <v>1578</v>
      </c>
      <c r="AD703" s="8" t="s">
        <v>1578</v>
      </c>
      <c r="AE703" s="16"/>
      <c r="AF703" s="8"/>
      <c r="AG703" t="str">
        <f>VLOOKUP(OfficeForms.Table[[#This Row],[Nama Proyek]],'Nama Proyek'!$D$2:$G$29,4,0)</f>
        <v>-1.10415341,116.73424356</v>
      </c>
      <c r="AH703" s="5"/>
      <c r="AI703" s="5"/>
      <c r="AJ703" s="5"/>
      <c r="AK703" s="5" t="s">
        <v>1579</v>
      </c>
    </row>
    <row r="704" spans="1:37" ht="15" hidden="1" customHeight="1">
      <c r="A704" s="50">
        <v>713</v>
      </c>
      <c r="B704" s="110">
        <v>45011</v>
      </c>
      <c r="C704" s="28">
        <f>B704</f>
        <v>45011</v>
      </c>
      <c r="D704" s="8" t="s">
        <v>37</v>
      </c>
      <c r="E704" s="8" t="s">
        <v>994</v>
      </c>
      <c r="F704" s="5" t="str">
        <f>E704</f>
        <v>Nenes Anggi Puspadi</v>
      </c>
      <c r="G704" s="23" t="s">
        <v>924</v>
      </c>
      <c r="H704" s="105"/>
      <c r="I704" s="95">
        <v>0</v>
      </c>
      <c r="J704" s="95">
        <v>0</v>
      </c>
      <c r="K704" s="95">
        <v>0</v>
      </c>
      <c r="L704" s="95">
        <v>0</v>
      </c>
      <c r="M704" s="95">
        <v>0</v>
      </c>
      <c r="N704" s="95">
        <v>0</v>
      </c>
      <c r="O704" s="95">
        <v>0</v>
      </c>
      <c r="P704" s="95">
        <v>0</v>
      </c>
      <c r="Q704" s="95">
        <v>0</v>
      </c>
      <c r="R704" s="95">
        <v>0</v>
      </c>
      <c r="S704" s="95">
        <v>0</v>
      </c>
      <c r="T704" s="95">
        <v>0</v>
      </c>
      <c r="U704" s="95">
        <v>0</v>
      </c>
      <c r="V704" s="95">
        <v>0</v>
      </c>
      <c r="W704" s="95">
        <v>0</v>
      </c>
      <c r="X704" s="95">
        <v>0</v>
      </c>
      <c r="Y704" s="95">
        <v>0</v>
      </c>
      <c r="Z704" s="95"/>
      <c r="AA704" s="8"/>
      <c r="AB704" s="8"/>
      <c r="AC704" s="8"/>
      <c r="AD704" s="8"/>
      <c r="AE704" s="11" t="s">
        <v>1572</v>
      </c>
      <c r="AF704" s="8"/>
      <c r="AG704" t="str">
        <f>VLOOKUP(OfficeForms.Table[[#This Row],[Nama Proyek]],'Nama Proyek'!$D$2:$G$40,4,0)</f>
        <v>-3.25078511,134.87791156</v>
      </c>
      <c r="AH704" s="5"/>
      <c r="AI704" s="5"/>
      <c r="AJ704" s="5"/>
      <c r="AK704" s="5" t="s">
        <v>1580</v>
      </c>
    </row>
    <row r="705" spans="1:37" ht="15" hidden="1" customHeight="1">
      <c r="A705" s="31">
        <v>875</v>
      </c>
      <c r="B705" s="110">
        <v>45012</v>
      </c>
      <c r="C705" s="28">
        <f>B705</f>
        <v>45012</v>
      </c>
      <c r="D705" s="19" t="s">
        <v>37</v>
      </c>
      <c r="E705" s="19" t="s">
        <v>64</v>
      </c>
      <c r="F705" s="5" t="str">
        <f>E705</f>
        <v>Nizar Zulkarnain</v>
      </c>
      <c r="G705" s="19" t="s">
        <v>65</v>
      </c>
      <c r="H705" s="106">
        <v>45004</v>
      </c>
      <c r="I705" s="96">
        <v>75.706000000000003</v>
      </c>
      <c r="J705" s="96">
        <v>81.582999999999998</v>
      </c>
      <c r="K705" s="96">
        <v>65.88</v>
      </c>
      <c r="L705" s="96">
        <v>59.06</v>
      </c>
      <c r="M705" s="96">
        <v>82.64</v>
      </c>
      <c r="N705" s="96">
        <v>83.14</v>
      </c>
      <c r="O705" s="96">
        <v>52.46</v>
      </c>
      <c r="P705" s="96">
        <v>65.349999999999994</v>
      </c>
      <c r="Q705" s="96">
        <v>58.08</v>
      </c>
      <c r="R705" s="96">
        <v>57.67</v>
      </c>
      <c r="S705" s="96">
        <v>85.36</v>
      </c>
      <c r="T705" s="96">
        <v>90.16</v>
      </c>
      <c r="U705" s="96">
        <v>37.020000000000003</v>
      </c>
      <c r="V705" s="96">
        <v>24.18</v>
      </c>
      <c r="W705" s="96">
        <v>0</v>
      </c>
      <c r="X705" s="96">
        <v>98.36</v>
      </c>
      <c r="Y705" s="96">
        <v>41.02</v>
      </c>
      <c r="Z705" s="96"/>
      <c r="AA705" s="19"/>
      <c r="AB705" s="19"/>
      <c r="AC705" s="19"/>
      <c r="AD705" s="19"/>
      <c r="AE705" s="13"/>
      <c r="AF705" s="8"/>
      <c r="AG705" t="str">
        <f>VLOOKUP(OfficeForms.Table[[#This Row],[Nama Proyek]],'Nama Proyek'!$D$2:$G$29,4,0)</f>
        <v>-6.35008011,107.02324233</v>
      </c>
      <c r="AH705" s="5"/>
      <c r="AI705" s="5"/>
      <c r="AJ705" s="5"/>
      <c r="AK705" s="5" t="s">
        <v>1581</v>
      </c>
    </row>
    <row r="706" spans="1:37" ht="15" hidden="1" customHeight="1">
      <c r="A706" s="31">
        <v>936</v>
      </c>
      <c r="B706" s="111">
        <v>45012</v>
      </c>
      <c r="C706" s="29">
        <f>B706</f>
        <v>45012</v>
      </c>
      <c r="D706" s="9" t="s">
        <v>37</v>
      </c>
      <c r="E706" s="9" t="s">
        <v>1109</v>
      </c>
      <c r="F706" s="5" t="str">
        <f>E706</f>
        <v>Anzalar Rahman</v>
      </c>
      <c r="G706" s="36" t="s">
        <v>714</v>
      </c>
      <c r="H706" s="103">
        <v>45004</v>
      </c>
      <c r="I706" s="94">
        <v>18.03</v>
      </c>
      <c r="J706" s="94">
        <v>20.707000000000001</v>
      </c>
      <c r="K706" s="94">
        <v>0</v>
      </c>
      <c r="L706" s="94">
        <v>0</v>
      </c>
      <c r="M706" s="94">
        <v>0</v>
      </c>
      <c r="N706" s="94">
        <v>0</v>
      </c>
      <c r="O706" s="94">
        <v>0</v>
      </c>
      <c r="P706" s="94">
        <v>0</v>
      </c>
      <c r="Q706" s="94">
        <v>0</v>
      </c>
      <c r="R706" s="94">
        <v>0</v>
      </c>
      <c r="S706" s="94">
        <v>0</v>
      </c>
      <c r="T706" s="94">
        <v>0</v>
      </c>
      <c r="U706" s="94">
        <v>0</v>
      </c>
      <c r="V706" s="94">
        <v>0</v>
      </c>
      <c r="W706" s="94">
        <v>0</v>
      </c>
      <c r="X706" s="94">
        <v>0</v>
      </c>
      <c r="Y706" s="94">
        <v>0</v>
      </c>
      <c r="Z706" s="94"/>
      <c r="AA706" s="9"/>
      <c r="AB706" s="9"/>
      <c r="AC706" s="9"/>
      <c r="AD706" s="9"/>
      <c r="AE706" s="12"/>
      <c r="AF706" s="42"/>
      <c r="AG706" t="str">
        <f>VLOOKUP(OfficeForms.Table[[#This Row],[Nama Proyek]],'Nama Proyek'!$D$2:$G$29,4,0)</f>
        <v>-0.95259625,116.71704453</v>
      </c>
      <c r="AH706" s="5"/>
      <c r="AI706" s="5"/>
      <c r="AJ706" s="5"/>
      <c r="AK706" s="5" t="s">
        <v>1582</v>
      </c>
    </row>
    <row r="707" spans="1:37" ht="15" hidden="1" customHeight="1">
      <c r="A707" s="30">
        <v>723</v>
      </c>
      <c r="B707" s="110">
        <v>45012</v>
      </c>
      <c r="C707" s="28">
        <f>B707</f>
        <v>45012</v>
      </c>
      <c r="D707" s="8" t="s">
        <v>37</v>
      </c>
      <c r="E707" s="8" t="s">
        <v>57</v>
      </c>
      <c r="F707" s="5" t="s">
        <v>57</v>
      </c>
      <c r="G707" s="15" t="s">
        <v>58</v>
      </c>
      <c r="H707" s="102">
        <v>45011</v>
      </c>
      <c r="I707" s="95">
        <v>25.963999999999999</v>
      </c>
      <c r="J707" s="95">
        <v>77.070999999999998</v>
      </c>
      <c r="K707" s="95">
        <v>0</v>
      </c>
      <c r="L707" s="95">
        <v>0.35699999999999998</v>
      </c>
      <c r="M707" s="95">
        <v>0.26200000000000001</v>
      </c>
      <c r="N707" s="95">
        <v>13.209</v>
      </c>
      <c r="O707" s="95">
        <v>6.8129999999999997</v>
      </c>
      <c r="P707" s="95">
        <v>0.20499999999999999</v>
      </c>
      <c r="Q707" s="95">
        <v>1.1850000000000001</v>
      </c>
      <c r="R707" s="95">
        <v>0.32400000000000001</v>
      </c>
      <c r="S707" s="95">
        <v>0</v>
      </c>
      <c r="T707" s="95">
        <v>0.24</v>
      </c>
      <c r="U707" s="95">
        <v>0</v>
      </c>
      <c r="V707" s="95">
        <v>0</v>
      </c>
      <c r="W707" s="95">
        <v>0</v>
      </c>
      <c r="X707" s="95">
        <v>0</v>
      </c>
      <c r="Y707" s="95">
        <v>0</v>
      </c>
      <c r="Z707" s="95"/>
      <c r="AA707" s="8"/>
      <c r="AB707" s="8"/>
      <c r="AC707" s="15"/>
      <c r="AD707" s="15"/>
      <c r="AE707" s="16"/>
      <c r="AF707" s="9" t="s">
        <v>1583</v>
      </c>
      <c r="AG707" t="str">
        <f>VLOOKUP(OfficeForms.Table[[#This Row],[Nama Proyek]],'Nama Proyek'!$D$2:$G$29,4,0)</f>
        <v>-6.12967558,107.07321308</v>
      </c>
      <c r="AH707" s="5"/>
      <c r="AI707" s="5"/>
      <c r="AJ707" s="5"/>
      <c r="AK707" s="5" t="s">
        <v>1584</v>
      </c>
    </row>
    <row r="708" spans="1:37" ht="15" hidden="1" customHeight="1">
      <c r="A708">
        <v>876</v>
      </c>
      <c r="B708" s="111">
        <v>45012</v>
      </c>
      <c r="C708" s="29">
        <f>B708</f>
        <v>45012</v>
      </c>
      <c r="D708" s="8" t="s">
        <v>37</v>
      </c>
      <c r="E708" s="8" t="s">
        <v>64</v>
      </c>
      <c r="F708" s="5" t="str">
        <f>E708</f>
        <v>Nizar Zulkarnain</v>
      </c>
      <c r="G708" s="17" t="s">
        <v>65</v>
      </c>
      <c r="H708" s="105">
        <v>45011</v>
      </c>
      <c r="I708" s="95">
        <v>75.917000000000002</v>
      </c>
      <c r="J708" s="95">
        <v>81.582999999999998</v>
      </c>
      <c r="K708" s="95">
        <v>66.55</v>
      </c>
      <c r="L708" s="95">
        <v>59.06</v>
      </c>
      <c r="M708" s="95">
        <v>82.66</v>
      </c>
      <c r="N708" s="95">
        <v>83.14</v>
      </c>
      <c r="O708" s="95">
        <v>54.53</v>
      </c>
      <c r="P708" s="95">
        <v>65.349999999999994</v>
      </c>
      <c r="Q708" s="95">
        <v>59.23</v>
      </c>
      <c r="R708" s="95">
        <v>57.67</v>
      </c>
      <c r="S708" s="95">
        <v>85.47</v>
      </c>
      <c r="T708" s="95">
        <v>90.16</v>
      </c>
      <c r="U708" s="95">
        <v>37.14</v>
      </c>
      <c r="V708" s="95">
        <v>24.22</v>
      </c>
      <c r="W708" s="95">
        <v>0</v>
      </c>
      <c r="X708" s="95">
        <v>98.36</v>
      </c>
      <c r="Y708" s="95">
        <v>41.02</v>
      </c>
      <c r="Z708" s="95"/>
      <c r="AA708" s="8"/>
      <c r="AB708" s="8"/>
      <c r="AC708" s="8"/>
      <c r="AD708" s="8"/>
      <c r="AE708" s="11"/>
      <c r="AF708" s="8" t="s">
        <v>1585</v>
      </c>
      <c r="AG708" t="str">
        <f>VLOOKUP(OfficeForms.Table[[#This Row],[Nama Proyek]],'Nama Proyek'!$D$2:$G$29,4,0)</f>
        <v>-6.35008011,107.02324233</v>
      </c>
      <c r="AH708" s="5"/>
      <c r="AI708" s="5"/>
      <c r="AJ708" s="5"/>
      <c r="AK708" s="5" t="s">
        <v>1586</v>
      </c>
    </row>
    <row r="709" spans="1:37" ht="15" hidden="1" customHeight="1">
      <c r="A709" s="50">
        <v>1032</v>
      </c>
      <c r="B709" s="111">
        <v>45012</v>
      </c>
      <c r="C709" s="29">
        <f>B709</f>
        <v>45012</v>
      </c>
      <c r="D709" s="8" t="s">
        <v>37</v>
      </c>
      <c r="E709" s="8" t="s">
        <v>504</v>
      </c>
      <c r="F709" s="5" t="str">
        <f>E709</f>
        <v>Fathan Zul Waskito</v>
      </c>
      <c r="G709" s="17" t="s">
        <v>472</v>
      </c>
      <c r="H709" s="102">
        <v>45012</v>
      </c>
      <c r="I709" s="95">
        <v>52.673000000000002</v>
      </c>
      <c r="J709" s="95">
        <v>95.427000000000007</v>
      </c>
      <c r="K709" s="95">
        <v>0.34200000000000003</v>
      </c>
      <c r="L709" s="95">
        <v>0</v>
      </c>
      <c r="M709" s="95">
        <v>47.470999999999997</v>
      </c>
      <c r="N709" s="95">
        <v>3.0000000000000001E-3</v>
      </c>
      <c r="O709" s="95">
        <v>0.14899999999999999</v>
      </c>
      <c r="P709" s="95">
        <v>6.6000000000000003E-2</v>
      </c>
      <c r="Q709" s="95">
        <v>0.222</v>
      </c>
      <c r="R709" s="95">
        <v>0</v>
      </c>
      <c r="S709" s="95">
        <v>2.2909999999999999</v>
      </c>
      <c r="T709" s="95">
        <v>0.57399999999999995</v>
      </c>
      <c r="U709" s="95">
        <v>0</v>
      </c>
      <c r="V709" s="95">
        <v>0</v>
      </c>
      <c r="W709" s="95">
        <v>0</v>
      </c>
      <c r="X709" s="95">
        <v>0</v>
      </c>
      <c r="Y709" s="95">
        <v>0</v>
      </c>
      <c r="Z709" s="95"/>
      <c r="AA709" s="8"/>
      <c r="AB709" s="8"/>
      <c r="AC709" s="8"/>
      <c r="AD709" s="8"/>
      <c r="AE709" s="11"/>
      <c r="AF709" s="15"/>
      <c r="AG709" t="str">
        <f>VLOOKUP(OfficeForms.Table[[#This Row],[Nama Proyek]],'Nama Proyek'!$D$2:$G$29,4,0)</f>
        <v>-8.29394978,112.00545006</v>
      </c>
      <c r="AH709" s="5"/>
      <c r="AI709" s="5"/>
      <c r="AJ709" s="5"/>
      <c r="AK709" s="5" t="s">
        <v>1587</v>
      </c>
    </row>
    <row r="710" spans="1:37" ht="15" hidden="1" customHeight="1">
      <c r="A710" s="31">
        <v>393</v>
      </c>
      <c r="B710" s="110">
        <v>45012</v>
      </c>
      <c r="C710" s="28">
        <f>B710</f>
        <v>45012</v>
      </c>
      <c r="D710" s="19" t="s">
        <v>37</v>
      </c>
      <c r="E710" s="19" t="s">
        <v>64</v>
      </c>
      <c r="F710" s="5" t="str">
        <f>E710</f>
        <v>Nizar Zulkarnain</v>
      </c>
      <c r="G710" s="42" t="s">
        <v>65</v>
      </c>
      <c r="H710" s="101"/>
      <c r="I710" s="96">
        <v>0</v>
      </c>
      <c r="J710" s="96">
        <v>0</v>
      </c>
      <c r="K710" s="96">
        <v>0</v>
      </c>
      <c r="L710" s="96">
        <v>0</v>
      </c>
      <c r="M710" s="96">
        <v>0</v>
      </c>
      <c r="N710" s="96">
        <v>0</v>
      </c>
      <c r="O710" s="96">
        <v>0</v>
      </c>
      <c r="P710" s="96">
        <v>0</v>
      </c>
      <c r="Q710" s="96">
        <v>0</v>
      </c>
      <c r="R710" s="96">
        <v>0</v>
      </c>
      <c r="S710" s="96">
        <v>0</v>
      </c>
      <c r="T710" s="96">
        <v>0</v>
      </c>
      <c r="U710" s="96">
        <v>0</v>
      </c>
      <c r="V710" s="96">
        <v>0</v>
      </c>
      <c r="W710" s="96">
        <v>0</v>
      </c>
      <c r="X710" s="96">
        <v>0</v>
      </c>
      <c r="Y710" s="96">
        <v>0</v>
      </c>
      <c r="Z710" s="96"/>
      <c r="AA710" s="19" t="s">
        <v>1588</v>
      </c>
      <c r="AB710" s="19"/>
      <c r="AC710" s="19"/>
      <c r="AD710" s="42"/>
      <c r="AE710" s="24"/>
      <c r="AF710" s="41" t="s">
        <v>1589</v>
      </c>
      <c r="AG710" t="str">
        <f>VLOOKUP(OfficeForms.Table[[#This Row],[Nama Proyek]],'Nama Proyek'!$D$2:$G$29,4,0)</f>
        <v>-6.35008011,107.02324233</v>
      </c>
      <c r="AH710" s="5"/>
      <c r="AI710" s="5"/>
      <c r="AJ710" s="5"/>
      <c r="AK710" s="5" t="s">
        <v>1590</v>
      </c>
    </row>
    <row r="711" spans="1:37" ht="15" hidden="1" customHeight="1">
      <c r="A711" s="30">
        <v>575</v>
      </c>
      <c r="B711" s="110">
        <v>45012</v>
      </c>
      <c r="C711" s="28">
        <f>B711</f>
        <v>45012</v>
      </c>
      <c r="D711" s="19" t="s">
        <v>37</v>
      </c>
      <c r="E711" s="19" t="s">
        <v>1109</v>
      </c>
      <c r="F711" s="5" t="str">
        <f>E711</f>
        <v>Anzalar Rahman</v>
      </c>
      <c r="G711" s="35" t="s">
        <v>714</v>
      </c>
      <c r="H711" s="106"/>
      <c r="I711" s="96">
        <v>0</v>
      </c>
      <c r="J711" s="96">
        <v>0</v>
      </c>
      <c r="K711" s="96">
        <v>0</v>
      </c>
      <c r="L711" s="96">
        <v>0</v>
      </c>
      <c r="M711" s="96">
        <v>0</v>
      </c>
      <c r="N711" s="96">
        <v>0</v>
      </c>
      <c r="O711" s="96">
        <v>0</v>
      </c>
      <c r="P711" s="96">
        <v>0</v>
      </c>
      <c r="Q711" s="96">
        <v>0</v>
      </c>
      <c r="R711" s="96">
        <v>0</v>
      </c>
      <c r="S711" s="96">
        <v>0</v>
      </c>
      <c r="T711" s="96">
        <v>0</v>
      </c>
      <c r="U711" s="96">
        <v>0</v>
      </c>
      <c r="V711" s="96">
        <v>0</v>
      </c>
      <c r="W711" s="96">
        <v>0</v>
      </c>
      <c r="X711" s="96">
        <v>0</v>
      </c>
      <c r="Y711" s="96">
        <v>0</v>
      </c>
      <c r="Z711" s="96"/>
      <c r="AA711" s="19"/>
      <c r="AB711" s="19"/>
      <c r="AC711" s="19"/>
      <c r="AD711" s="19"/>
      <c r="AE711" s="13">
        <v>44927</v>
      </c>
      <c r="AF711" s="8"/>
      <c r="AG711" t="str">
        <f>VLOOKUP(OfficeForms.Table[[#This Row],[Nama Proyek]],'Nama Proyek'!$D$2:$G$29,4,0)</f>
        <v>-0.95259625,116.71704453</v>
      </c>
      <c r="AH711" s="5"/>
      <c r="AI711" s="5"/>
      <c r="AJ711" s="5"/>
      <c r="AK711" s="5" t="s">
        <v>1591</v>
      </c>
    </row>
    <row r="712" spans="1:37" ht="15" hidden="1" customHeight="1">
      <c r="A712" s="31">
        <v>576</v>
      </c>
      <c r="B712" s="111">
        <v>45012</v>
      </c>
      <c r="C712" s="29">
        <f>B712</f>
        <v>45012</v>
      </c>
      <c r="D712" s="8" t="s">
        <v>37</v>
      </c>
      <c r="E712" s="8" t="s">
        <v>1109</v>
      </c>
      <c r="F712" s="5" t="str">
        <f>E712</f>
        <v>Anzalar Rahman</v>
      </c>
      <c r="G712" s="36" t="s">
        <v>714</v>
      </c>
      <c r="H712" s="102"/>
      <c r="I712" s="95">
        <v>0</v>
      </c>
      <c r="J712" s="95">
        <v>0</v>
      </c>
      <c r="K712" s="95">
        <v>0</v>
      </c>
      <c r="L712" s="95">
        <v>0</v>
      </c>
      <c r="M712" s="95">
        <v>0</v>
      </c>
      <c r="N712" s="95">
        <v>0</v>
      </c>
      <c r="O712" s="95">
        <v>0</v>
      </c>
      <c r="P712" s="95">
        <v>0</v>
      </c>
      <c r="Q712" s="95">
        <v>0</v>
      </c>
      <c r="R712" s="95">
        <v>0</v>
      </c>
      <c r="S712" s="95">
        <v>0</v>
      </c>
      <c r="T712" s="95">
        <v>0</v>
      </c>
      <c r="U712" s="95">
        <v>0</v>
      </c>
      <c r="V712" s="95">
        <v>0</v>
      </c>
      <c r="W712" s="95">
        <v>0</v>
      </c>
      <c r="X712" s="95">
        <v>0</v>
      </c>
      <c r="Y712" s="95">
        <v>0</v>
      </c>
      <c r="Z712" s="95"/>
      <c r="AA712" s="8" t="s">
        <v>1592</v>
      </c>
      <c r="AB712" s="8" t="s">
        <v>1593</v>
      </c>
      <c r="AC712" s="8" t="s">
        <v>1594</v>
      </c>
      <c r="AD712" s="8" t="s">
        <v>1595</v>
      </c>
      <c r="AE712" s="11"/>
      <c r="AF712" s="15"/>
      <c r="AG712" t="str">
        <f>VLOOKUP(OfficeForms.Table[[#This Row],[Nama Proyek]],'Nama Proyek'!$D$2:$G$29,4,0)</f>
        <v>-0.95259625,116.71704453</v>
      </c>
      <c r="AH712" s="5"/>
      <c r="AI712" s="5"/>
      <c r="AJ712" s="5"/>
      <c r="AK712" s="5" t="s">
        <v>1596</v>
      </c>
    </row>
    <row r="713" spans="1:37" ht="15" hidden="1" customHeight="1">
      <c r="A713" s="50">
        <v>590</v>
      </c>
      <c r="B713" s="111">
        <v>45012</v>
      </c>
      <c r="C713" s="29">
        <f>B713</f>
        <v>45012</v>
      </c>
      <c r="D713" s="8" t="s">
        <v>37</v>
      </c>
      <c r="E713" s="8" t="s">
        <v>504</v>
      </c>
      <c r="F713" s="5" t="str">
        <f>E713</f>
        <v>Fathan Zul Waskito</v>
      </c>
      <c r="G713" s="17" t="s">
        <v>472</v>
      </c>
      <c r="H713" s="102"/>
      <c r="I713" s="95">
        <v>0</v>
      </c>
      <c r="J713" s="95">
        <v>0</v>
      </c>
      <c r="K713" s="95">
        <v>0</v>
      </c>
      <c r="L713" s="95">
        <v>0</v>
      </c>
      <c r="M713" s="95">
        <v>0</v>
      </c>
      <c r="N713" s="95">
        <v>0</v>
      </c>
      <c r="O713" s="95">
        <v>0</v>
      </c>
      <c r="P713" s="95">
        <v>0</v>
      </c>
      <c r="Q713" s="95">
        <v>0</v>
      </c>
      <c r="R713" s="95">
        <v>0</v>
      </c>
      <c r="S713" s="95">
        <v>0</v>
      </c>
      <c r="T713" s="95">
        <v>0</v>
      </c>
      <c r="U713" s="95">
        <v>0</v>
      </c>
      <c r="V713" s="95">
        <v>0</v>
      </c>
      <c r="W713" s="95">
        <v>0</v>
      </c>
      <c r="X713" s="95">
        <v>0</v>
      </c>
      <c r="Y713" s="95">
        <v>0</v>
      </c>
      <c r="Z713" s="95"/>
      <c r="AA713" s="8"/>
      <c r="AB713" s="8"/>
      <c r="AC713" s="8"/>
      <c r="AD713" s="8"/>
      <c r="AE713" s="16" t="s">
        <v>1597</v>
      </c>
      <c r="AF713" s="8"/>
      <c r="AG713" t="str">
        <f>VLOOKUP(OfficeForms.Table[[#This Row],[Nama Proyek]],'Nama Proyek'!$D$2:$G$29,4,0)</f>
        <v>-8.29394978,112.00545006</v>
      </c>
      <c r="AH713" s="5"/>
      <c r="AI713" s="5"/>
      <c r="AJ713" s="5"/>
      <c r="AK713" s="5" t="s">
        <v>1598</v>
      </c>
    </row>
    <row r="714" spans="1:37" ht="15" hidden="1" customHeight="1">
      <c r="A714">
        <v>605</v>
      </c>
      <c r="B714" s="110">
        <v>45012</v>
      </c>
      <c r="C714" s="28">
        <f>B714</f>
        <v>45012</v>
      </c>
      <c r="D714" s="8" t="s">
        <v>37</v>
      </c>
      <c r="E714" s="8" t="s">
        <v>504</v>
      </c>
      <c r="F714" s="5" t="str">
        <f>E714</f>
        <v>Fathan Zul Waskito</v>
      </c>
      <c r="G714" s="42" t="s">
        <v>472</v>
      </c>
      <c r="H714" s="105"/>
      <c r="I714" s="95">
        <v>0</v>
      </c>
      <c r="J714" s="95">
        <v>0</v>
      </c>
      <c r="K714" s="95">
        <v>0</v>
      </c>
      <c r="L714" s="95">
        <v>0</v>
      </c>
      <c r="M714" s="95">
        <v>0</v>
      </c>
      <c r="N714" s="95">
        <v>0</v>
      </c>
      <c r="O714" s="95">
        <v>0</v>
      </c>
      <c r="P714" s="95">
        <v>0</v>
      </c>
      <c r="Q714" s="95">
        <v>0</v>
      </c>
      <c r="R714" s="95">
        <v>0</v>
      </c>
      <c r="S714" s="95">
        <v>0</v>
      </c>
      <c r="T714" s="95">
        <v>0</v>
      </c>
      <c r="U714" s="95">
        <v>0</v>
      </c>
      <c r="V714" s="95">
        <v>0</v>
      </c>
      <c r="W714" s="95">
        <v>0</v>
      </c>
      <c r="X714" s="95">
        <v>0</v>
      </c>
      <c r="Y714" s="95">
        <v>0</v>
      </c>
      <c r="Z714" s="95"/>
      <c r="AA714" s="8"/>
      <c r="AB714" s="8"/>
      <c r="AC714" s="8"/>
      <c r="AD714" s="8"/>
      <c r="AE714" s="11" t="s">
        <v>1597</v>
      </c>
      <c r="AF714" s="8" t="s">
        <v>1599</v>
      </c>
      <c r="AG714" t="str">
        <f>VLOOKUP(OfficeForms.Table[[#This Row],[Nama Proyek]],'Nama Proyek'!$D$2:$G$29,4,0)</f>
        <v>-8.29394978,112.00545006</v>
      </c>
      <c r="AH714" s="5"/>
      <c r="AI714" s="5"/>
      <c r="AJ714" s="5"/>
      <c r="AK714" s="5" t="s">
        <v>1600</v>
      </c>
    </row>
    <row r="715" spans="1:37" ht="15" hidden="1" customHeight="1">
      <c r="A715" s="30">
        <v>606</v>
      </c>
      <c r="B715" s="111">
        <v>45012</v>
      </c>
      <c r="C715" s="29">
        <f>B715</f>
        <v>45012</v>
      </c>
      <c r="D715" s="8" t="s">
        <v>37</v>
      </c>
      <c r="E715" s="8" t="s">
        <v>504</v>
      </c>
      <c r="F715" s="5" t="str">
        <f>E715</f>
        <v>Fathan Zul Waskito</v>
      </c>
      <c r="G715" s="17" t="s">
        <v>472</v>
      </c>
      <c r="H715" s="102"/>
      <c r="I715" s="95">
        <v>0</v>
      </c>
      <c r="J715" s="95">
        <v>0</v>
      </c>
      <c r="K715" s="95">
        <v>0</v>
      </c>
      <c r="L715" s="95">
        <v>0</v>
      </c>
      <c r="M715" s="95">
        <v>0</v>
      </c>
      <c r="N715" s="95">
        <v>0</v>
      </c>
      <c r="O715" s="95">
        <v>0</v>
      </c>
      <c r="P715" s="95">
        <v>0</v>
      </c>
      <c r="Q715" s="95">
        <v>0</v>
      </c>
      <c r="R715" s="95">
        <v>0</v>
      </c>
      <c r="S715" s="95">
        <v>0</v>
      </c>
      <c r="T715" s="95">
        <v>0</v>
      </c>
      <c r="U715" s="95">
        <v>0</v>
      </c>
      <c r="V715" s="95">
        <v>0</v>
      </c>
      <c r="W715" s="95">
        <v>0</v>
      </c>
      <c r="X715" s="95">
        <v>0</v>
      </c>
      <c r="Y715" s="95">
        <v>0</v>
      </c>
      <c r="Z715" s="95"/>
      <c r="AA715" s="8"/>
      <c r="AB715" s="8"/>
      <c r="AC715" s="8"/>
      <c r="AD715" s="8"/>
      <c r="AE715" s="11" t="s">
        <v>1597</v>
      </c>
      <c r="AF715" s="15"/>
      <c r="AG715" t="str">
        <f>VLOOKUP(OfficeForms.Table[[#This Row],[Nama Proyek]],'Nama Proyek'!$D$2:$G$29,4,0)</f>
        <v>-8.29394978,112.00545006</v>
      </c>
      <c r="AH715" s="5"/>
      <c r="AI715" s="5"/>
      <c r="AJ715" s="5"/>
      <c r="AK715" s="5" t="s">
        <v>1601</v>
      </c>
    </row>
    <row r="716" spans="1:37" ht="15" hidden="1" customHeight="1">
      <c r="A716">
        <v>724</v>
      </c>
      <c r="B716" s="111">
        <v>45012</v>
      </c>
      <c r="C716" s="29">
        <f>B716</f>
        <v>45012</v>
      </c>
      <c r="D716" s="9" t="s">
        <v>37</v>
      </c>
      <c r="E716" s="9" t="s">
        <v>57</v>
      </c>
      <c r="F716" s="5" t="s">
        <v>57</v>
      </c>
      <c r="G716" s="9" t="s">
        <v>58</v>
      </c>
      <c r="H716" s="104"/>
      <c r="I716" s="94">
        <v>0</v>
      </c>
      <c r="J716" s="94">
        <v>0</v>
      </c>
      <c r="K716" s="94">
        <v>0</v>
      </c>
      <c r="L716" s="94">
        <v>0</v>
      </c>
      <c r="M716" s="94">
        <v>0</v>
      </c>
      <c r="N716" s="94">
        <v>0</v>
      </c>
      <c r="O716" s="94">
        <v>0</v>
      </c>
      <c r="P716" s="94">
        <v>0</v>
      </c>
      <c r="Q716" s="94">
        <v>0</v>
      </c>
      <c r="R716" s="94">
        <v>0</v>
      </c>
      <c r="S716" s="94">
        <v>0</v>
      </c>
      <c r="T716" s="94">
        <v>0</v>
      </c>
      <c r="U716" s="94">
        <v>0</v>
      </c>
      <c r="V716" s="94">
        <v>0</v>
      </c>
      <c r="W716" s="94">
        <v>0</v>
      </c>
      <c r="X716" s="94">
        <v>0</v>
      </c>
      <c r="Y716" s="94">
        <v>0</v>
      </c>
      <c r="Z716" s="94"/>
      <c r="AA716" s="9"/>
      <c r="AB716" s="17"/>
      <c r="AC716" s="9"/>
      <c r="AD716" s="17"/>
      <c r="AE716" s="18" t="s">
        <v>1560</v>
      </c>
      <c r="AF716" s="43" t="s">
        <v>1602</v>
      </c>
      <c r="AG716" t="str">
        <f>VLOOKUP(OfficeForms.Table[[#This Row],[Nama Proyek]],'Nama Proyek'!$D$2:$G$29,4,0)</f>
        <v>-6.12967558,107.07321308</v>
      </c>
      <c r="AH716" s="5"/>
      <c r="AI716" s="5"/>
      <c r="AJ716" s="5"/>
      <c r="AK716" s="5" t="s">
        <v>1603</v>
      </c>
    </row>
    <row r="717" spans="1:37" ht="15" hidden="1" customHeight="1">
      <c r="A717" s="50">
        <v>230</v>
      </c>
      <c r="B717" s="111">
        <v>45013</v>
      </c>
      <c r="C717" s="29">
        <f>B717</f>
        <v>45013</v>
      </c>
      <c r="D717" s="8" t="s">
        <v>37</v>
      </c>
      <c r="E717" s="8" t="s">
        <v>54</v>
      </c>
      <c r="F717" s="5" t="str">
        <f>E717</f>
        <v>Haryo Widiandoko</v>
      </c>
      <c r="G717" s="9" t="s">
        <v>55</v>
      </c>
      <c r="H717" s="102">
        <v>45010</v>
      </c>
      <c r="I717" s="95">
        <v>79.03</v>
      </c>
      <c r="J717" s="95">
        <v>82.05</v>
      </c>
      <c r="K717" s="95">
        <v>34.14</v>
      </c>
      <c r="L717" s="95">
        <v>86.63</v>
      </c>
      <c r="M717" s="95">
        <v>68.44</v>
      </c>
      <c r="N717" s="95">
        <v>93.21</v>
      </c>
      <c r="O717" s="95">
        <v>43.8</v>
      </c>
      <c r="P717" s="95">
        <v>55.89</v>
      </c>
      <c r="Q717" s="95">
        <v>64.900000000000006</v>
      </c>
      <c r="R717" s="95">
        <v>75.33</v>
      </c>
      <c r="S717" s="95">
        <v>87.4</v>
      </c>
      <c r="T717" s="95">
        <v>0</v>
      </c>
      <c r="U717" s="95">
        <v>33.68</v>
      </c>
      <c r="V717" s="95">
        <v>24.8</v>
      </c>
      <c r="W717" s="95">
        <v>73.66</v>
      </c>
      <c r="X717" s="95">
        <v>89.01</v>
      </c>
      <c r="Y717" s="95">
        <v>0</v>
      </c>
      <c r="Z717" s="95"/>
      <c r="AA717" s="8"/>
      <c r="AB717" s="8"/>
      <c r="AC717" s="8"/>
      <c r="AD717" s="8"/>
      <c r="AE717" s="11"/>
      <c r="AF717" s="15"/>
      <c r="AG717" t="str">
        <f>VLOOKUP(OfficeForms.Table[[#This Row],[Nama Proyek]],'Nama Proyek'!$D$2:$G$29,4,0)</f>
        <v>-6.42873464,107.19897003</v>
      </c>
      <c r="AH717" s="5"/>
      <c r="AI717" s="5"/>
      <c r="AJ717" s="5"/>
      <c r="AK717" s="5" t="s">
        <v>1604</v>
      </c>
    </row>
    <row r="718" spans="1:37" ht="15" hidden="1" customHeight="1">
      <c r="A718" s="31">
        <v>732</v>
      </c>
      <c r="B718" s="111">
        <v>45013</v>
      </c>
      <c r="C718" s="29">
        <f>B718</f>
        <v>45013</v>
      </c>
      <c r="D718" s="9" t="s">
        <v>37</v>
      </c>
      <c r="E718" s="9" t="s">
        <v>82</v>
      </c>
      <c r="F718" s="5" t="str">
        <f>E718</f>
        <v>Ajik Prastiyo</v>
      </c>
      <c r="G718" s="33" t="s">
        <v>80</v>
      </c>
      <c r="H718" s="104">
        <v>45011</v>
      </c>
      <c r="I718" s="94">
        <v>97.686353310000001</v>
      </c>
      <c r="J718" s="94">
        <v>100</v>
      </c>
      <c r="K718" s="94">
        <v>0.41421717000000002</v>
      </c>
      <c r="L718" s="94">
        <v>0.15236754</v>
      </c>
      <c r="M718" s="94">
        <v>32.84070157</v>
      </c>
      <c r="N718" s="94">
        <v>0.45167497000000001</v>
      </c>
      <c r="O718" s="94">
        <v>3.5479093499999999</v>
      </c>
      <c r="P718" s="94">
        <v>0.24773563000000001</v>
      </c>
      <c r="Q718" s="94">
        <v>0.11038346</v>
      </c>
      <c r="R718" s="94">
        <v>17.2188731</v>
      </c>
      <c r="S718" s="94">
        <v>28.43605655</v>
      </c>
      <c r="T718" s="94">
        <v>0</v>
      </c>
      <c r="U718" s="94">
        <v>9.2861803799999993</v>
      </c>
      <c r="V718" s="94">
        <v>3.27562928</v>
      </c>
      <c r="W718" s="94">
        <v>0.36798929000000002</v>
      </c>
      <c r="X718" s="94">
        <v>0.24905785</v>
      </c>
      <c r="Y718" s="94">
        <v>0.60875988000000003</v>
      </c>
      <c r="Z718" s="94"/>
      <c r="AA718" s="9"/>
      <c r="AB718" s="9"/>
      <c r="AC718" s="9"/>
      <c r="AD718" s="17"/>
      <c r="AE718" s="18"/>
      <c r="AF718" s="8" t="s">
        <v>1605</v>
      </c>
      <c r="AG718" t="str">
        <f>VLOOKUP(OfficeForms.Table[[#This Row],[Nama Proyek]],'Nama Proyek'!$D$2:$G$29,4,0)</f>
        <v>-7.82225167,113.29968319</v>
      </c>
      <c r="AH718" s="5"/>
      <c r="AI718" s="5"/>
      <c r="AJ718" s="5"/>
      <c r="AK718" s="5" t="s">
        <v>1606</v>
      </c>
    </row>
    <row r="719" spans="1:37" ht="15" hidden="1" customHeight="1">
      <c r="A719" s="31">
        <v>745</v>
      </c>
      <c r="B719" s="110">
        <v>45013</v>
      </c>
      <c r="C719" s="28">
        <f>B719</f>
        <v>45013</v>
      </c>
      <c r="D719" s="8" t="s">
        <v>37</v>
      </c>
      <c r="E719" s="8" t="s">
        <v>716</v>
      </c>
      <c r="F719" s="5" t="str">
        <f>E719</f>
        <v>Tri Suseno</v>
      </c>
      <c r="G719" s="8" t="s">
        <v>717</v>
      </c>
      <c r="H719" s="102">
        <v>45011</v>
      </c>
      <c r="I719" s="95">
        <v>99.471000000000004</v>
      </c>
      <c r="J719" s="95">
        <v>100</v>
      </c>
      <c r="K719" s="95">
        <v>0</v>
      </c>
      <c r="L719" s="95">
        <v>0</v>
      </c>
      <c r="M719" s="95">
        <v>2.8370000000000002</v>
      </c>
      <c r="N719" s="95">
        <v>0</v>
      </c>
      <c r="O719" s="95">
        <v>10.888999999999999</v>
      </c>
      <c r="P719" s="95">
        <v>0</v>
      </c>
      <c r="Q719" s="95">
        <v>16.611999999999998</v>
      </c>
      <c r="R719" s="95">
        <v>37.549999999999997</v>
      </c>
      <c r="S719" s="95">
        <v>22.314</v>
      </c>
      <c r="T719" s="95">
        <v>0</v>
      </c>
      <c r="U719" s="95">
        <v>8.1479999999999997</v>
      </c>
      <c r="V719" s="95">
        <v>0</v>
      </c>
      <c r="W719" s="95">
        <v>0</v>
      </c>
      <c r="X719" s="95">
        <v>0</v>
      </c>
      <c r="Y719" s="95">
        <v>0</v>
      </c>
      <c r="Z719" s="95"/>
      <c r="AA719" s="8"/>
      <c r="AB719" s="8"/>
      <c r="AC719" s="8"/>
      <c r="AD719" s="8"/>
      <c r="AE719" s="11"/>
      <c r="AF719" s="9" t="s">
        <v>1607</v>
      </c>
      <c r="AG719" t="str">
        <f>VLOOKUP(OfficeForms.Table[[#This Row],[Nama Proyek]],'Nama Proyek'!$D$2:$G$29,4,0)</f>
        <v>3.76271056,115.88262689</v>
      </c>
      <c r="AH719" s="5"/>
      <c r="AI719" s="5"/>
      <c r="AJ719" s="5"/>
      <c r="AK719" s="5" t="s">
        <v>1608</v>
      </c>
    </row>
    <row r="720" spans="1:37" ht="15" hidden="1" customHeight="1">
      <c r="A720" s="30">
        <v>1086</v>
      </c>
      <c r="B720" s="111">
        <v>45013</v>
      </c>
      <c r="C720" s="29">
        <f>B720</f>
        <v>45013</v>
      </c>
      <c r="D720" s="8" t="s">
        <v>37</v>
      </c>
      <c r="E720" s="8" t="s">
        <v>504</v>
      </c>
      <c r="F720" s="5" t="str">
        <f>E720</f>
        <v>Fathan Zul Waskito</v>
      </c>
      <c r="G720" s="17" t="s">
        <v>472</v>
      </c>
      <c r="H720" s="105">
        <v>45013</v>
      </c>
      <c r="I720" s="95">
        <v>52.673000000000002</v>
      </c>
      <c r="J720" s="95">
        <v>55.143000000000001</v>
      </c>
      <c r="K720" s="95">
        <v>0.34200000000000003</v>
      </c>
      <c r="L720" s="95">
        <v>0</v>
      </c>
      <c r="M720" s="95">
        <v>47.470999999999997</v>
      </c>
      <c r="N720" s="95">
        <v>3.0000000000000001E-3</v>
      </c>
      <c r="O720" s="95">
        <v>0.14899999999999999</v>
      </c>
      <c r="P720" s="95">
        <v>6.6000000000000003E-2</v>
      </c>
      <c r="Q720" s="95">
        <v>0.222</v>
      </c>
      <c r="R720" s="95">
        <v>0</v>
      </c>
      <c r="S720" s="95">
        <v>2.2909999999999999</v>
      </c>
      <c r="T720" s="95">
        <v>0.57399999999999995</v>
      </c>
      <c r="U720" s="95">
        <v>0</v>
      </c>
      <c r="V720" s="95">
        <v>0</v>
      </c>
      <c r="W720" s="95">
        <v>0</v>
      </c>
      <c r="X720" s="95">
        <v>0</v>
      </c>
      <c r="Y720" s="95">
        <v>0</v>
      </c>
      <c r="Z720" s="95"/>
      <c r="AA720" s="8"/>
      <c r="AB720" s="8"/>
      <c r="AC720" s="8"/>
      <c r="AD720" s="8"/>
      <c r="AE720" s="11"/>
      <c r="AF720" s="19"/>
      <c r="AG720" t="str">
        <f>VLOOKUP(OfficeForms.Table[[#This Row],[Nama Proyek]],'Nama Proyek'!$D$2:$G$29,4,0)</f>
        <v>-8.29394978,112.00545006</v>
      </c>
      <c r="AH720" s="5"/>
      <c r="AI720" s="5"/>
      <c r="AJ720" s="5"/>
      <c r="AK720" s="5" t="s">
        <v>1609</v>
      </c>
    </row>
    <row r="721" spans="1:37" ht="15" hidden="1" customHeight="1">
      <c r="A721">
        <v>738</v>
      </c>
      <c r="B721" s="111">
        <v>45013</v>
      </c>
      <c r="C721" s="29">
        <f>B721</f>
        <v>45013</v>
      </c>
      <c r="D721" s="9" t="s">
        <v>37</v>
      </c>
      <c r="E721" s="9" t="s">
        <v>734</v>
      </c>
      <c r="F721" s="5" t="str">
        <f>E721</f>
        <v>Aldian Winata</v>
      </c>
      <c r="G721" s="9" t="s">
        <v>735</v>
      </c>
      <c r="H721" s="103">
        <v>45016</v>
      </c>
      <c r="I721" s="94">
        <v>34.302</v>
      </c>
      <c r="J721" s="94">
        <v>41.207000000000001</v>
      </c>
      <c r="K721" s="94">
        <v>2.2189999999999999</v>
      </c>
      <c r="L721" s="94">
        <v>27.286000000000001</v>
      </c>
      <c r="M721" s="94">
        <v>0</v>
      </c>
      <c r="N721" s="94">
        <v>1.0999999999999999E-2</v>
      </c>
      <c r="O721" s="94">
        <v>0.91600000000000004</v>
      </c>
      <c r="P721" s="94">
        <v>0</v>
      </c>
      <c r="Q721" s="94">
        <v>0</v>
      </c>
      <c r="R721" s="94">
        <v>0</v>
      </c>
      <c r="S721" s="94">
        <v>0</v>
      </c>
      <c r="T721" s="94">
        <v>0</v>
      </c>
      <c r="U721" s="94">
        <v>0</v>
      </c>
      <c r="V721" s="94">
        <v>0</v>
      </c>
      <c r="W721" s="94">
        <v>0</v>
      </c>
      <c r="X721" s="94">
        <v>0</v>
      </c>
      <c r="Y721" s="94">
        <v>0</v>
      </c>
      <c r="Z721" s="94"/>
      <c r="AA721" s="9"/>
      <c r="AB721" s="9"/>
      <c r="AC721" s="9"/>
      <c r="AD721" s="9"/>
      <c r="AE721" s="12"/>
      <c r="AF721" s="8"/>
      <c r="AG721" t="str">
        <f>VLOOKUP(OfficeForms.Table[[#This Row],[Nama Proyek]],'Nama Proyek'!$D$2:$G$40,4,0)</f>
        <v>-0.88562397,119.85928375</v>
      </c>
      <c r="AH721" s="5"/>
      <c r="AI721" s="5"/>
      <c r="AJ721" s="5"/>
      <c r="AK721" s="5" t="s">
        <v>1610</v>
      </c>
    </row>
    <row r="722" spans="1:37" ht="15" hidden="1" customHeight="1">
      <c r="A722">
        <v>418</v>
      </c>
      <c r="B722" s="111">
        <v>45013</v>
      </c>
      <c r="C722" s="29">
        <f>B722</f>
        <v>45013</v>
      </c>
      <c r="D722" s="8" t="s">
        <v>37</v>
      </c>
      <c r="E722" s="8" t="s">
        <v>64</v>
      </c>
      <c r="F722" s="5" t="str">
        <f>E722</f>
        <v>Nizar Zulkarnain</v>
      </c>
      <c r="G722" s="17" t="s">
        <v>65</v>
      </c>
      <c r="H722" s="102"/>
      <c r="I722" s="95">
        <v>0</v>
      </c>
      <c r="J722" s="95">
        <v>0</v>
      </c>
      <c r="K722" s="95">
        <v>0</v>
      </c>
      <c r="L722" s="95">
        <v>0</v>
      </c>
      <c r="M722" s="95">
        <v>0</v>
      </c>
      <c r="N722" s="95">
        <v>0</v>
      </c>
      <c r="O722" s="95">
        <v>0</v>
      </c>
      <c r="P722" s="95">
        <v>0</v>
      </c>
      <c r="Q722" s="95">
        <v>0</v>
      </c>
      <c r="R722" s="95">
        <v>0</v>
      </c>
      <c r="S722" s="95">
        <v>0</v>
      </c>
      <c r="T722" s="95">
        <v>0</v>
      </c>
      <c r="U722" s="95">
        <v>0</v>
      </c>
      <c r="V722" s="95">
        <v>0</v>
      </c>
      <c r="W722" s="95">
        <v>0</v>
      </c>
      <c r="X722" s="95">
        <v>0</v>
      </c>
      <c r="Y722" s="95">
        <v>0</v>
      </c>
      <c r="Z722" s="95"/>
      <c r="AA722" s="8"/>
      <c r="AB722" s="8"/>
      <c r="AC722" s="8"/>
      <c r="AD722" s="8"/>
      <c r="AE722" s="11">
        <v>44988</v>
      </c>
      <c r="AF722" s="42" t="s">
        <v>1611</v>
      </c>
      <c r="AG722" t="str">
        <f>VLOOKUP(OfficeForms.Table[[#This Row],[Nama Proyek]],'Nama Proyek'!$D$2:$G$29,4,0)</f>
        <v>-6.35008011,107.02324233</v>
      </c>
      <c r="AH722" s="5"/>
      <c r="AI722" s="5"/>
      <c r="AJ722" s="5"/>
      <c r="AK722" s="5" t="s">
        <v>1612</v>
      </c>
    </row>
    <row r="723" spans="1:37" ht="15" hidden="1" customHeight="1">
      <c r="A723" s="30">
        <v>457</v>
      </c>
      <c r="B723" s="110">
        <v>45013</v>
      </c>
      <c r="C723" s="28">
        <f>B723</f>
        <v>45013</v>
      </c>
      <c r="D723" s="19" t="s">
        <v>37</v>
      </c>
      <c r="E723" s="19" t="s">
        <v>109</v>
      </c>
      <c r="F723" s="5" t="str">
        <f>E723</f>
        <v>Muhamad Saifudin Ashari</v>
      </c>
      <c r="G723" s="42" t="s">
        <v>39</v>
      </c>
      <c r="H723" s="101"/>
      <c r="I723" s="96">
        <v>0</v>
      </c>
      <c r="J723" s="96">
        <v>0</v>
      </c>
      <c r="K723" s="96">
        <v>0</v>
      </c>
      <c r="L723" s="96">
        <v>0</v>
      </c>
      <c r="M723" s="96">
        <v>0</v>
      </c>
      <c r="N723" s="96">
        <v>0</v>
      </c>
      <c r="O723" s="96">
        <v>0</v>
      </c>
      <c r="P723" s="96">
        <v>0</v>
      </c>
      <c r="Q723" s="96">
        <v>0</v>
      </c>
      <c r="R723" s="96">
        <v>0</v>
      </c>
      <c r="S723" s="96">
        <v>0</v>
      </c>
      <c r="T723" s="96">
        <v>0</v>
      </c>
      <c r="U723" s="96">
        <v>0</v>
      </c>
      <c r="V723" s="96">
        <v>0</v>
      </c>
      <c r="W723" s="96">
        <v>0</v>
      </c>
      <c r="X723" s="96">
        <v>0</v>
      </c>
      <c r="Y723" s="96">
        <v>0</v>
      </c>
      <c r="Z723" s="96"/>
      <c r="AA723" s="19" t="s">
        <v>1613</v>
      </c>
      <c r="AB723" s="19" t="s">
        <v>1614</v>
      </c>
      <c r="AC723" s="19" t="s">
        <v>1535</v>
      </c>
      <c r="AD723" s="19" t="s">
        <v>1536</v>
      </c>
      <c r="AE723" s="24"/>
      <c r="AF723" s="41" t="s">
        <v>1615</v>
      </c>
      <c r="AG723" t="str">
        <f>VLOOKUP(OfficeForms.Table[[#This Row],[Nama Proyek]],'Nama Proyek'!$D$2:$G$29,4,0)</f>
        <v>-6.80675464,106.785366</v>
      </c>
      <c r="AH723" s="5"/>
      <c r="AI723" s="5"/>
      <c r="AJ723" s="5"/>
      <c r="AK723" s="5" t="s">
        <v>1616</v>
      </c>
    </row>
    <row r="724" spans="1:37" ht="15" hidden="1" customHeight="1">
      <c r="A724" s="31">
        <v>609</v>
      </c>
      <c r="B724" s="110">
        <v>45013</v>
      </c>
      <c r="C724" s="28">
        <f>B724</f>
        <v>45013</v>
      </c>
      <c r="D724" s="19" t="s">
        <v>37</v>
      </c>
      <c r="E724" s="19" t="s">
        <v>504</v>
      </c>
      <c r="F724" s="5" t="str">
        <f>E724</f>
        <v>Fathan Zul Waskito</v>
      </c>
      <c r="G724" s="19" t="s">
        <v>472</v>
      </c>
      <c r="H724" s="106"/>
      <c r="I724" s="96">
        <v>0</v>
      </c>
      <c r="J724" s="96">
        <v>0</v>
      </c>
      <c r="K724" s="96">
        <v>0</v>
      </c>
      <c r="L724" s="96">
        <v>0</v>
      </c>
      <c r="M724" s="96">
        <v>0</v>
      </c>
      <c r="N724" s="96">
        <v>0</v>
      </c>
      <c r="O724" s="96">
        <v>0</v>
      </c>
      <c r="P724" s="96">
        <v>0</v>
      </c>
      <c r="Q724" s="96">
        <v>0</v>
      </c>
      <c r="R724" s="96">
        <v>0</v>
      </c>
      <c r="S724" s="96">
        <v>0</v>
      </c>
      <c r="T724" s="96">
        <v>0</v>
      </c>
      <c r="U724" s="96">
        <v>0</v>
      </c>
      <c r="V724" s="96">
        <v>0</v>
      </c>
      <c r="W724" s="96">
        <v>0</v>
      </c>
      <c r="X724" s="96">
        <v>0</v>
      </c>
      <c r="Y724" s="96">
        <v>0</v>
      </c>
      <c r="Z724" s="96"/>
      <c r="AA724" s="19" t="s">
        <v>1617</v>
      </c>
      <c r="AB724" s="19" t="s">
        <v>1437</v>
      </c>
      <c r="AC724" s="19" t="s">
        <v>674</v>
      </c>
      <c r="AD724" s="19" t="s">
        <v>674</v>
      </c>
      <c r="AE724" s="13"/>
      <c r="AF724" s="8"/>
      <c r="AG724" t="str">
        <f>VLOOKUP(OfficeForms.Table[[#This Row],[Nama Proyek]],'Nama Proyek'!$D$2:$G$29,4,0)</f>
        <v>-8.29394978,112.00545006</v>
      </c>
      <c r="AH724" s="5"/>
      <c r="AI724" s="5"/>
      <c r="AJ724" s="5"/>
      <c r="AK724" s="5" t="s">
        <v>1618</v>
      </c>
    </row>
    <row r="725" spans="1:37" ht="15" hidden="1" customHeight="1">
      <c r="A725" s="30">
        <v>733</v>
      </c>
      <c r="B725" s="110">
        <v>45013</v>
      </c>
      <c r="C725" s="28">
        <f>B725</f>
        <v>45013</v>
      </c>
      <c r="D725" s="8" t="s">
        <v>37</v>
      </c>
      <c r="E725" s="8" t="s">
        <v>82</v>
      </c>
      <c r="F725" s="5" t="str">
        <f>E725</f>
        <v>Ajik Prastiyo</v>
      </c>
      <c r="G725" s="38" t="s">
        <v>80</v>
      </c>
      <c r="H725" s="105"/>
      <c r="I725" s="95">
        <v>0</v>
      </c>
      <c r="J725" s="95">
        <v>0</v>
      </c>
      <c r="K725" s="95">
        <v>0</v>
      </c>
      <c r="L725" s="95">
        <v>0</v>
      </c>
      <c r="M725" s="95">
        <v>0</v>
      </c>
      <c r="N725" s="95">
        <v>0</v>
      </c>
      <c r="O725" s="95">
        <v>0</v>
      </c>
      <c r="P725" s="95">
        <v>0</v>
      </c>
      <c r="Q725" s="95">
        <v>0</v>
      </c>
      <c r="R725" s="95">
        <v>0</v>
      </c>
      <c r="S725" s="95">
        <v>0</v>
      </c>
      <c r="T725" s="95">
        <v>0</v>
      </c>
      <c r="U725" s="95">
        <v>0</v>
      </c>
      <c r="V725" s="95">
        <v>0</v>
      </c>
      <c r="W725" s="95">
        <v>0</v>
      </c>
      <c r="X725" s="95">
        <v>0</v>
      </c>
      <c r="Y725" s="95">
        <v>0</v>
      </c>
      <c r="Z725" s="95"/>
      <c r="AA725" s="8"/>
      <c r="AB725" s="8"/>
      <c r="AC725" s="8"/>
      <c r="AD725" s="8"/>
      <c r="AE725" s="11" t="s">
        <v>1619</v>
      </c>
      <c r="AF725" s="40" t="s">
        <v>1620</v>
      </c>
      <c r="AG725" t="str">
        <f>VLOOKUP(OfficeForms.Table[[#This Row],[Nama Proyek]],'Nama Proyek'!$D$2:$G$29,4,0)</f>
        <v>-7.82225167,113.29968319</v>
      </c>
      <c r="AH725" s="5"/>
      <c r="AI725" s="5"/>
      <c r="AJ725" s="5"/>
      <c r="AK725" s="5" t="s">
        <v>1621</v>
      </c>
    </row>
    <row r="726" spans="1:37" ht="15" hidden="1" customHeight="1">
      <c r="A726">
        <v>734</v>
      </c>
      <c r="B726" s="111">
        <v>45013</v>
      </c>
      <c r="C726" s="29">
        <f>B726</f>
        <v>45013</v>
      </c>
      <c r="D726" s="9" t="s">
        <v>37</v>
      </c>
      <c r="E726" s="9" t="s">
        <v>82</v>
      </c>
      <c r="F726" s="5" t="str">
        <f>E726</f>
        <v>Ajik Prastiyo</v>
      </c>
      <c r="G726" s="33" t="s">
        <v>80</v>
      </c>
      <c r="H726" s="103"/>
      <c r="I726" s="94">
        <v>0</v>
      </c>
      <c r="J726" s="94">
        <v>0</v>
      </c>
      <c r="K726" s="94">
        <v>0</v>
      </c>
      <c r="L726" s="94">
        <v>0</v>
      </c>
      <c r="M726" s="94">
        <v>0</v>
      </c>
      <c r="N726" s="94">
        <v>0</v>
      </c>
      <c r="O726" s="94">
        <v>0</v>
      </c>
      <c r="P726" s="94">
        <v>0</v>
      </c>
      <c r="Q726" s="94">
        <v>0</v>
      </c>
      <c r="R726" s="94">
        <v>0</v>
      </c>
      <c r="S726" s="94">
        <v>0</v>
      </c>
      <c r="T726" s="94">
        <v>0</v>
      </c>
      <c r="U726" s="94">
        <v>0</v>
      </c>
      <c r="V726" s="94">
        <v>0</v>
      </c>
      <c r="W726" s="94">
        <v>0</v>
      </c>
      <c r="X726" s="94">
        <v>0</v>
      </c>
      <c r="Y726" s="94">
        <v>0</v>
      </c>
      <c r="Z726" s="94"/>
      <c r="AA726" s="9"/>
      <c r="AB726" s="9"/>
      <c r="AC726" s="9"/>
      <c r="AD726" s="9"/>
      <c r="AE726" s="12" t="s">
        <v>1572</v>
      </c>
      <c r="AF726" s="43" t="s">
        <v>1622</v>
      </c>
      <c r="AG726" t="str">
        <f>VLOOKUP(OfficeForms.Table[[#This Row],[Nama Proyek]],'Nama Proyek'!$D$2:$G$29,4,0)</f>
        <v>-7.82225167,113.29968319</v>
      </c>
      <c r="AH726" s="5"/>
      <c r="AI726" s="5"/>
      <c r="AJ726" s="5"/>
      <c r="AK726" s="5" t="s">
        <v>1623</v>
      </c>
    </row>
    <row r="727" spans="1:37" ht="15" hidden="1" customHeight="1">
      <c r="A727" s="50">
        <v>739</v>
      </c>
      <c r="B727" s="110">
        <v>45013</v>
      </c>
      <c r="C727" s="28">
        <f>B727</f>
        <v>45013</v>
      </c>
      <c r="D727" s="8" t="s">
        <v>37</v>
      </c>
      <c r="E727" s="8" t="s">
        <v>734</v>
      </c>
      <c r="F727" s="5" t="str">
        <f>E727</f>
        <v>Aldian Winata</v>
      </c>
      <c r="G727" s="8" t="s">
        <v>735</v>
      </c>
      <c r="H727" s="105"/>
      <c r="I727" s="95">
        <v>0</v>
      </c>
      <c r="J727" s="95">
        <v>0</v>
      </c>
      <c r="K727" s="95">
        <v>0</v>
      </c>
      <c r="L727" s="95">
        <v>0</v>
      </c>
      <c r="M727" s="95">
        <v>0</v>
      </c>
      <c r="N727" s="95">
        <v>0</v>
      </c>
      <c r="O727" s="95">
        <v>0</v>
      </c>
      <c r="P727" s="95">
        <v>0</v>
      </c>
      <c r="Q727" s="95">
        <v>0</v>
      </c>
      <c r="R727" s="95">
        <v>0</v>
      </c>
      <c r="S727" s="95">
        <v>0</v>
      </c>
      <c r="T727" s="95">
        <v>0</v>
      </c>
      <c r="U727" s="95">
        <v>0</v>
      </c>
      <c r="V727" s="95">
        <v>0</v>
      </c>
      <c r="W727" s="95">
        <v>0</v>
      </c>
      <c r="X727" s="95">
        <v>0</v>
      </c>
      <c r="Y727" s="95">
        <v>0</v>
      </c>
      <c r="Z727" s="95"/>
      <c r="AA727" s="8" t="s">
        <v>1624</v>
      </c>
      <c r="AB727" s="8" t="s">
        <v>1625</v>
      </c>
      <c r="AC727" s="8" t="s">
        <v>1626</v>
      </c>
      <c r="AD727" s="8" t="s">
        <v>1627</v>
      </c>
      <c r="AE727" s="11"/>
      <c r="AF727" s="9" t="s">
        <v>1628</v>
      </c>
      <c r="AG727" t="str">
        <f>VLOOKUP(OfficeForms.Table[[#This Row],[Nama Proyek]],'Nama Proyek'!$D$2:$G$40,4,0)</f>
        <v>-0.88562397,119.85928375</v>
      </c>
      <c r="AH727" s="5"/>
      <c r="AI727" s="5"/>
      <c r="AJ727" s="5"/>
      <c r="AK727" s="5" t="s">
        <v>1629</v>
      </c>
    </row>
    <row r="728" spans="1:37" ht="15" hidden="1" customHeight="1">
      <c r="A728" s="31">
        <v>740</v>
      </c>
      <c r="B728" s="111">
        <v>45013</v>
      </c>
      <c r="C728" s="29">
        <f>B728</f>
        <v>45013</v>
      </c>
      <c r="D728" s="9" t="s">
        <v>37</v>
      </c>
      <c r="E728" s="9" t="s">
        <v>734</v>
      </c>
      <c r="F728" s="5" t="str">
        <f>E728</f>
        <v>Aldian Winata</v>
      </c>
      <c r="G728" s="9" t="s">
        <v>735</v>
      </c>
      <c r="H728" s="103"/>
      <c r="I728" s="94">
        <v>0</v>
      </c>
      <c r="J728" s="94">
        <v>0</v>
      </c>
      <c r="K728" s="94">
        <v>0</v>
      </c>
      <c r="L728" s="94">
        <v>0</v>
      </c>
      <c r="M728" s="94">
        <v>0</v>
      </c>
      <c r="N728" s="94">
        <v>0</v>
      </c>
      <c r="O728" s="94">
        <v>0</v>
      </c>
      <c r="P728" s="94">
        <v>0</v>
      </c>
      <c r="Q728" s="94">
        <v>0</v>
      </c>
      <c r="R728" s="94">
        <v>0</v>
      </c>
      <c r="S728" s="94">
        <v>0</v>
      </c>
      <c r="T728" s="94">
        <v>0</v>
      </c>
      <c r="U728" s="94">
        <v>0</v>
      </c>
      <c r="V728" s="94">
        <v>0</v>
      </c>
      <c r="W728" s="94">
        <v>0</v>
      </c>
      <c r="X728" s="94">
        <v>0</v>
      </c>
      <c r="Y728" s="94">
        <v>0</v>
      </c>
      <c r="Z728" s="94"/>
      <c r="AA728" s="9"/>
      <c r="AB728" s="9"/>
      <c r="AC728" s="9"/>
      <c r="AD728" s="9"/>
      <c r="AE728" s="12" t="s">
        <v>1619</v>
      </c>
      <c r="AF728" s="8" t="s">
        <v>1630</v>
      </c>
      <c r="AG728" t="str">
        <f>VLOOKUP(OfficeForms.Table[[#This Row],[Nama Proyek]],'Nama Proyek'!$D$2:$G$40,4,0)</f>
        <v>-0.88562397,119.85928375</v>
      </c>
      <c r="AH728" s="5"/>
      <c r="AI728" s="5"/>
      <c r="AJ728" s="5"/>
      <c r="AK728" s="5" t="s">
        <v>1631</v>
      </c>
    </row>
    <row r="729" spans="1:37" ht="15" hidden="1" customHeight="1">
      <c r="A729" s="30">
        <v>746</v>
      </c>
      <c r="B729" s="111">
        <v>45013</v>
      </c>
      <c r="C729" s="29">
        <f>B729</f>
        <v>45013</v>
      </c>
      <c r="D729" s="9" t="s">
        <v>37</v>
      </c>
      <c r="E729" s="9" t="s">
        <v>716</v>
      </c>
      <c r="F729" s="5" t="str">
        <f>E729</f>
        <v>Tri Suseno</v>
      </c>
      <c r="G729" s="8" t="s">
        <v>717</v>
      </c>
      <c r="H729" s="103"/>
      <c r="I729" s="94">
        <v>0</v>
      </c>
      <c r="J729" s="94">
        <v>0</v>
      </c>
      <c r="K729" s="94">
        <v>0</v>
      </c>
      <c r="L729" s="94">
        <v>0</v>
      </c>
      <c r="M729" s="94">
        <v>0</v>
      </c>
      <c r="N729" s="94">
        <v>0</v>
      </c>
      <c r="O729" s="94">
        <v>0</v>
      </c>
      <c r="P729" s="94">
        <v>0</v>
      </c>
      <c r="Q729" s="94">
        <v>0</v>
      </c>
      <c r="R729" s="94">
        <v>0</v>
      </c>
      <c r="S729" s="94">
        <v>0</v>
      </c>
      <c r="T729" s="94">
        <v>0</v>
      </c>
      <c r="U729" s="94">
        <v>0</v>
      </c>
      <c r="V729" s="94">
        <v>0</v>
      </c>
      <c r="W729" s="94">
        <v>0</v>
      </c>
      <c r="X729" s="94">
        <v>0</v>
      </c>
      <c r="Y729" s="94">
        <v>0</v>
      </c>
      <c r="Z729" s="94"/>
      <c r="AA729" s="9"/>
      <c r="AB729" s="9"/>
      <c r="AC729" s="9"/>
      <c r="AD729" s="9"/>
      <c r="AE729" s="12">
        <v>44929</v>
      </c>
      <c r="AF729" s="8" t="s">
        <v>1632</v>
      </c>
      <c r="AG729" t="str">
        <f>VLOOKUP(OfficeForms.Table[[#This Row],[Nama Proyek]],'Nama Proyek'!$D$2:$G$29,4,0)</f>
        <v>3.76271056,115.88262689</v>
      </c>
      <c r="AH729" s="5"/>
      <c r="AI729" s="5"/>
      <c r="AJ729" s="5"/>
      <c r="AK729" s="5" t="s">
        <v>1633</v>
      </c>
    </row>
    <row r="730" spans="1:37" ht="15" hidden="1" customHeight="1">
      <c r="A730" s="31">
        <v>747</v>
      </c>
      <c r="B730" s="110">
        <v>45013</v>
      </c>
      <c r="C730" s="28">
        <f>B730</f>
        <v>45013</v>
      </c>
      <c r="D730" s="8" t="s">
        <v>37</v>
      </c>
      <c r="E730" s="8" t="s">
        <v>716</v>
      </c>
      <c r="F730" s="5" t="str">
        <f>E730</f>
        <v>Tri Suseno</v>
      </c>
      <c r="G730" s="8" t="s">
        <v>717</v>
      </c>
      <c r="H730" s="102"/>
      <c r="I730" s="95">
        <v>0</v>
      </c>
      <c r="J730" s="95">
        <v>0</v>
      </c>
      <c r="K730" s="95">
        <v>0</v>
      </c>
      <c r="L730" s="95">
        <v>0</v>
      </c>
      <c r="M730" s="95">
        <v>0</v>
      </c>
      <c r="N730" s="95">
        <v>0</v>
      </c>
      <c r="O730" s="95">
        <v>0</v>
      </c>
      <c r="P730" s="95">
        <v>0</v>
      </c>
      <c r="Q730" s="95">
        <v>0</v>
      </c>
      <c r="R730" s="95">
        <v>0</v>
      </c>
      <c r="S730" s="95">
        <v>0</v>
      </c>
      <c r="T730" s="95">
        <v>0</v>
      </c>
      <c r="U730" s="95">
        <v>0</v>
      </c>
      <c r="V730" s="95">
        <v>0</v>
      </c>
      <c r="W730" s="95">
        <v>0</v>
      </c>
      <c r="X730" s="95">
        <v>0</v>
      </c>
      <c r="Y730" s="95">
        <v>0</v>
      </c>
      <c r="Z730" s="95"/>
      <c r="AA730" s="8"/>
      <c r="AB730" s="8"/>
      <c r="AC730" s="8"/>
      <c r="AD730" s="8"/>
      <c r="AE730" s="11">
        <v>44929</v>
      </c>
      <c r="AF730" s="9"/>
      <c r="AG730" t="str">
        <f>VLOOKUP(OfficeForms.Table[[#This Row],[Nama Proyek]],'Nama Proyek'!$D$2:$G$29,4,0)</f>
        <v>3.76271056,115.88262689</v>
      </c>
      <c r="AH730" s="5"/>
      <c r="AI730" s="5"/>
      <c r="AJ730" s="5"/>
      <c r="AK730" s="5" t="s">
        <v>1634</v>
      </c>
    </row>
    <row r="731" spans="1:37" ht="15" hidden="1" customHeight="1">
      <c r="A731" s="50">
        <v>792</v>
      </c>
      <c r="B731" s="111">
        <v>45013</v>
      </c>
      <c r="C731" s="29">
        <f>B731</f>
        <v>45013</v>
      </c>
      <c r="D731" s="9" t="s">
        <v>37</v>
      </c>
      <c r="E731" s="9" t="s">
        <v>54</v>
      </c>
      <c r="F731" s="5" t="str">
        <f>E731</f>
        <v>Haryo Widiandoko</v>
      </c>
      <c r="G731" s="9" t="s">
        <v>55</v>
      </c>
      <c r="H731" s="103"/>
      <c r="I731" s="94">
        <v>0</v>
      </c>
      <c r="J731" s="94">
        <v>0</v>
      </c>
      <c r="K731" s="94">
        <v>0</v>
      </c>
      <c r="L731" s="94">
        <v>0</v>
      </c>
      <c r="M731" s="94">
        <v>0</v>
      </c>
      <c r="N731" s="94">
        <v>0</v>
      </c>
      <c r="O731" s="94">
        <v>0</v>
      </c>
      <c r="P731" s="94">
        <v>0</v>
      </c>
      <c r="Q731" s="94">
        <v>0</v>
      </c>
      <c r="R731" s="94">
        <v>0</v>
      </c>
      <c r="S731" s="94">
        <v>0</v>
      </c>
      <c r="T731" s="94">
        <v>0</v>
      </c>
      <c r="U731" s="94">
        <v>0</v>
      </c>
      <c r="V731" s="94">
        <v>0</v>
      </c>
      <c r="W731" s="94">
        <v>0</v>
      </c>
      <c r="X731" s="94">
        <v>0</v>
      </c>
      <c r="Y731" s="94">
        <v>0</v>
      </c>
      <c r="Z731" s="94"/>
      <c r="AA731" s="9"/>
      <c r="AB731" s="9"/>
      <c r="AC731" s="9"/>
      <c r="AD731" s="9"/>
      <c r="AE731" s="12" t="s">
        <v>1635</v>
      </c>
      <c r="AF731" s="8" t="s">
        <v>1636</v>
      </c>
      <c r="AG731" t="str">
        <f>VLOOKUP(OfficeForms.Table[[#This Row],[Nama Proyek]],'Nama Proyek'!$D$2:$G$29,4,0)</f>
        <v>-6.42873464,107.19897003</v>
      </c>
      <c r="AH731" s="5"/>
      <c r="AI731" s="5"/>
      <c r="AJ731" s="5"/>
      <c r="AK731" s="5" t="s">
        <v>1637</v>
      </c>
    </row>
    <row r="732" spans="1:37" ht="15" hidden="1" customHeight="1">
      <c r="A732">
        <v>793</v>
      </c>
      <c r="B732" s="110">
        <v>45013</v>
      </c>
      <c r="C732" s="28">
        <f>B732</f>
        <v>45013</v>
      </c>
      <c r="D732" s="8" t="s">
        <v>37</v>
      </c>
      <c r="E732" s="8" t="s">
        <v>54</v>
      </c>
      <c r="F732" s="5" t="str">
        <f>E732</f>
        <v>Haryo Widiandoko</v>
      </c>
      <c r="G732" s="19" t="s">
        <v>55</v>
      </c>
      <c r="H732" s="102"/>
      <c r="I732" s="95">
        <v>0</v>
      </c>
      <c r="J732" s="95">
        <v>0</v>
      </c>
      <c r="K732" s="95">
        <v>0</v>
      </c>
      <c r="L732" s="95">
        <v>0</v>
      </c>
      <c r="M732" s="95">
        <v>0</v>
      </c>
      <c r="N732" s="95">
        <v>0</v>
      </c>
      <c r="O732" s="95">
        <v>0</v>
      </c>
      <c r="P732" s="95">
        <v>0</v>
      </c>
      <c r="Q732" s="95">
        <v>0</v>
      </c>
      <c r="R732" s="95">
        <v>0</v>
      </c>
      <c r="S732" s="95">
        <v>0</v>
      </c>
      <c r="T732" s="95">
        <v>0</v>
      </c>
      <c r="U732" s="95">
        <v>0</v>
      </c>
      <c r="V732" s="95">
        <v>0</v>
      </c>
      <c r="W732" s="95">
        <v>0</v>
      </c>
      <c r="X732" s="95">
        <v>0</v>
      </c>
      <c r="Y732" s="95">
        <v>0</v>
      </c>
      <c r="Z732" s="95"/>
      <c r="AA732" s="8"/>
      <c r="AB732" s="8"/>
      <c r="AC732" s="8"/>
      <c r="AD732" s="8"/>
      <c r="AE732" s="11" t="s">
        <v>1635</v>
      </c>
      <c r="AF732" s="17" t="s">
        <v>1630</v>
      </c>
      <c r="AG732" t="str">
        <f>VLOOKUP(OfficeForms.Table[[#This Row],[Nama Proyek]],'Nama Proyek'!$D$2:$G$29,4,0)</f>
        <v>-6.42873464,107.19897003</v>
      </c>
      <c r="AH732" s="5"/>
      <c r="AI732" s="5"/>
      <c r="AJ732" s="5"/>
      <c r="AK732" s="5" t="s">
        <v>1638</v>
      </c>
    </row>
    <row r="733" spans="1:37" ht="15" hidden="1" customHeight="1">
      <c r="A733" s="31">
        <v>794</v>
      </c>
      <c r="B733" s="111">
        <v>45013</v>
      </c>
      <c r="C733" s="29">
        <f>B733</f>
        <v>45013</v>
      </c>
      <c r="D733" s="9" t="s">
        <v>37</v>
      </c>
      <c r="E733" s="9" t="s">
        <v>54</v>
      </c>
      <c r="F733" s="5" t="str">
        <f>E733</f>
        <v>Haryo Widiandoko</v>
      </c>
      <c r="G733" s="9" t="s">
        <v>55</v>
      </c>
      <c r="H733" s="103"/>
      <c r="I733" s="94">
        <v>0</v>
      </c>
      <c r="J733" s="94">
        <v>0</v>
      </c>
      <c r="K733" s="94">
        <v>0</v>
      </c>
      <c r="L733" s="94">
        <v>0</v>
      </c>
      <c r="M733" s="94">
        <v>0</v>
      </c>
      <c r="N733" s="94">
        <v>0</v>
      </c>
      <c r="O733" s="94">
        <v>0</v>
      </c>
      <c r="P733" s="94">
        <v>0</v>
      </c>
      <c r="Q733" s="94">
        <v>0</v>
      </c>
      <c r="R733" s="94">
        <v>0</v>
      </c>
      <c r="S733" s="94">
        <v>0</v>
      </c>
      <c r="T733" s="94">
        <v>0</v>
      </c>
      <c r="U733" s="94">
        <v>0</v>
      </c>
      <c r="V733" s="94">
        <v>0</v>
      </c>
      <c r="W733" s="94">
        <v>0</v>
      </c>
      <c r="X733" s="94">
        <v>0</v>
      </c>
      <c r="Y733" s="94">
        <v>0</v>
      </c>
      <c r="Z733" s="94"/>
      <c r="AA733" s="9"/>
      <c r="AB733" s="17"/>
      <c r="AC733" s="9"/>
      <c r="AD733" s="9"/>
      <c r="AE733" s="18" t="s">
        <v>1635</v>
      </c>
      <c r="AF733" s="45" t="s">
        <v>1103</v>
      </c>
      <c r="AG733" t="str">
        <f>VLOOKUP(OfficeForms.Table[[#This Row],[Nama Proyek]],'Nama Proyek'!$D$2:$G$29,4,0)</f>
        <v>-6.42873464,107.19897003</v>
      </c>
      <c r="AH733" s="5"/>
      <c r="AI733" s="5"/>
      <c r="AJ733" s="5"/>
      <c r="AK733" s="5" t="s">
        <v>1639</v>
      </c>
    </row>
    <row r="734" spans="1:37" ht="15" hidden="1" customHeight="1">
      <c r="A734" s="30">
        <v>795</v>
      </c>
      <c r="B734" s="110">
        <v>45013</v>
      </c>
      <c r="C734" s="28">
        <f>B734</f>
        <v>45013</v>
      </c>
      <c r="D734" s="8" t="s">
        <v>37</v>
      </c>
      <c r="E734" s="8" t="s">
        <v>54</v>
      </c>
      <c r="F734" s="5" t="str">
        <f>E734</f>
        <v>Haryo Widiandoko</v>
      </c>
      <c r="G734" s="42" t="s">
        <v>55</v>
      </c>
      <c r="H734" s="105"/>
      <c r="I734" s="95">
        <v>0</v>
      </c>
      <c r="J734" s="95">
        <v>0</v>
      </c>
      <c r="K734" s="95">
        <v>0</v>
      </c>
      <c r="L734" s="95">
        <v>0</v>
      </c>
      <c r="M734" s="95">
        <v>0</v>
      </c>
      <c r="N734" s="95">
        <v>0</v>
      </c>
      <c r="O734" s="95">
        <v>0</v>
      </c>
      <c r="P734" s="95">
        <v>0</v>
      </c>
      <c r="Q734" s="95">
        <v>0</v>
      </c>
      <c r="R734" s="95">
        <v>0</v>
      </c>
      <c r="S734" s="95">
        <v>0</v>
      </c>
      <c r="T734" s="95">
        <v>0</v>
      </c>
      <c r="U734" s="95">
        <v>0</v>
      </c>
      <c r="V734" s="95">
        <v>0</v>
      </c>
      <c r="W734" s="95">
        <v>0</v>
      </c>
      <c r="X734" s="95">
        <v>0</v>
      </c>
      <c r="Y734" s="95">
        <v>0</v>
      </c>
      <c r="Z734" s="95"/>
      <c r="AA734" s="8"/>
      <c r="AB734" s="8"/>
      <c r="AC734" s="8"/>
      <c r="AD734" s="8"/>
      <c r="AE734" s="11" t="s">
        <v>1635</v>
      </c>
      <c r="AF734" s="9" t="s">
        <v>1640</v>
      </c>
      <c r="AG734" t="str">
        <f>VLOOKUP(OfficeForms.Table[[#This Row],[Nama Proyek]],'Nama Proyek'!$D$2:$G$29,4,0)</f>
        <v>-6.42873464,107.19897003</v>
      </c>
      <c r="AH734" s="5"/>
      <c r="AI734" s="5"/>
      <c r="AJ734" s="5"/>
      <c r="AK734" s="5" t="s">
        <v>1641</v>
      </c>
    </row>
    <row r="735" spans="1:37" ht="15" hidden="1" customHeight="1">
      <c r="A735" s="31">
        <v>796</v>
      </c>
      <c r="B735" s="111">
        <v>45013</v>
      </c>
      <c r="C735" s="29">
        <f>B735</f>
        <v>45013</v>
      </c>
      <c r="D735" s="9" t="s">
        <v>37</v>
      </c>
      <c r="E735" s="9" t="s">
        <v>54</v>
      </c>
      <c r="F735" s="5" t="str">
        <f>E735</f>
        <v>Haryo Widiandoko</v>
      </c>
      <c r="G735" s="17" t="s">
        <v>55</v>
      </c>
      <c r="H735" s="104"/>
      <c r="I735" s="94">
        <v>0</v>
      </c>
      <c r="J735" s="94">
        <v>0</v>
      </c>
      <c r="K735" s="94">
        <v>0</v>
      </c>
      <c r="L735" s="94">
        <v>0</v>
      </c>
      <c r="M735" s="94">
        <v>0</v>
      </c>
      <c r="N735" s="94">
        <v>0</v>
      </c>
      <c r="O735" s="94">
        <v>0</v>
      </c>
      <c r="P735" s="94">
        <v>0</v>
      </c>
      <c r="Q735" s="94">
        <v>0</v>
      </c>
      <c r="R735" s="94">
        <v>0</v>
      </c>
      <c r="S735" s="94">
        <v>0</v>
      </c>
      <c r="T735" s="94">
        <v>0</v>
      </c>
      <c r="U735" s="94">
        <v>0</v>
      </c>
      <c r="V735" s="94">
        <v>0</v>
      </c>
      <c r="W735" s="94">
        <v>0</v>
      </c>
      <c r="X735" s="94">
        <v>0</v>
      </c>
      <c r="Y735" s="94">
        <v>0</v>
      </c>
      <c r="Z735" s="94"/>
      <c r="AA735" s="9"/>
      <c r="AB735" s="9"/>
      <c r="AC735" s="9"/>
      <c r="AD735" s="9"/>
      <c r="AE735" s="12" t="s">
        <v>1635</v>
      </c>
      <c r="AF735" s="19"/>
      <c r="AG735" t="str">
        <f>VLOOKUP(OfficeForms.Table[[#This Row],[Nama Proyek]],'Nama Proyek'!$D$2:$G$29,4,0)</f>
        <v>-6.42873464,107.19897003</v>
      </c>
      <c r="AH735" s="5"/>
      <c r="AI735" s="5"/>
      <c r="AJ735" s="5"/>
      <c r="AK735" s="5" t="s">
        <v>1642</v>
      </c>
    </row>
    <row r="736" spans="1:37" ht="15" hidden="1" customHeight="1">
      <c r="A736">
        <v>804</v>
      </c>
      <c r="B736" s="111">
        <v>45013</v>
      </c>
      <c r="C736" s="29">
        <f>B736</f>
        <v>45013</v>
      </c>
      <c r="D736" s="8" t="s">
        <v>37</v>
      </c>
      <c r="E736" s="8" t="s">
        <v>54</v>
      </c>
      <c r="F736" s="5" t="str">
        <f>E736</f>
        <v>Haryo Widiandoko</v>
      </c>
      <c r="G736" s="17" t="s">
        <v>55</v>
      </c>
      <c r="H736" s="105"/>
      <c r="I736" s="95">
        <v>0</v>
      </c>
      <c r="J736" s="95">
        <v>0</v>
      </c>
      <c r="K736" s="95">
        <v>0</v>
      </c>
      <c r="L736" s="95">
        <v>0</v>
      </c>
      <c r="M736" s="95">
        <v>0</v>
      </c>
      <c r="N736" s="95">
        <v>0</v>
      </c>
      <c r="O736" s="95">
        <v>0</v>
      </c>
      <c r="P736" s="95">
        <v>0</v>
      </c>
      <c r="Q736" s="95">
        <v>0</v>
      </c>
      <c r="R736" s="95">
        <v>0</v>
      </c>
      <c r="S736" s="95">
        <v>0</v>
      </c>
      <c r="T736" s="95">
        <v>0</v>
      </c>
      <c r="U736" s="95">
        <v>0</v>
      </c>
      <c r="V736" s="95">
        <v>0</v>
      </c>
      <c r="W736" s="95">
        <v>0</v>
      </c>
      <c r="X736" s="95">
        <v>0</v>
      </c>
      <c r="Y736" s="95">
        <v>0</v>
      </c>
      <c r="Z736" s="95"/>
      <c r="AA736" s="8" t="s">
        <v>1643</v>
      </c>
      <c r="AB736" s="8"/>
      <c r="AC736" s="8" t="s">
        <v>1644</v>
      </c>
      <c r="AD736" s="8" t="s">
        <v>1645</v>
      </c>
      <c r="AE736" s="11"/>
      <c r="AF736" s="19"/>
      <c r="AG736" t="str">
        <f>VLOOKUP(OfficeForms.Table[[#This Row],[Nama Proyek]],'Nama Proyek'!$D$2:$G$29,4,0)</f>
        <v>-6.42873464,107.19897003</v>
      </c>
      <c r="AH736" s="5"/>
      <c r="AI736" s="5"/>
      <c r="AJ736" s="5"/>
      <c r="AK736" s="5" t="s">
        <v>1646</v>
      </c>
    </row>
    <row r="737" spans="1:37" ht="15" hidden="1" customHeight="1">
      <c r="A737" s="50">
        <v>808</v>
      </c>
      <c r="B737" s="111">
        <v>45013</v>
      </c>
      <c r="C737" s="29">
        <f>B737</f>
        <v>45013</v>
      </c>
      <c r="D737" s="8" t="s">
        <v>37</v>
      </c>
      <c r="E737" s="8" t="s">
        <v>75</v>
      </c>
      <c r="F737" s="5" t="str">
        <f>E737</f>
        <v>Banyu Purwita</v>
      </c>
      <c r="G737" s="54" t="s">
        <v>76</v>
      </c>
      <c r="H737" s="105"/>
      <c r="I737" s="95">
        <v>0</v>
      </c>
      <c r="J737" s="95">
        <v>0</v>
      </c>
      <c r="K737" s="95">
        <v>0</v>
      </c>
      <c r="L737" s="95">
        <v>0</v>
      </c>
      <c r="M737" s="95">
        <v>0</v>
      </c>
      <c r="N737" s="95">
        <v>0</v>
      </c>
      <c r="O737" s="95">
        <v>0</v>
      </c>
      <c r="P737" s="95">
        <v>0</v>
      </c>
      <c r="Q737" s="95">
        <v>0</v>
      </c>
      <c r="R737" s="95">
        <v>0</v>
      </c>
      <c r="S737" s="95">
        <v>0</v>
      </c>
      <c r="T737" s="95">
        <v>0</v>
      </c>
      <c r="U737" s="95">
        <v>0</v>
      </c>
      <c r="V737" s="95">
        <v>0</v>
      </c>
      <c r="W737" s="95">
        <v>0</v>
      </c>
      <c r="X737" s="95">
        <v>0</v>
      </c>
      <c r="Y737" s="95">
        <v>0</v>
      </c>
      <c r="Z737" s="95"/>
      <c r="AA737" s="8" t="s">
        <v>1647</v>
      </c>
      <c r="AB737" s="8"/>
      <c r="AC737" s="8" t="s">
        <v>1648</v>
      </c>
      <c r="AD737" s="8" t="s">
        <v>1648</v>
      </c>
      <c r="AE737" s="11"/>
      <c r="AF737" s="48" t="s">
        <v>1093</v>
      </c>
      <c r="AG737" t="str">
        <f>VLOOKUP(OfficeForms.Table[[#This Row],[Nama Proyek]],'Nama Proyek'!$D$2:$G$29,4,0)</f>
        <v>-2.95293103,104.75455094</v>
      </c>
      <c r="AH737" s="5"/>
      <c r="AI737" s="5"/>
      <c r="AJ737" s="5"/>
      <c r="AK737" s="5" t="s">
        <v>1649</v>
      </c>
    </row>
    <row r="738" spans="1:37" ht="15" hidden="1" customHeight="1">
      <c r="A738" s="31">
        <v>748</v>
      </c>
      <c r="B738" s="111">
        <v>45014</v>
      </c>
      <c r="C738" s="29">
        <f>B738</f>
        <v>45014</v>
      </c>
      <c r="D738" s="9" t="s">
        <v>37</v>
      </c>
      <c r="E738" s="9" t="s">
        <v>994</v>
      </c>
      <c r="F738" s="5" t="str">
        <f>E738</f>
        <v>Nenes Anggi Puspadi</v>
      </c>
      <c r="G738" s="39" t="s">
        <v>924</v>
      </c>
      <c r="H738" s="103">
        <v>45011</v>
      </c>
      <c r="I738" s="94">
        <v>17.670000000000002</v>
      </c>
      <c r="J738" s="94">
        <v>25.27</v>
      </c>
      <c r="K738" s="94">
        <v>85.46</v>
      </c>
      <c r="L738" s="94">
        <v>18.53</v>
      </c>
      <c r="M738" s="94">
        <v>0</v>
      </c>
      <c r="N738" s="94">
        <v>32.68</v>
      </c>
      <c r="O738" s="94">
        <v>0</v>
      </c>
      <c r="P738" s="94">
        <v>2.44</v>
      </c>
      <c r="Q738" s="94">
        <v>0</v>
      </c>
      <c r="R738" s="94">
        <v>18.46</v>
      </c>
      <c r="S738" s="94">
        <v>0</v>
      </c>
      <c r="T738" s="94">
        <v>0</v>
      </c>
      <c r="U738" s="94">
        <v>0</v>
      </c>
      <c r="V738" s="94">
        <v>0</v>
      </c>
      <c r="W738" s="94">
        <v>0</v>
      </c>
      <c r="X738" s="94">
        <v>0</v>
      </c>
      <c r="Y738" s="94">
        <v>0</v>
      </c>
      <c r="Z738" s="94"/>
      <c r="AA738" s="9"/>
      <c r="AB738" s="9"/>
      <c r="AC738" s="9"/>
      <c r="AD738" s="9"/>
      <c r="AE738" s="18"/>
      <c r="AF738" s="15"/>
      <c r="AG738" t="str">
        <f>VLOOKUP(OfficeForms.Table[[#This Row],[Nama Proyek]],'Nama Proyek'!$D$2:$G$40,4,0)</f>
        <v>-3.25078511,134.87791156</v>
      </c>
      <c r="AH738" s="5"/>
      <c r="AI738" s="5"/>
      <c r="AJ738" s="5"/>
      <c r="AK738" s="5" t="s">
        <v>1650</v>
      </c>
    </row>
    <row r="739" spans="1:37" ht="15" hidden="1" customHeight="1">
      <c r="A739">
        <v>234</v>
      </c>
      <c r="B739" s="111">
        <v>45014</v>
      </c>
      <c r="C739" s="29">
        <f>B739</f>
        <v>45014</v>
      </c>
      <c r="D739" s="8" t="s">
        <v>37</v>
      </c>
      <c r="E739" s="8" t="s">
        <v>136</v>
      </c>
      <c r="F739" s="5" t="str">
        <f>E739</f>
        <v>Utomo Aryowibowo</v>
      </c>
      <c r="G739" s="15" t="s">
        <v>52</v>
      </c>
      <c r="H739" s="102">
        <v>45012</v>
      </c>
      <c r="I739" s="95">
        <v>98.322999999999993</v>
      </c>
      <c r="J739" s="95">
        <v>97.492999999999995</v>
      </c>
      <c r="K739" s="95">
        <v>0</v>
      </c>
      <c r="L739" s="95">
        <v>1.2E-2</v>
      </c>
      <c r="M739" s="95">
        <v>0.16300000000000001</v>
      </c>
      <c r="N739" s="95">
        <v>0.4</v>
      </c>
      <c r="O739" s="95">
        <v>0</v>
      </c>
      <c r="P739" s="95">
        <v>0</v>
      </c>
      <c r="Q739" s="95">
        <v>0.10199999999999999</v>
      </c>
      <c r="R739" s="95">
        <v>3.9969999999999999</v>
      </c>
      <c r="S739" s="95">
        <v>90.701999999999998</v>
      </c>
      <c r="T739" s="95">
        <v>0</v>
      </c>
      <c r="U739" s="95">
        <v>0.45300000000000001</v>
      </c>
      <c r="V739" s="95">
        <v>0.92600000000000005</v>
      </c>
      <c r="W739" s="95">
        <v>0.25</v>
      </c>
      <c r="X739" s="95">
        <v>0.53200000000000003</v>
      </c>
      <c r="Y739" s="95">
        <v>1.2999999999999999E-2</v>
      </c>
      <c r="Z739" s="95"/>
      <c r="AA739" s="8"/>
      <c r="AB739" s="15"/>
      <c r="AC739" s="8"/>
      <c r="AD739" s="8"/>
      <c r="AE739" s="16"/>
      <c r="AF739" s="19"/>
      <c r="AG739" t="str">
        <f>VLOOKUP(OfficeForms.Table[[#This Row],[Nama Proyek]],'Nama Proyek'!$D$2:$G$29,4,0)</f>
        <v>-6.13491053,106.93675986</v>
      </c>
      <c r="AH739" s="5"/>
      <c r="AI739" s="5"/>
      <c r="AJ739" s="5"/>
      <c r="AK739" s="5" t="s">
        <v>1651</v>
      </c>
    </row>
    <row r="740" spans="1:37" ht="15" hidden="1" customHeight="1">
      <c r="A740" s="50">
        <v>754</v>
      </c>
      <c r="B740" s="111">
        <v>45014</v>
      </c>
      <c r="C740" s="29">
        <f>B740</f>
        <v>45014</v>
      </c>
      <c r="D740" s="9" t="s">
        <v>37</v>
      </c>
      <c r="E740" s="9" t="s">
        <v>716</v>
      </c>
      <c r="F740" s="5" t="str">
        <f>E740</f>
        <v>Tri Suseno</v>
      </c>
      <c r="G740" s="8" t="s">
        <v>717</v>
      </c>
      <c r="H740" s="104">
        <v>45014</v>
      </c>
      <c r="I740" s="94">
        <v>100</v>
      </c>
      <c r="J740" s="94">
        <v>0</v>
      </c>
      <c r="K740" s="94">
        <v>0</v>
      </c>
      <c r="L740" s="94">
        <v>0</v>
      </c>
      <c r="M740" s="94">
        <v>0</v>
      </c>
      <c r="N740" s="94">
        <v>0</v>
      </c>
      <c r="O740" s="94">
        <v>0</v>
      </c>
      <c r="P740" s="94">
        <v>0</v>
      </c>
      <c r="Q740" s="94">
        <v>0</v>
      </c>
      <c r="R740" s="94">
        <v>0</v>
      </c>
      <c r="S740" s="94">
        <v>0</v>
      </c>
      <c r="T740" s="94">
        <v>0</v>
      </c>
      <c r="U740" s="94">
        <v>0</v>
      </c>
      <c r="V740" s="94">
        <v>0</v>
      </c>
      <c r="W740" s="94">
        <v>0</v>
      </c>
      <c r="X740" s="94">
        <v>0</v>
      </c>
      <c r="Y740" s="94">
        <v>0</v>
      </c>
      <c r="Z740" s="94"/>
      <c r="AA740" s="20" t="s">
        <v>1652</v>
      </c>
      <c r="AB740" s="9"/>
      <c r="AC740" s="9"/>
      <c r="AD740" s="9"/>
      <c r="AE740" s="12"/>
      <c r="AF740" s="15"/>
      <c r="AG740" t="str">
        <f>VLOOKUP(OfficeForms.Table[[#This Row],[Nama Proyek]],'Nama Proyek'!$D$2:$G$29,4,0)</f>
        <v>3.76271056,115.88262689</v>
      </c>
      <c r="AH740" s="5"/>
      <c r="AI740" s="5"/>
      <c r="AJ740" s="5"/>
      <c r="AK740" s="5" t="s">
        <v>1653</v>
      </c>
    </row>
    <row r="741" spans="1:37" ht="15" hidden="1" customHeight="1">
      <c r="A741" s="31">
        <v>117</v>
      </c>
      <c r="B741" s="110">
        <v>45014</v>
      </c>
      <c r="C741" s="28">
        <f>B741</f>
        <v>45014</v>
      </c>
      <c r="D741" s="19" t="s">
        <v>37</v>
      </c>
      <c r="E741" s="19" t="s">
        <v>1442</v>
      </c>
      <c r="F741" s="5" t="str">
        <f>E741</f>
        <v>Mohamad Febry Prasetia</v>
      </c>
      <c r="G741" s="8" t="s">
        <v>58</v>
      </c>
      <c r="H741" s="101"/>
      <c r="I741" s="96">
        <v>0</v>
      </c>
      <c r="J741" s="96">
        <v>0</v>
      </c>
      <c r="K741" s="96">
        <v>0</v>
      </c>
      <c r="L741" s="96">
        <v>0</v>
      </c>
      <c r="M741" s="96">
        <v>0</v>
      </c>
      <c r="N741" s="96">
        <v>0</v>
      </c>
      <c r="O741" s="96">
        <v>0</v>
      </c>
      <c r="P741" s="96">
        <v>0</v>
      </c>
      <c r="Q741" s="96">
        <v>0</v>
      </c>
      <c r="R741" s="96">
        <v>0</v>
      </c>
      <c r="S741" s="96">
        <v>0</v>
      </c>
      <c r="T741" s="96">
        <v>0</v>
      </c>
      <c r="U741" s="96">
        <v>0</v>
      </c>
      <c r="V741" s="96">
        <v>0</v>
      </c>
      <c r="W741" s="96">
        <v>0</v>
      </c>
      <c r="X741" s="96">
        <v>0</v>
      </c>
      <c r="Y741" s="96">
        <v>0</v>
      </c>
      <c r="Z741" s="96"/>
      <c r="AA741" s="19" t="s">
        <v>1654</v>
      </c>
      <c r="AB741" s="19"/>
      <c r="AC741" s="19" t="s">
        <v>1655</v>
      </c>
      <c r="AD741" s="19" t="s">
        <v>1655</v>
      </c>
      <c r="AE741" s="24"/>
      <c r="AF741" s="8"/>
      <c r="AG741" t="str">
        <f>VLOOKUP(OfficeForms.Table[[#This Row],[Nama Proyek]],'Nama Proyek'!$D$2:$G$29,4,0)</f>
        <v>-6.12967558,107.07321308</v>
      </c>
      <c r="AH741" s="5"/>
      <c r="AI741" s="5"/>
      <c r="AJ741" s="5"/>
      <c r="AK741" s="5" t="s">
        <v>1656</v>
      </c>
    </row>
    <row r="742" spans="1:37" ht="15" hidden="1" customHeight="1">
      <c r="A742" s="31">
        <v>500</v>
      </c>
      <c r="B742" s="111">
        <v>45014</v>
      </c>
      <c r="C742" s="29">
        <f>B742</f>
        <v>45014</v>
      </c>
      <c r="D742" s="9" t="s">
        <v>37</v>
      </c>
      <c r="E742" s="9" t="s">
        <v>136</v>
      </c>
      <c r="F742" s="5" t="str">
        <f>E742</f>
        <v>Utomo Aryowibowo</v>
      </c>
      <c r="G742" s="8" t="s">
        <v>52</v>
      </c>
      <c r="H742" s="103"/>
      <c r="I742" s="94">
        <v>0</v>
      </c>
      <c r="J742" s="94">
        <v>0</v>
      </c>
      <c r="K742" s="94">
        <v>0</v>
      </c>
      <c r="L742" s="94">
        <v>0</v>
      </c>
      <c r="M742" s="94">
        <v>0</v>
      </c>
      <c r="N742" s="94">
        <v>0</v>
      </c>
      <c r="O742" s="94">
        <v>0</v>
      </c>
      <c r="P742" s="94">
        <v>0</v>
      </c>
      <c r="Q742" s="94">
        <v>0</v>
      </c>
      <c r="R742" s="94">
        <v>0</v>
      </c>
      <c r="S742" s="94">
        <v>0</v>
      </c>
      <c r="T742" s="94">
        <v>0</v>
      </c>
      <c r="U742" s="94">
        <v>0</v>
      </c>
      <c r="V742" s="94">
        <v>0</v>
      </c>
      <c r="W742" s="94">
        <v>0</v>
      </c>
      <c r="X742" s="94">
        <v>0</v>
      </c>
      <c r="Y742" s="94">
        <v>0</v>
      </c>
      <c r="Z742" s="94"/>
      <c r="AA742" s="9"/>
      <c r="AB742" s="9"/>
      <c r="AC742" s="9"/>
      <c r="AD742" s="9"/>
      <c r="AE742" s="12" t="s">
        <v>1657</v>
      </c>
      <c r="AF742" s="19"/>
      <c r="AG742" t="str">
        <f>VLOOKUP(OfficeForms.Table[[#This Row],[Nama Proyek]],'Nama Proyek'!$D$2:$G$29,4,0)</f>
        <v>-6.13491053,106.93675986</v>
      </c>
      <c r="AH742" s="5"/>
      <c r="AI742" s="5"/>
      <c r="AJ742" s="5"/>
      <c r="AK742" s="5" t="s">
        <v>1658</v>
      </c>
    </row>
    <row r="743" spans="1:37" ht="15" hidden="1" customHeight="1">
      <c r="A743" s="30">
        <v>544</v>
      </c>
      <c r="B743" s="111">
        <v>45014</v>
      </c>
      <c r="C743" s="29">
        <f>B743</f>
        <v>45014</v>
      </c>
      <c r="D743" s="8" t="s">
        <v>37</v>
      </c>
      <c r="E743" s="8" t="s">
        <v>136</v>
      </c>
      <c r="F743" s="5" t="str">
        <f>E743</f>
        <v>Utomo Aryowibowo</v>
      </c>
      <c r="G743" s="8" t="s">
        <v>52</v>
      </c>
      <c r="H743" s="105"/>
      <c r="I743" s="95">
        <v>0</v>
      </c>
      <c r="J743" s="95">
        <v>0</v>
      </c>
      <c r="K743" s="95">
        <v>0</v>
      </c>
      <c r="L743" s="95">
        <v>0</v>
      </c>
      <c r="M743" s="95">
        <v>0</v>
      </c>
      <c r="N743" s="95">
        <v>0</v>
      </c>
      <c r="O743" s="95">
        <v>0</v>
      </c>
      <c r="P743" s="95">
        <v>0</v>
      </c>
      <c r="Q743" s="95">
        <v>0</v>
      </c>
      <c r="R743" s="95">
        <v>0</v>
      </c>
      <c r="S743" s="95">
        <v>0</v>
      </c>
      <c r="T743" s="95">
        <v>0</v>
      </c>
      <c r="U743" s="95">
        <v>0</v>
      </c>
      <c r="V743" s="95">
        <v>0</v>
      </c>
      <c r="W743" s="95">
        <v>0</v>
      </c>
      <c r="X743" s="95">
        <v>0</v>
      </c>
      <c r="Y743" s="95">
        <v>0</v>
      </c>
      <c r="Z743" s="95"/>
      <c r="AA743" s="63" t="s">
        <v>1659</v>
      </c>
      <c r="AB743" s="63" t="s">
        <v>1660</v>
      </c>
      <c r="AC743" s="8"/>
      <c r="AD743" s="8"/>
      <c r="AE743" s="11"/>
      <c r="AF743" s="42" t="s">
        <v>1661</v>
      </c>
      <c r="AG743" t="str">
        <f>VLOOKUP(OfficeForms.Table[[#This Row],[Nama Proyek]],'Nama Proyek'!$D$2:$G$29,4,0)</f>
        <v>-6.13491053,106.93675986</v>
      </c>
      <c r="AH743" s="5"/>
      <c r="AI743" s="5"/>
      <c r="AJ743" s="5"/>
      <c r="AK743" s="5" t="s">
        <v>1662</v>
      </c>
    </row>
    <row r="744" spans="1:37" ht="15" hidden="1" customHeight="1">
      <c r="A744">
        <v>753</v>
      </c>
      <c r="B744" s="110">
        <v>45014</v>
      </c>
      <c r="C744" s="28">
        <f>B744</f>
        <v>45014</v>
      </c>
      <c r="D744" s="8" t="s">
        <v>37</v>
      </c>
      <c r="E744" s="8" t="s">
        <v>734</v>
      </c>
      <c r="F744" s="5" t="str">
        <f>E744</f>
        <v>Aldian Winata</v>
      </c>
      <c r="G744" s="8" t="s">
        <v>735</v>
      </c>
      <c r="H744" s="105"/>
      <c r="I744" s="95">
        <v>0</v>
      </c>
      <c r="J744" s="95">
        <v>0</v>
      </c>
      <c r="K744" s="95">
        <v>0</v>
      </c>
      <c r="L744" s="95">
        <v>0</v>
      </c>
      <c r="M744" s="95">
        <v>0</v>
      </c>
      <c r="N744" s="95">
        <v>0</v>
      </c>
      <c r="O744" s="95">
        <v>0</v>
      </c>
      <c r="P744" s="95">
        <v>0</v>
      </c>
      <c r="Q744" s="95">
        <v>0</v>
      </c>
      <c r="R744" s="95">
        <v>0</v>
      </c>
      <c r="S744" s="95">
        <v>0</v>
      </c>
      <c r="T744" s="95">
        <v>0</v>
      </c>
      <c r="U744" s="95">
        <v>0</v>
      </c>
      <c r="V744" s="95">
        <v>0</v>
      </c>
      <c r="W744" s="95">
        <v>0</v>
      </c>
      <c r="X744" s="95">
        <v>0</v>
      </c>
      <c r="Y744" s="95">
        <v>0</v>
      </c>
      <c r="Z744" s="95"/>
      <c r="AA744" s="8" t="s">
        <v>1624</v>
      </c>
      <c r="AB744" s="8" t="s">
        <v>1663</v>
      </c>
      <c r="AC744" s="8" t="s">
        <v>1664</v>
      </c>
      <c r="AD744" s="8" t="s">
        <v>1665</v>
      </c>
      <c r="AE744" s="16"/>
      <c r="AF744" s="9"/>
      <c r="AG744" t="str">
        <f>VLOOKUP(OfficeForms.Table[[#This Row],[Nama Proyek]],'Nama Proyek'!$D$2:$G$40,4,0)</f>
        <v>-0.88562397,119.85928375</v>
      </c>
      <c r="AH744" s="5"/>
      <c r="AI744" s="5"/>
      <c r="AJ744" s="5"/>
      <c r="AK744" s="5" t="s">
        <v>1666</v>
      </c>
    </row>
    <row r="745" spans="1:37" ht="15" hidden="1" customHeight="1">
      <c r="A745">
        <v>379</v>
      </c>
      <c r="B745" s="110">
        <v>45015</v>
      </c>
      <c r="C745" s="28">
        <f>B745</f>
        <v>45015</v>
      </c>
      <c r="D745" s="8" t="s">
        <v>37</v>
      </c>
      <c r="E745" s="8" t="s">
        <v>75</v>
      </c>
      <c r="F745" s="5" t="str">
        <f>E745</f>
        <v>Banyu Purwita</v>
      </c>
      <c r="G745" s="55" t="s">
        <v>76</v>
      </c>
      <c r="H745" s="105">
        <v>45015</v>
      </c>
      <c r="I745" s="95">
        <v>44.018999999999998</v>
      </c>
      <c r="J745" s="95">
        <v>45.133000000000003</v>
      </c>
      <c r="K745" s="95">
        <v>0</v>
      </c>
      <c r="L745" s="95">
        <v>0</v>
      </c>
      <c r="M745" s="95">
        <v>2.0630000000000002</v>
      </c>
      <c r="N745" s="95">
        <v>0</v>
      </c>
      <c r="O745" s="95">
        <v>12.15</v>
      </c>
      <c r="P745" s="95">
        <v>0</v>
      </c>
      <c r="Q745" s="95">
        <v>1.8819999999999999</v>
      </c>
      <c r="R745" s="95">
        <v>0</v>
      </c>
      <c r="S745" s="95">
        <v>26.091000000000001</v>
      </c>
      <c r="T745" s="95">
        <v>0</v>
      </c>
      <c r="U745" s="95">
        <v>6.3E-2</v>
      </c>
      <c r="V745" s="95">
        <v>0</v>
      </c>
      <c r="W745" s="95">
        <v>0</v>
      </c>
      <c r="X745" s="95">
        <v>0</v>
      </c>
      <c r="Y745" s="95">
        <v>0</v>
      </c>
      <c r="Z745" s="95"/>
      <c r="AA745" s="8"/>
      <c r="AB745" s="8"/>
      <c r="AC745" s="8"/>
      <c r="AD745" s="8"/>
      <c r="AE745" s="11"/>
      <c r="AF745" s="9"/>
      <c r="AG745" t="str">
        <f>VLOOKUP(OfficeForms.Table[[#This Row],[Nama Proyek]],'Nama Proyek'!$D$2:$G$29,4,0)</f>
        <v>-2.95293103,104.75455094</v>
      </c>
      <c r="AH745" s="5"/>
      <c r="AI745" s="5"/>
      <c r="AJ745" s="5"/>
      <c r="AK745" s="5" t="s">
        <v>1667</v>
      </c>
    </row>
    <row r="746" spans="1:37" ht="15" hidden="1" customHeight="1">
      <c r="A746" s="31">
        <v>809</v>
      </c>
      <c r="B746" s="110">
        <v>45015</v>
      </c>
      <c r="C746" s="28">
        <f>B746</f>
        <v>45015</v>
      </c>
      <c r="D746" s="19" t="s">
        <v>37</v>
      </c>
      <c r="E746" s="19" t="s">
        <v>75</v>
      </c>
      <c r="F746" s="5" t="str">
        <f>E746</f>
        <v>Banyu Purwita</v>
      </c>
      <c r="G746" s="55" t="s">
        <v>76</v>
      </c>
      <c r="H746" s="106"/>
      <c r="I746" s="96">
        <v>0</v>
      </c>
      <c r="J746" s="96">
        <v>0</v>
      </c>
      <c r="K746" s="96">
        <v>0</v>
      </c>
      <c r="L746" s="96">
        <v>0</v>
      </c>
      <c r="M746" s="96">
        <v>0</v>
      </c>
      <c r="N746" s="96">
        <v>0</v>
      </c>
      <c r="O746" s="96">
        <v>0</v>
      </c>
      <c r="P746" s="96">
        <v>0</v>
      </c>
      <c r="Q746" s="96">
        <v>0</v>
      </c>
      <c r="R746" s="96">
        <v>0</v>
      </c>
      <c r="S746" s="96">
        <v>0</v>
      </c>
      <c r="T746" s="96">
        <v>0</v>
      </c>
      <c r="U746" s="96">
        <v>0</v>
      </c>
      <c r="V746" s="96">
        <v>0</v>
      </c>
      <c r="W746" s="96">
        <v>0</v>
      </c>
      <c r="X746" s="96">
        <v>0</v>
      </c>
      <c r="Y746" s="96">
        <v>0</v>
      </c>
      <c r="Z746" s="96"/>
      <c r="AA746" s="19"/>
      <c r="AB746" s="42"/>
      <c r="AC746" s="42"/>
      <c r="AD746" s="42"/>
      <c r="AE746" s="13" t="s">
        <v>1668</v>
      </c>
      <c r="AF746" s="8"/>
      <c r="AG746" t="str">
        <f>VLOOKUP(OfficeForms.Table[[#This Row],[Nama Proyek]],'Nama Proyek'!$D$2:$G$29,4,0)</f>
        <v>-2.95293103,104.75455094</v>
      </c>
      <c r="AH746" s="5"/>
      <c r="AI746" s="5"/>
      <c r="AJ746" s="5"/>
      <c r="AK746" s="5" t="s">
        <v>1669</v>
      </c>
    </row>
    <row r="747" spans="1:37" ht="15" hidden="1" customHeight="1">
      <c r="A747" s="30">
        <v>810</v>
      </c>
      <c r="B747" s="111">
        <v>45015</v>
      </c>
      <c r="C747" s="29">
        <f>B747</f>
        <v>45015</v>
      </c>
      <c r="D747" s="8" t="s">
        <v>37</v>
      </c>
      <c r="E747" s="8" t="s">
        <v>75</v>
      </c>
      <c r="F747" s="5" t="str">
        <f>E747</f>
        <v>Banyu Purwita</v>
      </c>
      <c r="G747" s="54" t="s">
        <v>76</v>
      </c>
      <c r="H747" s="105"/>
      <c r="I747" s="95">
        <v>0</v>
      </c>
      <c r="J747" s="95">
        <v>0</v>
      </c>
      <c r="K747" s="95">
        <v>0</v>
      </c>
      <c r="L747" s="95">
        <v>0</v>
      </c>
      <c r="M747" s="95">
        <v>0</v>
      </c>
      <c r="N747" s="95">
        <v>0</v>
      </c>
      <c r="O747" s="95">
        <v>0</v>
      </c>
      <c r="P747" s="95">
        <v>0</v>
      </c>
      <c r="Q747" s="95">
        <v>0</v>
      </c>
      <c r="R747" s="95">
        <v>0</v>
      </c>
      <c r="S747" s="95">
        <v>0</v>
      </c>
      <c r="T747" s="95">
        <v>0</v>
      </c>
      <c r="U747" s="95">
        <v>0</v>
      </c>
      <c r="V747" s="95">
        <v>0</v>
      </c>
      <c r="W747" s="95">
        <v>0</v>
      </c>
      <c r="X747" s="95">
        <v>0</v>
      </c>
      <c r="Y747" s="95">
        <v>0</v>
      </c>
      <c r="Z747" s="95"/>
      <c r="AA747" s="8" t="s">
        <v>1670</v>
      </c>
      <c r="AB747" s="8" t="s">
        <v>1671</v>
      </c>
      <c r="AC747" s="8" t="s">
        <v>1672</v>
      </c>
      <c r="AD747" s="8" t="s">
        <v>1672</v>
      </c>
      <c r="AE747" s="11"/>
      <c r="AF747" s="41" t="s">
        <v>1093</v>
      </c>
      <c r="AG747" t="str">
        <f>VLOOKUP(OfficeForms.Table[[#This Row],[Nama Proyek]],'Nama Proyek'!$D$2:$G$29,4,0)</f>
        <v>-2.95293103,104.75455094</v>
      </c>
      <c r="AH747" s="5"/>
      <c r="AI747" s="5"/>
      <c r="AJ747" s="5"/>
      <c r="AK747" s="5" t="s">
        <v>1673</v>
      </c>
    </row>
    <row r="748" spans="1:37" ht="15" hidden="1" customHeight="1">
      <c r="A748" s="31">
        <v>241</v>
      </c>
      <c r="B748" s="110">
        <v>45021</v>
      </c>
      <c r="C748" s="28">
        <f>B748</f>
        <v>45021</v>
      </c>
      <c r="D748" s="19" t="s">
        <v>37</v>
      </c>
      <c r="E748" s="19" t="s">
        <v>136</v>
      </c>
      <c r="F748" s="5" t="str">
        <f>E748</f>
        <v>Utomo Aryowibowo</v>
      </c>
      <c r="G748" s="8" t="s">
        <v>52</v>
      </c>
      <c r="H748" s="106">
        <v>45021</v>
      </c>
      <c r="I748" s="96">
        <v>98.787000000000006</v>
      </c>
      <c r="J748" s="96">
        <v>100</v>
      </c>
      <c r="K748" s="96">
        <v>0</v>
      </c>
      <c r="L748" s="96">
        <v>1.2E-2</v>
      </c>
      <c r="M748" s="96">
        <v>0.16800000000000001</v>
      </c>
      <c r="N748" s="96">
        <v>0.4</v>
      </c>
      <c r="O748" s="96">
        <v>0</v>
      </c>
      <c r="P748" s="96">
        <v>0</v>
      </c>
      <c r="Q748" s="96">
        <v>0.10199999999999999</v>
      </c>
      <c r="R748" s="96">
        <v>4.13</v>
      </c>
      <c r="S748" s="96">
        <v>91.028000000000006</v>
      </c>
      <c r="T748" s="96">
        <v>0</v>
      </c>
      <c r="U748" s="96">
        <v>0.45300000000000001</v>
      </c>
      <c r="V748" s="96">
        <v>0.93600000000000005</v>
      </c>
      <c r="W748" s="96">
        <v>0.25</v>
      </c>
      <c r="X748" s="96">
        <v>0.53200000000000003</v>
      </c>
      <c r="Y748" s="96">
        <v>1.2999999999999999E-2</v>
      </c>
      <c r="Z748" s="96"/>
      <c r="AA748" s="19"/>
      <c r="AB748" s="19"/>
      <c r="AC748" s="19"/>
      <c r="AD748" s="19"/>
      <c r="AE748" s="13"/>
      <c r="AF748" s="8"/>
      <c r="AG748" t="str">
        <f>VLOOKUP(OfficeForms.Table[[#This Row],[Nama Proyek]],'Nama Proyek'!$D$2:$G$29,4,0)</f>
        <v>-6.13491053,106.93675986</v>
      </c>
      <c r="AH748" s="5"/>
      <c r="AI748" s="5"/>
      <c r="AJ748" s="5"/>
      <c r="AK748" s="5" t="s">
        <v>1674</v>
      </c>
    </row>
    <row r="749" spans="1:37" ht="15" hidden="1" customHeight="1">
      <c r="A749">
        <v>320</v>
      </c>
      <c r="B749" s="111">
        <v>45021</v>
      </c>
      <c r="C749" s="29">
        <f>B749</f>
        <v>45021</v>
      </c>
      <c r="D749" s="8" t="s">
        <v>37</v>
      </c>
      <c r="E749" s="8" t="s">
        <v>136</v>
      </c>
      <c r="F749" s="5" t="str">
        <f>E749</f>
        <v>Utomo Aryowibowo</v>
      </c>
      <c r="G749" s="8" t="s">
        <v>52</v>
      </c>
      <c r="H749" s="105"/>
      <c r="I749" s="95">
        <v>0</v>
      </c>
      <c r="J749" s="95">
        <v>0</v>
      </c>
      <c r="K749" s="95">
        <v>0</v>
      </c>
      <c r="L749" s="95">
        <v>0</v>
      </c>
      <c r="M749" s="95">
        <v>0</v>
      </c>
      <c r="N749" s="95">
        <v>0</v>
      </c>
      <c r="O749" s="95">
        <v>0</v>
      </c>
      <c r="P749" s="95">
        <v>0</v>
      </c>
      <c r="Q749" s="95">
        <v>0</v>
      </c>
      <c r="R749" s="95">
        <v>0</v>
      </c>
      <c r="S749" s="95">
        <v>0</v>
      </c>
      <c r="T749" s="95">
        <v>0</v>
      </c>
      <c r="U749" s="95">
        <v>0</v>
      </c>
      <c r="V749" s="95">
        <v>0</v>
      </c>
      <c r="W749" s="95">
        <v>0</v>
      </c>
      <c r="X749" s="95">
        <v>0</v>
      </c>
      <c r="Y749" s="95">
        <v>0</v>
      </c>
      <c r="Z749" s="95"/>
      <c r="AA749" s="8"/>
      <c r="AB749" s="8"/>
      <c r="AC749" s="8"/>
      <c r="AD749" s="8"/>
      <c r="AE749" s="11" t="s">
        <v>1675</v>
      </c>
      <c r="AF749" s="19" t="s">
        <v>1676</v>
      </c>
      <c r="AG749" t="str">
        <f>VLOOKUP(OfficeForms.Table[[#This Row],[Nama Proyek]],'Nama Proyek'!$D$2:$G$29,4,0)</f>
        <v>-6.13491053,106.93675986</v>
      </c>
      <c r="AH749" s="5"/>
      <c r="AI749" s="5"/>
      <c r="AJ749" s="5"/>
      <c r="AK749" s="5" t="s">
        <v>1677</v>
      </c>
    </row>
    <row r="750" spans="1:37" ht="15" hidden="1" customHeight="1">
      <c r="A750">
        <v>433</v>
      </c>
      <c r="B750" s="110">
        <v>45021</v>
      </c>
      <c r="C750" s="28">
        <f>B750</f>
        <v>45021</v>
      </c>
      <c r="D750" s="19" t="s">
        <v>37</v>
      </c>
      <c r="E750" s="19" t="s">
        <v>64</v>
      </c>
      <c r="F750" s="5" t="str">
        <f>E750</f>
        <v>Nizar Zulkarnain</v>
      </c>
      <c r="G750" s="42" t="s">
        <v>65</v>
      </c>
      <c r="H750" s="106"/>
      <c r="I750" s="96">
        <v>0</v>
      </c>
      <c r="J750" s="96">
        <v>0</v>
      </c>
      <c r="K750" s="96">
        <v>0</v>
      </c>
      <c r="L750" s="96">
        <v>0</v>
      </c>
      <c r="M750" s="96">
        <v>0</v>
      </c>
      <c r="N750" s="96">
        <v>0</v>
      </c>
      <c r="O750" s="96">
        <v>0</v>
      </c>
      <c r="P750" s="96">
        <v>0</v>
      </c>
      <c r="Q750" s="96">
        <v>0</v>
      </c>
      <c r="R750" s="96">
        <v>0</v>
      </c>
      <c r="S750" s="96">
        <v>0</v>
      </c>
      <c r="T750" s="96">
        <v>0</v>
      </c>
      <c r="U750" s="96">
        <v>0</v>
      </c>
      <c r="V750" s="96">
        <v>0</v>
      </c>
      <c r="W750" s="96">
        <v>0</v>
      </c>
      <c r="X750" s="96">
        <v>0</v>
      </c>
      <c r="Y750" s="96">
        <v>0</v>
      </c>
      <c r="Z750" s="96"/>
      <c r="AA750" s="19" t="s">
        <v>1678</v>
      </c>
      <c r="AB750" s="19"/>
      <c r="AC750" s="19"/>
      <c r="AD750" s="19"/>
      <c r="AE750" s="13"/>
      <c r="AF750" s="9" t="s">
        <v>1679</v>
      </c>
      <c r="AG750" t="str">
        <f>VLOOKUP(OfficeForms.Table[[#This Row],[Nama Proyek]],'Nama Proyek'!$D$2:$G$29,4,0)</f>
        <v>-6.35008011,107.02324233</v>
      </c>
      <c r="AH750" s="5"/>
      <c r="AI750" s="5"/>
      <c r="AJ750" s="5"/>
      <c r="AK750" s="5" t="s">
        <v>1680</v>
      </c>
    </row>
    <row r="751" spans="1:37" ht="15" hidden="1" customHeight="1">
      <c r="A751" s="31">
        <v>471</v>
      </c>
      <c r="B751" s="110">
        <v>45022</v>
      </c>
      <c r="C751" s="28">
        <f>B751</f>
        <v>45022</v>
      </c>
      <c r="D751" s="19" t="s">
        <v>37</v>
      </c>
      <c r="E751" s="19" t="s">
        <v>75</v>
      </c>
      <c r="F751" s="5" t="str">
        <f>E751</f>
        <v>Banyu Purwita</v>
      </c>
      <c r="G751" s="55" t="s">
        <v>76</v>
      </c>
      <c r="H751" s="106">
        <v>45079</v>
      </c>
      <c r="I751" s="96">
        <v>52.387999999999998</v>
      </c>
      <c r="J751" s="96">
        <v>56.49</v>
      </c>
      <c r="K751" s="96">
        <v>0</v>
      </c>
      <c r="L751" s="96">
        <v>0</v>
      </c>
      <c r="M751" s="96">
        <v>4.0490000000000004</v>
      </c>
      <c r="N751" s="96">
        <v>0</v>
      </c>
      <c r="O751" s="96">
        <v>12.195</v>
      </c>
      <c r="P751" s="96">
        <v>0</v>
      </c>
      <c r="Q751" s="96">
        <v>5.3780000000000001</v>
      </c>
      <c r="R751" s="96">
        <v>0</v>
      </c>
      <c r="S751" s="96">
        <v>28.75</v>
      </c>
      <c r="T751" s="96">
        <v>0</v>
      </c>
      <c r="U751" s="96">
        <v>6.3E-2</v>
      </c>
      <c r="V751" s="96">
        <v>0</v>
      </c>
      <c r="W751" s="96">
        <v>0</v>
      </c>
      <c r="X751" s="96">
        <v>0</v>
      </c>
      <c r="Y751" s="96">
        <v>0</v>
      </c>
      <c r="Z751" s="96"/>
      <c r="AA751" s="19"/>
      <c r="AB751" s="19"/>
      <c r="AC751" s="19"/>
      <c r="AD751" s="19"/>
      <c r="AE751" s="13"/>
      <c r="AF751" s="8"/>
      <c r="AG751" t="str">
        <f>VLOOKUP(OfficeForms.Table[[#This Row],[Nama Proyek]],'Nama Proyek'!$D$2:$G$29,4,0)</f>
        <v>-2.95293103,104.75455094</v>
      </c>
      <c r="AH751" s="5"/>
      <c r="AI751" s="5"/>
      <c r="AJ751" s="5"/>
      <c r="AK751" s="5" t="s">
        <v>1681</v>
      </c>
    </row>
    <row r="752" spans="1:37" ht="15" hidden="1" customHeight="1">
      <c r="A752" s="31">
        <v>891</v>
      </c>
      <c r="B752" s="110">
        <v>45022</v>
      </c>
      <c r="C752" s="28">
        <f>B752</f>
        <v>45022</v>
      </c>
      <c r="D752" s="8" t="s">
        <v>37</v>
      </c>
      <c r="E752" s="8" t="s">
        <v>75</v>
      </c>
      <c r="F752" s="5" t="str">
        <f>E752</f>
        <v>Banyu Purwita</v>
      </c>
      <c r="G752" s="55" t="s">
        <v>76</v>
      </c>
      <c r="H752" s="105"/>
      <c r="I752" s="95">
        <v>0</v>
      </c>
      <c r="J752" s="95">
        <v>0</v>
      </c>
      <c r="K752" s="95">
        <v>0</v>
      </c>
      <c r="L752" s="95">
        <v>0</v>
      </c>
      <c r="M752" s="95">
        <v>0</v>
      </c>
      <c r="N752" s="95">
        <v>0</v>
      </c>
      <c r="O752" s="95">
        <v>0</v>
      </c>
      <c r="P752" s="95">
        <v>0</v>
      </c>
      <c r="Q752" s="95">
        <v>0</v>
      </c>
      <c r="R752" s="95">
        <v>0</v>
      </c>
      <c r="S752" s="95">
        <v>0</v>
      </c>
      <c r="T752" s="95">
        <v>0</v>
      </c>
      <c r="U752" s="95">
        <v>0</v>
      </c>
      <c r="V752" s="95">
        <v>0</v>
      </c>
      <c r="W752" s="95">
        <v>0</v>
      </c>
      <c r="X752" s="95">
        <v>0</v>
      </c>
      <c r="Y752" s="95">
        <v>0</v>
      </c>
      <c r="Z752" s="95"/>
      <c r="AA752" s="8"/>
      <c r="AB752" s="8"/>
      <c r="AC752" s="8"/>
      <c r="AD752" s="8"/>
      <c r="AE752" s="11">
        <v>44963</v>
      </c>
      <c r="AF752" s="9"/>
      <c r="AG752" t="str">
        <f>VLOOKUP(OfficeForms.Table[[#This Row],[Nama Proyek]],'Nama Proyek'!$D$2:$G$29,4,0)</f>
        <v>-2.95293103,104.75455094</v>
      </c>
      <c r="AH752" s="5"/>
      <c r="AI752" s="5"/>
      <c r="AJ752" s="5"/>
      <c r="AK752" s="5" t="s">
        <v>1682</v>
      </c>
    </row>
    <row r="753" spans="1:37" ht="15" hidden="1" customHeight="1">
      <c r="A753" s="30">
        <v>917</v>
      </c>
      <c r="B753" s="110">
        <v>45022</v>
      </c>
      <c r="C753" s="28">
        <f>B753</f>
        <v>45022</v>
      </c>
      <c r="D753" s="19" t="s">
        <v>37</v>
      </c>
      <c r="E753" s="19" t="s">
        <v>75</v>
      </c>
      <c r="F753" s="5" t="str">
        <f>E753</f>
        <v>Banyu Purwita</v>
      </c>
      <c r="G753" s="55" t="s">
        <v>76</v>
      </c>
      <c r="H753" s="106"/>
      <c r="I753" s="96">
        <v>0</v>
      </c>
      <c r="J753" s="96">
        <v>0</v>
      </c>
      <c r="K753" s="96">
        <v>0</v>
      </c>
      <c r="L753" s="96">
        <v>0</v>
      </c>
      <c r="M753" s="96">
        <v>0</v>
      </c>
      <c r="N753" s="96">
        <v>0</v>
      </c>
      <c r="O753" s="96">
        <v>0</v>
      </c>
      <c r="P753" s="96">
        <v>0</v>
      </c>
      <c r="Q753" s="96">
        <v>0</v>
      </c>
      <c r="R753" s="96">
        <v>0</v>
      </c>
      <c r="S753" s="96">
        <v>0</v>
      </c>
      <c r="T753" s="96">
        <v>0</v>
      </c>
      <c r="U753" s="96">
        <v>0</v>
      </c>
      <c r="V753" s="96">
        <v>0</v>
      </c>
      <c r="W753" s="96">
        <v>0</v>
      </c>
      <c r="X753" s="96">
        <v>0</v>
      </c>
      <c r="Y753" s="96">
        <v>0</v>
      </c>
      <c r="Z753" s="96"/>
      <c r="AA753" s="19" t="s">
        <v>1683</v>
      </c>
      <c r="AB753" s="19" t="s">
        <v>1684</v>
      </c>
      <c r="AC753" s="42" t="s">
        <v>1685</v>
      </c>
      <c r="AD753" s="42" t="s">
        <v>1685</v>
      </c>
      <c r="AE753" s="13"/>
      <c r="AF753" s="46" t="s">
        <v>1686</v>
      </c>
      <c r="AG753" t="str">
        <f>VLOOKUP(OfficeForms.Table[[#This Row],[Nama Proyek]],'Nama Proyek'!$D$2:$G$29,4,0)</f>
        <v>-2.95293103,104.75455094</v>
      </c>
      <c r="AH753" s="5"/>
      <c r="AI753" s="5"/>
      <c r="AJ753" s="5"/>
      <c r="AK753" s="5" t="s">
        <v>1687</v>
      </c>
    </row>
    <row r="754" spans="1:37" ht="15" hidden="1" customHeight="1">
      <c r="A754">
        <v>1006</v>
      </c>
      <c r="B754" s="111">
        <v>45028</v>
      </c>
      <c r="C754" s="29">
        <f>B754</f>
        <v>45028</v>
      </c>
      <c r="D754" s="8" t="s">
        <v>37</v>
      </c>
      <c r="E754" s="8" t="s">
        <v>82</v>
      </c>
      <c r="F754" s="5" t="str">
        <f>E754</f>
        <v>Ajik Prastiyo</v>
      </c>
      <c r="G754" s="9" t="s">
        <v>1317</v>
      </c>
      <c r="H754" s="102">
        <v>44997</v>
      </c>
      <c r="I754" s="95">
        <v>3.66134906</v>
      </c>
      <c r="J754" s="95">
        <v>11.492448100000001</v>
      </c>
      <c r="K754" s="95">
        <v>0.11173584</v>
      </c>
      <c r="L754" s="95">
        <v>6.1306819999999998E-2</v>
      </c>
      <c r="M754" s="95">
        <v>1.57156133</v>
      </c>
      <c r="N754" s="95">
        <v>6.8736119999999998E-2</v>
      </c>
      <c r="O754" s="95">
        <v>0</v>
      </c>
      <c r="P754" s="95">
        <v>0</v>
      </c>
      <c r="Q754" s="95">
        <v>0</v>
      </c>
      <c r="R754" s="95">
        <v>0</v>
      </c>
      <c r="S754" s="95">
        <v>1.24181513</v>
      </c>
      <c r="T754" s="95">
        <v>0</v>
      </c>
      <c r="U754" s="95">
        <v>3.7506000000000002E-3</v>
      </c>
      <c r="V754" s="95">
        <v>0</v>
      </c>
      <c r="W754" s="95">
        <v>0</v>
      </c>
      <c r="X754" s="95">
        <v>0</v>
      </c>
      <c r="Y754" s="95">
        <v>0</v>
      </c>
      <c r="Z754" s="95"/>
      <c r="AA754" s="8"/>
      <c r="AB754" s="15"/>
      <c r="AC754" s="8"/>
      <c r="AD754" s="8"/>
      <c r="AE754" s="16"/>
      <c r="AF754" s="42"/>
      <c r="AG754" t="str">
        <f>VLOOKUP(OfficeForms.Table[[#This Row],[Nama Proyek]],'Nama Proyek'!$D$2:$G$29,4,0)</f>
        <v>-7.72647690,113.63515320</v>
      </c>
      <c r="AH754" s="5"/>
      <c r="AI754" s="5"/>
      <c r="AJ754" s="5"/>
      <c r="AK754" s="5" t="s">
        <v>1688</v>
      </c>
    </row>
    <row r="755" spans="1:37" ht="15" hidden="1" customHeight="1">
      <c r="A755">
        <v>362</v>
      </c>
      <c r="B755" s="111">
        <v>45028</v>
      </c>
      <c r="C755" s="29">
        <f>B755</f>
        <v>45028</v>
      </c>
      <c r="D755" s="9" t="s">
        <v>37</v>
      </c>
      <c r="E755" s="9" t="s">
        <v>54</v>
      </c>
      <c r="F755" s="5" t="str">
        <f>E755</f>
        <v>Haryo Widiandoko</v>
      </c>
      <c r="G755" s="9" t="s">
        <v>55</v>
      </c>
      <c r="H755" s="103">
        <v>45256</v>
      </c>
      <c r="I755" s="94">
        <v>89.212000000000003</v>
      </c>
      <c r="J755" s="94">
        <v>92.450999999999993</v>
      </c>
      <c r="K755" s="94">
        <v>0.53</v>
      </c>
      <c r="L755" s="94">
        <v>0.24</v>
      </c>
      <c r="M755" s="94">
        <v>31.57</v>
      </c>
      <c r="N755" s="94">
        <v>3.05</v>
      </c>
      <c r="O755" s="94">
        <v>2.87</v>
      </c>
      <c r="P755" s="94">
        <v>0.05</v>
      </c>
      <c r="Q755" s="94">
        <v>0.67</v>
      </c>
      <c r="R755" s="94">
        <v>10.73</v>
      </c>
      <c r="S755" s="94">
        <v>32.64</v>
      </c>
      <c r="T755" s="94">
        <v>0.79</v>
      </c>
      <c r="U755" s="94">
        <v>3.75</v>
      </c>
      <c r="V755" s="94">
        <v>0.36</v>
      </c>
      <c r="W755" s="94">
        <v>0.32</v>
      </c>
      <c r="X755" s="94">
        <v>0.87</v>
      </c>
      <c r="Y755" s="94">
        <v>0.01</v>
      </c>
      <c r="Z755" s="94"/>
      <c r="AA755" s="9"/>
      <c r="AB755" s="9"/>
      <c r="AC755" s="9"/>
      <c r="AD755" s="9"/>
      <c r="AE755" s="18"/>
      <c r="AF755" s="42" t="s">
        <v>1689</v>
      </c>
      <c r="AG755" t="str">
        <f>VLOOKUP(OfficeForms.Table[[#This Row],[Nama Proyek]],'Nama Proyek'!$D$2:$G$29,4,0)</f>
        <v>-6.42873464,107.19897003</v>
      </c>
      <c r="AH755" s="5"/>
      <c r="AI755" s="5"/>
      <c r="AJ755" s="5"/>
      <c r="AK755" s="5" t="s">
        <v>1690</v>
      </c>
    </row>
    <row r="756" spans="1:37" ht="15" hidden="1" customHeight="1">
      <c r="A756" s="31">
        <v>1079</v>
      </c>
      <c r="B756" s="110">
        <v>45028</v>
      </c>
      <c r="C756" s="28">
        <f>B756</f>
        <v>45028</v>
      </c>
      <c r="D756" s="19" t="s">
        <v>37</v>
      </c>
      <c r="E756" s="19" t="s">
        <v>994</v>
      </c>
      <c r="F756" s="5" t="s">
        <v>994</v>
      </c>
      <c r="G756" s="55" t="s">
        <v>924</v>
      </c>
      <c r="H756" s="106">
        <v>45263</v>
      </c>
      <c r="I756" s="96">
        <v>97.43</v>
      </c>
      <c r="J756" s="96">
        <v>82.56</v>
      </c>
      <c r="K756" s="96">
        <v>5.39</v>
      </c>
      <c r="L756" s="96">
        <v>38.46</v>
      </c>
      <c r="M756" s="96">
        <v>0</v>
      </c>
      <c r="N756" s="96">
        <v>13.19</v>
      </c>
      <c r="O756" s="96">
        <v>25.11</v>
      </c>
      <c r="P756" s="96">
        <v>11.44</v>
      </c>
      <c r="Q756" s="96">
        <v>0</v>
      </c>
      <c r="R756" s="96">
        <v>1.04</v>
      </c>
      <c r="S756" s="96">
        <v>0</v>
      </c>
      <c r="T756" s="96">
        <v>0</v>
      </c>
      <c r="U756" s="96">
        <v>0</v>
      </c>
      <c r="V756" s="96">
        <v>0</v>
      </c>
      <c r="W756" s="96">
        <v>0</v>
      </c>
      <c r="X756" s="96">
        <v>0</v>
      </c>
      <c r="Y756" s="96">
        <v>0</v>
      </c>
      <c r="Z756" s="96"/>
      <c r="AA756" s="19"/>
      <c r="AB756" s="42"/>
      <c r="AC756" s="42"/>
      <c r="AD756" s="42"/>
      <c r="AE756" s="24"/>
      <c r="AF756" s="41" t="s">
        <v>1691</v>
      </c>
      <c r="AG756" t="str">
        <f>VLOOKUP(OfficeForms.Table[[#This Row],[Nama Proyek]],'Nama Proyek'!$D$2:$G$40,4,0)</f>
        <v>-3.25078511,134.87791156</v>
      </c>
      <c r="AH756" s="5"/>
      <c r="AI756" s="5"/>
      <c r="AJ756" s="5"/>
      <c r="AK756" s="5" t="s">
        <v>1692</v>
      </c>
    </row>
    <row r="757" spans="1:37" ht="15" hidden="1" customHeight="1">
      <c r="A757" s="31">
        <v>574</v>
      </c>
      <c r="B757" s="111">
        <v>45028</v>
      </c>
      <c r="C757" s="29">
        <f>B757</f>
        <v>45028</v>
      </c>
      <c r="D757" s="9" t="s">
        <v>37</v>
      </c>
      <c r="E757" s="9" t="s">
        <v>64</v>
      </c>
      <c r="F757" s="5" t="str">
        <f>E757</f>
        <v>Nizar Zulkarnain</v>
      </c>
      <c r="G757" s="17" t="s">
        <v>65</v>
      </c>
      <c r="H757" s="104"/>
      <c r="I757" s="94">
        <v>0</v>
      </c>
      <c r="J757" s="94">
        <v>0</v>
      </c>
      <c r="K757" s="94">
        <v>0</v>
      </c>
      <c r="L757" s="94">
        <v>0</v>
      </c>
      <c r="M757" s="94">
        <v>0</v>
      </c>
      <c r="N757" s="94">
        <v>0</v>
      </c>
      <c r="O757" s="94">
        <v>0</v>
      </c>
      <c r="P757" s="94">
        <v>0</v>
      </c>
      <c r="Q757" s="94">
        <v>0</v>
      </c>
      <c r="R757" s="94">
        <v>0</v>
      </c>
      <c r="S757" s="94">
        <v>0</v>
      </c>
      <c r="T757" s="94">
        <v>0</v>
      </c>
      <c r="U757" s="94">
        <v>0</v>
      </c>
      <c r="V757" s="94">
        <v>0</v>
      </c>
      <c r="W757" s="94">
        <v>0</v>
      </c>
      <c r="X757" s="94">
        <v>0</v>
      </c>
      <c r="Y757" s="94">
        <v>0</v>
      </c>
      <c r="Z757" s="94"/>
      <c r="AA757" s="9" t="s">
        <v>1693</v>
      </c>
      <c r="AB757" s="9"/>
      <c r="AC757" s="9"/>
      <c r="AD757" s="9"/>
      <c r="AE757" s="12"/>
      <c r="AF757" s="43" t="s">
        <v>1694</v>
      </c>
      <c r="AG757" t="str">
        <f>VLOOKUP(OfficeForms.Table[[#This Row],[Nama Proyek]],'Nama Proyek'!$D$2:$G$29,4,0)</f>
        <v>-6.35008011,107.02324233</v>
      </c>
      <c r="AH757" s="5"/>
      <c r="AI757" s="5"/>
      <c r="AJ757" s="5"/>
      <c r="AK757" s="5" t="s">
        <v>1695</v>
      </c>
    </row>
    <row r="758" spans="1:37" ht="15" hidden="1" customHeight="1">
      <c r="A758" s="31">
        <v>799</v>
      </c>
      <c r="B758" s="110">
        <v>45028</v>
      </c>
      <c r="C758" s="28">
        <f>B758</f>
        <v>45028</v>
      </c>
      <c r="D758" s="8" t="s">
        <v>37</v>
      </c>
      <c r="E758" s="8" t="s">
        <v>504</v>
      </c>
      <c r="F758" s="5" t="str">
        <f>E758</f>
        <v>Fathan Zul Waskito</v>
      </c>
      <c r="G758" s="42" t="s">
        <v>472</v>
      </c>
      <c r="H758" s="102"/>
      <c r="I758" s="95">
        <v>0</v>
      </c>
      <c r="J758" s="95">
        <v>0</v>
      </c>
      <c r="K758" s="95">
        <v>0</v>
      </c>
      <c r="L758" s="95">
        <v>0</v>
      </c>
      <c r="M758" s="95">
        <v>0</v>
      </c>
      <c r="N758" s="95">
        <v>0</v>
      </c>
      <c r="O758" s="95">
        <v>0</v>
      </c>
      <c r="P758" s="95">
        <v>0</v>
      </c>
      <c r="Q758" s="95">
        <v>0</v>
      </c>
      <c r="R758" s="95">
        <v>0</v>
      </c>
      <c r="S758" s="95">
        <v>0</v>
      </c>
      <c r="T758" s="95">
        <v>0</v>
      </c>
      <c r="U758" s="95">
        <v>0</v>
      </c>
      <c r="V758" s="95">
        <v>0</v>
      </c>
      <c r="W758" s="95">
        <v>0</v>
      </c>
      <c r="X758" s="95">
        <v>0</v>
      </c>
      <c r="Y758" s="95">
        <v>0</v>
      </c>
      <c r="Z758" s="95"/>
      <c r="AA758" s="8" t="s">
        <v>1696</v>
      </c>
      <c r="AB758" s="8" t="s">
        <v>624</v>
      </c>
      <c r="AC758" s="8" t="s">
        <v>674</v>
      </c>
      <c r="AD758" s="8" t="s">
        <v>674</v>
      </c>
      <c r="AE758" s="11"/>
      <c r="AF758" s="46" t="s">
        <v>1697</v>
      </c>
      <c r="AG758" t="str">
        <f>VLOOKUP(OfficeForms.Table[[#This Row],[Nama Proyek]],'Nama Proyek'!$D$2:$G$29,4,0)</f>
        <v>-8.29394978,112.00545006</v>
      </c>
      <c r="AH758" s="5"/>
      <c r="AI758" s="5"/>
      <c r="AJ758" s="5"/>
      <c r="AK758" s="5" t="s">
        <v>1698</v>
      </c>
    </row>
    <row r="759" spans="1:37" ht="15" hidden="1" customHeight="1">
      <c r="A759">
        <v>1042</v>
      </c>
      <c r="B759" s="111">
        <v>45028</v>
      </c>
      <c r="C759" s="29">
        <f>B759</f>
        <v>45028</v>
      </c>
      <c r="D759" s="9" t="s">
        <v>37</v>
      </c>
      <c r="E759" s="9" t="s">
        <v>82</v>
      </c>
      <c r="F759" s="5" t="str">
        <f>E759</f>
        <v>Ajik Prastiyo</v>
      </c>
      <c r="G759" s="17" t="s">
        <v>1317</v>
      </c>
      <c r="H759" s="103"/>
      <c r="I759" s="94">
        <v>0</v>
      </c>
      <c r="J759" s="94">
        <v>0</v>
      </c>
      <c r="K759" s="94">
        <v>0</v>
      </c>
      <c r="L759" s="94">
        <v>0</v>
      </c>
      <c r="M759" s="94">
        <v>0</v>
      </c>
      <c r="N759" s="94">
        <v>0</v>
      </c>
      <c r="O759" s="94">
        <v>0</v>
      </c>
      <c r="P759" s="94">
        <v>0</v>
      </c>
      <c r="Q759" s="94">
        <v>0</v>
      </c>
      <c r="R759" s="94">
        <v>0</v>
      </c>
      <c r="S759" s="94">
        <v>0</v>
      </c>
      <c r="T759" s="94">
        <v>0</v>
      </c>
      <c r="U759" s="94">
        <v>0</v>
      </c>
      <c r="V759" s="94">
        <v>0</v>
      </c>
      <c r="W759" s="94">
        <v>0</v>
      </c>
      <c r="X759" s="94">
        <v>0</v>
      </c>
      <c r="Y759" s="94">
        <v>0</v>
      </c>
      <c r="Z759" s="94"/>
      <c r="AA759" s="9"/>
      <c r="AB759" s="9"/>
      <c r="AC759" s="9"/>
      <c r="AD759" s="9"/>
      <c r="AE759" s="18">
        <v>45028</v>
      </c>
      <c r="AF759" s="8"/>
      <c r="AG759" t="str">
        <f>VLOOKUP(OfficeForms.Table[[#This Row],[Nama Proyek]],'Nama Proyek'!$D$2:$G$29,4,0)</f>
        <v>-7.72647690,113.63515320</v>
      </c>
      <c r="AH759" s="5"/>
      <c r="AI759" s="5"/>
      <c r="AJ759" s="5"/>
      <c r="AK759" s="5" t="s">
        <v>1699</v>
      </c>
    </row>
    <row r="760" spans="1:37" ht="15" hidden="1" customHeight="1">
      <c r="A760" s="50">
        <v>1076</v>
      </c>
      <c r="B760" s="111">
        <v>45028</v>
      </c>
      <c r="C760" s="29">
        <f>B760</f>
        <v>45028</v>
      </c>
      <c r="D760" s="8" t="s">
        <v>37</v>
      </c>
      <c r="E760" s="8" t="s">
        <v>82</v>
      </c>
      <c r="F760" s="5" t="str">
        <f>E760</f>
        <v>Ajik Prastiyo</v>
      </c>
      <c r="G760" s="17" t="s">
        <v>1317</v>
      </c>
      <c r="H760" s="105"/>
      <c r="I760" s="95">
        <v>0</v>
      </c>
      <c r="J760" s="95">
        <v>0</v>
      </c>
      <c r="K760" s="95">
        <v>0</v>
      </c>
      <c r="L760" s="95">
        <v>0</v>
      </c>
      <c r="M760" s="95">
        <v>0</v>
      </c>
      <c r="N760" s="95">
        <v>0</v>
      </c>
      <c r="O760" s="95">
        <v>0</v>
      </c>
      <c r="P760" s="95">
        <v>0</v>
      </c>
      <c r="Q760" s="95">
        <v>0</v>
      </c>
      <c r="R760" s="95">
        <v>0</v>
      </c>
      <c r="S760" s="95">
        <v>0</v>
      </c>
      <c r="T760" s="95">
        <v>0</v>
      </c>
      <c r="U760" s="95">
        <v>0</v>
      </c>
      <c r="V760" s="95">
        <v>0</v>
      </c>
      <c r="W760" s="95">
        <v>0</v>
      </c>
      <c r="X760" s="95">
        <v>0</v>
      </c>
      <c r="Y760" s="95">
        <v>0</v>
      </c>
      <c r="Z760" s="95"/>
      <c r="AA760" s="8"/>
      <c r="AB760" s="8"/>
      <c r="AC760" s="8"/>
      <c r="AD760" s="8"/>
      <c r="AE760" s="11">
        <v>45028</v>
      </c>
      <c r="AF760" s="43" t="s">
        <v>1700</v>
      </c>
      <c r="AG760" t="str">
        <f>VLOOKUP(OfficeForms.Table[[#This Row],[Nama Proyek]],'Nama Proyek'!$D$2:$G$29,4,0)</f>
        <v>-7.72647690,113.63515320</v>
      </c>
      <c r="AH760" s="5"/>
      <c r="AI760" s="5"/>
      <c r="AJ760" s="5"/>
      <c r="AK760" s="5" t="s">
        <v>1701</v>
      </c>
    </row>
    <row r="761" spans="1:37" ht="15" hidden="1" customHeight="1">
      <c r="A761" s="31">
        <v>1077</v>
      </c>
      <c r="B761" s="110">
        <v>45028</v>
      </c>
      <c r="C761" s="28">
        <f>B761</f>
        <v>45028</v>
      </c>
      <c r="D761" s="19" t="s">
        <v>37</v>
      </c>
      <c r="E761" s="19" t="s">
        <v>82</v>
      </c>
      <c r="F761" s="5" t="str">
        <f>E761</f>
        <v>Ajik Prastiyo</v>
      </c>
      <c r="G761" s="42" t="s">
        <v>1317</v>
      </c>
      <c r="H761" s="101"/>
      <c r="I761" s="96">
        <v>0</v>
      </c>
      <c r="J761" s="96">
        <v>0</v>
      </c>
      <c r="K761" s="96">
        <v>0</v>
      </c>
      <c r="L761" s="96">
        <v>0</v>
      </c>
      <c r="M761" s="96">
        <v>0</v>
      </c>
      <c r="N761" s="96">
        <v>0</v>
      </c>
      <c r="O761" s="96">
        <v>0</v>
      </c>
      <c r="P761" s="96">
        <v>0</v>
      </c>
      <c r="Q761" s="96">
        <v>0</v>
      </c>
      <c r="R761" s="96">
        <v>0</v>
      </c>
      <c r="S761" s="96">
        <v>0</v>
      </c>
      <c r="T761" s="96">
        <v>0</v>
      </c>
      <c r="U761" s="96">
        <v>0</v>
      </c>
      <c r="V761" s="96">
        <v>0</v>
      </c>
      <c r="W761" s="96">
        <v>0</v>
      </c>
      <c r="X761" s="96">
        <v>0</v>
      </c>
      <c r="Y761" s="96">
        <v>0</v>
      </c>
      <c r="Z761" s="96"/>
      <c r="AA761" s="19"/>
      <c r="AB761" s="19"/>
      <c r="AC761" s="19"/>
      <c r="AD761" s="19"/>
      <c r="AE761" s="13">
        <v>45028</v>
      </c>
      <c r="AF761" s="15" t="s">
        <v>1702</v>
      </c>
      <c r="AG761" t="str">
        <f>VLOOKUP(OfficeForms.Table[[#This Row],[Nama Proyek]],'Nama Proyek'!$D$2:$G$29,4,0)</f>
        <v>-7.72647690,113.63515320</v>
      </c>
      <c r="AH761" s="5"/>
      <c r="AI761" s="5"/>
      <c r="AJ761" s="5"/>
      <c r="AK761" s="5" t="s">
        <v>1703</v>
      </c>
    </row>
    <row r="762" spans="1:37" ht="15" hidden="1" customHeight="1">
      <c r="A762" s="50">
        <v>1078</v>
      </c>
      <c r="B762" s="111">
        <v>45028</v>
      </c>
      <c r="C762" s="29">
        <f>B762</f>
        <v>45028</v>
      </c>
      <c r="D762" s="8" t="s">
        <v>37</v>
      </c>
      <c r="E762" s="8" t="s">
        <v>82</v>
      </c>
      <c r="F762" s="5" t="str">
        <f>E762</f>
        <v>Ajik Prastiyo</v>
      </c>
      <c r="G762" s="17" t="s">
        <v>1317</v>
      </c>
      <c r="H762" s="102"/>
      <c r="I762" s="95">
        <v>0</v>
      </c>
      <c r="J762" s="95">
        <v>0</v>
      </c>
      <c r="K762" s="95">
        <v>0</v>
      </c>
      <c r="L762" s="95">
        <v>0</v>
      </c>
      <c r="M762" s="95">
        <v>0</v>
      </c>
      <c r="N762" s="95">
        <v>0</v>
      </c>
      <c r="O762" s="95">
        <v>0</v>
      </c>
      <c r="P762" s="95">
        <v>0</v>
      </c>
      <c r="Q762" s="95">
        <v>0</v>
      </c>
      <c r="R762" s="95">
        <v>0</v>
      </c>
      <c r="S762" s="95">
        <v>0</v>
      </c>
      <c r="T762" s="95">
        <v>0</v>
      </c>
      <c r="U762" s="95">
        <v>0</v>
      </c>
      <c r="V762" s="95">
        <v>0</v>
      </c>
      <c r="W762" s="95">
        <v>0</v>
      </c>
      <c r="X762" s="95">
        <v>0</v>
      </c>
      <c r="Y762" s="95">
        <v>0</v>
      </c>
      <c r="Z762" s="95"/>
      <c r="AA762" s="8"/>
      <c r="AB762" s="8"/>
      <c r="AC762" s="8"/>
      <c r="AD762" s="8"/>
      <c r="AE762" s="16">
        <v>45028</v>
      </c>
      <c r="AF762" s="42"/>
      <c r="AG762" t="str">
        <f>VLOOKUP(OfficeForms.Table[[#This Row],[Nama Proyek]],'Nama Proyek'!$D$2:$G$29,4,0)</f>
        <v>-7.72647690,113.63515320</v>
      </c>
      <c r="AH762" s="5"/>
      <c r="AI762" s="5"/>
      <c r="AJ762" s="5"/>
      <c r="AK762" s="5" t="s">
        <v>1704</v>
      </c>
    </row>
    <row r="763" spans="1:37" ht="15" hidden="1" customHeight="1">
      <c r="A763">
        <v>1080</v>
      </c>
      <c r="B763" s="111">
        <v>45028</v>
      </c>
      <c r="C763" s="29">
        <f>B763</f>
        <v>45028</v>
      </c>
      <c r="D763" s="8" t="s">
        <v>37</v>
      </c>
      <c r="E763" s="8" t="s">
        <v>994</v>
      </c>
      <c r="F763" s="5" t="s">
        <v>994</v>
      </c>
      <c r="G763" s="39" t="s">
        <v>924</v>
      </c>
      <c r="H763" s="105"/>
      <c r="I763" s="95">
        <v>0</v>
      </c>
      <c r="J763" s="95">
        <v>0</v>
      </c>
      <c r="K763" s="95">
        <v>0</v>
      </c>
      <c r="L763" s="95">
        <v>0</v>
      </c>
      <c r="M763" s="95">
        <v>0</v>
      </c>
      <c r="N763" s="95">
        <v>0</v>
      </c>
      <c r="O763" s="95">
        <v>0</v>
      </c>
      <c r="P763" s="95">
        <v>0</v>
      </c>
      <c r="Q763" s="95">
        <v>0</v>
      </c>
      <c r="R763" s="95">
        <v>0</v>
      </c>
      <c r="S763" s="95">
        <v>0</v>
      </c>
      <c r="T763" s="95">
        <v>0</v>
      </c>
      <c r="U763" s="95">
        <v>0</v>
      </c>
      <c r="V763" s="95">
        <v>0</v>
      </c>
      <c r="W763" s="95">
        <v>0</v>
      </c>
      <c r="X763" s="95">
        <v>0</v>
      </c>
      <c r="Y763" s="95">
        <v>0</v>
      </c>
      <c r="Z763" s="95"/>
      <c r="AA763" s="8"/>
      <c r="AB763" s="8"/>
      <c r="AC763" s="8"/>
      <c r="AD763" s="8"/>
      <c r="AE763" s="16">
        <v>44997</v>
      </c>
      <c r="AF763" s="19" t="s">
        <v>1705</v>
      </c>
      <c r="AG763" t="str">
        <f>VLOOKUP(OfficeForms.Table[[#This Row],[Nama Proyek]],'Nama Proyek'!$D$2:$G$40,4,0)</f>
        <v>-3.25078511,134.87791156</v>
      </c>
      <c r="AH763" s="5"/>
      <c r="AI763" s="5"/>
      <c r="AJ763" s="5"/>
      <c r="AK763" s="5" t="s">
        <v>1706</v>
      </c>
    </row>
    <row r="764" spans="1:37" ht="15" hidden="1" customHeight="1">
      <c r="A764" s="30">
        <v>1081</v>
      </c>
      <c r="B764" s="110">
        <v>45028</v>
      </c>
      <c r="C764" s="28">
        <f>B764</f>
        <v>45028</v>
      </c>
      <c r="D764" s="19" t="s">
        <v>37</v>
      </c>
      <c r="E764" s="19" t="s">
        <v>994</v>
      </c>
      <c r="F764" s="5" t="s">
        <v>994</v>
      </c>
      <c r="G764" s="39" t="s">
        <v>924</v>
      </c>
      <c r="H764" s="106"/>
      <c r="I764" s="96">
        <v>0</v>
      </c>
      <c r="J764" s="96">
        <v>0</v>
      </c>
      <c r="K764" s="96">
        <v>0</v>
      </c>
      <c r="L764" s="96">
        <v>0</v>
      </c>
      <c r="M764" s="96">
        <v>0</v>
      </c>
      <c r="N764" s="96">
        <v>0</v>
      </c>
      <c r="O764" s="96">
        <v>0</v>
      </c>
      <c r="P764" s="96">
        <v>0</v>
      </c>
      <c r="Q764" s="96">
        <v>0</v>
      </c>
      <c r="R764" s="96">
        <v>0</v>
      </c>
      <c r="S764" s="96">
        <v>0</v>
      </c>
      <c r="T764" s="96">
        <v>0</v>
      </c>
      <c r="U764" s="96">
        <v>0</v>
      </c>
      <c r="V764" s="96">
        <v>0</v>
      </c>
      <c r="W764" s="96">
        <v>0</v>
      </c>
      <c r="X764" s="96">
        <v>0</v>
      </c>
      <c r="Y764" s="96">
        <v>0</v>
      </c>
      <c r="Z764" s="96"/>
      <c r="AA764" s="19"/>
      <c r="AB764" s="19"/>
      <c r="AC764" s="19"/>
      <c r="AD764" s="19"/>
      <c r="AE764" s="13">
        <v>44997</v>
      </c>
      <c r="AF764" s="8"/>
      <c r="AG764" t="str">
        <f>VLOOKUP(OfficeForms.Table[[#This Row],[Nama Proyek]],'Nama Proyek'!$D$2:$G$40,4,0)</f>
        <v>-3.25078511,134.87791156</v>
      </c>
      <c r="AH764" s="5"/>
      <c r="AI764" s="5"/>
      <c r="AJ764" s="5"/>
      <c r="AK764" s="5" t="s">
        <v>1707</v>
      </c>
    </row>
    <row r="765" spans="1:37" ht="15" hidden="1" customHeight="1">
      <c r="A765" s="31">
        <v>1082</v>
      </c>
      <c r="B765" s="111">
        <v>45028</v>
      </c>
      <c r="C765" s="29">
        <f>B765</f>
        <v>45028</v>
      </c>
      <c r="D765" s="8" t="s">
        <v>37</v>
      </c>
      <c r="E765" s="8" t="s">
        <v>994</v>
      </c>
      <c r="F765" s="5" t="s">
        <v>994</v>
      </c>
      <c r="G765" s="39" t="s">
        <v>924</v>
      </c>
      <c r="H765" s="105"/>
      <c r="I765" s="95">
        <v>0</v>
      </c>
      <c r="J765" s="95">
        <v>0</v>
      </c>
      <c r="K765" s="95">
        <v>0</v>
      </c>
      <c r="L765" s="95">
        <v>0</v>
      </c>
      <c r="M765" s="95">
        <v>0</v>
      </c>
      <c r="N765" s="95">
        <v>0</v>
      </c>
      <c r="O765" s="95">
        <v>0</v>
      </c>
      <c r="P765" s="95">
        <v>0</v>
      </c>
      <c r="Q765" s="95">
        <v>0</v>
      </c>
      <c r="R765" s="95">
        <v>0</v>
      </c>
      <c r="S765" s="95">
        <v>0</v>
      </c>
      <c r="T765" s="95">
        <v>0</v>
      </c>
      <c r="U765" s="95">
        <v>0</v>
      </c>
      <c r="V765" s="95">
        <v>0</v>
      </c>
      <c r="W765" s="95">
        <v>0</v>
      </c>
      <c r="X765" s="95">
        <v>0</v>
      </c>
      <c r="Y765" s="95">
        <v>0</v>
      </c>
      <c r="Z765" s="95"/>
      <c r="AA765" s="8" t="s">
        <v>1708</v>
      </c>
      <c r="AB765" s="41" t="s">
        <v>1709</v>
      </c>
      <c r="AC765" s="8"/>
      <c r="AD765" s="8"/>
      <c r="AE765" s="11"/>
      <c r="AF765" s="8"/>
      <c r="AG765" t="str">
        <f>VLOOKUP(OfficeForms.Table[[#This Row],[Nama Proyek]],'Nama Proyek'!$D$2:$G$40,4,0)</f>
        <v>-3.25078511,134.87791156</v>
      </c>
      <c r="AH765" s="5"/>
      <c r="AI765" s="5"/>
      <c r="AJ765" s="5"/>
      <c r="AK765" s="5" t="s">
        <v>1710</v>
      </c>
    </row>
    <row r="766" spans="1:37" ht="15" hidden="1" customHeight="1">
      <c r="A766" s="30">
        <v>1084</v>
      </c>
      <c r="B766" s="111">
        <v>45028</v>
      </c>
      <c r="C766" s="29">
        <f>B766</f>
        <v>45028</v>
      </c>
      <c r="D766" s="9" t="s">
        <v>37</v>
      </c>
      <c r="E766" s="9" t="s">
        <v>54</v>
      </c>
      <c r="F766" s="5" t="str">
        <f>E766</f>
        <v>Haryo Widiandoko</v>
      </c>
      <c r="G766" s="17" t="s">
        <v>55</v>
      </c>
      <c r="H766" s="104"/>
      <c r="I766" s="94">
        <v>0</v>
      </c>
      <c r="J766" s="94">
        <v>0</v>
      </c>
      <c r="K766" s="94">
        <v>0</v>
      </c>
      <c r="L766" s="94">
        <v>0</v>
      </c>
      <c r="M766" s="94">
        <v>0</v>
      </c>
      <c r="N766" s="94">
        <v>0</v>
      </c>
      <c r="O766" s="94">
        <v>0</v>
      </c>
      <c r="P766" s="94">
        <v>0</v>
      </c>
      <c r="Q766" s="94">
        <v>0</v>
      </c>
      <c r="R766" s="94">
        <v>0</v>
      </c>
      <c r="S766" s="94">
        <v>0</v>
      </c>
      <c r="T766" s="94">
        <v>0</v>
      </c>
      <c r="U766" s="94">
        <v>0</v>
      </c>
      <c r="V766" s="94">
        <v>0</v>
      </c>
      <c r="W766" s="94">
        <v>0</v>
      </c>
      <c r="X766" s="94">
        <v>0</v>
      </c>
      <c r="Y766" s="94">
        <v>0</v>
      </c>
      <c r="Z766" s="94"/>
      <c r="AA766" s="9"/>
      <c r="AB766" s="9"/>
      <c r="AC766" s="9"/>
      <c r="AD766" s="9"/>
      <c r="AE766" s="12">
        <v>44937</v>
      </c>
      <c r="AF766" s="41" t="s">
        <v>1711</v>
      </c>
      <c r="AG766" t="str">
        <f>VLOOKUP(OfficeForms.Table[[#This Row],[Nama Proyek]],'Nama Proyek'!$D$2:$G$29,4,0)</f>
        <v>-6.42873464,107.19897003</v>
      </c>
      <c r="AH766" s="5"/>
      <c r="AI766" s="5"/>
      <c r="AJ766" s="5"/>
      <c r="AK766" s="5" t="s">
        <v>1712</v>
      </c>
    </row>
    <row r="767" spans="1:37" ht="15" hidden="1" customHeight="1">
      <c r="A767">
        <v>1085</v>
      </c>
      <c r="B767" s="110">
        <v>45028</v>
      </c>
      <c r="C767" s="28">
        <f>B767</f>
        <v>45028</v>
      </c>
      <c r="D767" s="8" t="s">
        <v>37</v>
      </c>
      <c r="E767" s="8" t="s">
        <v>54</v>
      </c>
      <c r="F767" s="5" t="str">
        <f>E767</f>
        <v>Haryo Widiandoko</v>
      </c>
      <c r="G767" s="42" t="s">
        <v>55</v>
      </c>
      <c r="H767" s="102"/>
      <c r="I767" s="95">
        <v>0</v>
      </c>
      <c r="J767" s="95">
        <v>0</v>
      </c>
      <c r="K767" s="95">
        <v>0</v>
      </c>
      <c r="L767" s="95">
        <v>0</v>
      </c>
      <c r="M767" s="95">
        <v>0</v>
      </c>
      <c r="N767" s="95">
        <v>0</v>
      </c>
      <c r="O767" s="95">
        <v>0</v>
      </c>
      <c r="P767" s="95">
        <v>0</v>
      </c>
      <c r="Q767" s="95">
        <v>0</v>
      </c>
      <c r="R767" s="95">
        <v>0</v>
      </c>
      <c r="S767" s="95">
        <v>0</v>
      </c>
      <c r="T767" s="95">
        <v>0</v>
      </c>
      <c r="U767" s="95">
        <v>0</v>
      </c>
      <c r="V767" s="95">
        <v>0</v>
      </c>
      <c r="W767" s="95">
        <v>0</v>
      </c>
      <c r="X767" s="95">
        <v>0</v>
      </c>
      <c r="Y767" s="95">
        <v>0</v>
      </c>
      <c r="Z767" s="95"/>
      <c r="AA767" s="8"/>
      <c r="AB767" s="8"/>
      <c r="AC767" s="8"/>
      <c r="AD767" s="8"/>
      <c r="AE767" s="11">
        <v>44937</v>
      </c>
      <c r="AF767" s="15"/>
      <c r="AG767" t="str">
        <f>VLOOKUP(OfficeForms.Table[[#This Row],[Nama Proyek]],'Nama Proyek'!$D$2:$G$29,4,0)</f>
        <v>-6.42873464,107.19897003</v>
      </c>
      <c r="AH767" s="5"/>
      <c r="AI767" s="5"/>
      <c r="AJ767" s="5"/>
      <c r="AK767" s="5" t="s">
        <v>1713</v>
      </c>
    </row>
    <row r="768" spans="1:37" ht="15" hidden="1" customHeight="1">
      <c r="A768">
        <v>462</v>
      </c>
      <c r="B768" s="111">
        <v>45029</v>
      </c>
      <c r="C768" s="29">
        <f>B768</f>
        <v>45029</v>
      </c>
      <c r="D768" s="8" t="s">
        <v>37</v>
      </c>
      <c r="E768" s="8" t="s">
        <v>109</v>
      </c>
      <c r="F768" s="5" t="str">
        <f>E768</f>
        <v>Muhamad Saifudin Ashari</v>
      </c>
      <c r="G768" s="17" t="s">
        <v>39</v>
      </c>
      <c r="H768" s="102"/>
      <c r="I768" s="95">
        <v>0</v>
      </c>
      <c r="J768" s="95">
        <v>0</v>
      </c>
      <c r="K768" s="95">
        <v>0</v>
      </c>
      <c r="L768" s="95">
        <v>0</v>
      </c>
      <c r="M768" s="95">
        <v>0</v>
      </c>
      <c r="N768" s="95">
        <v>0</v>
      </c>
      <c r="O768" s="95">
        <v>0</v>
      </c>
      <c r="P768" s="95">
        <v>0</v>
      </c>
      <c r="Q768" s="95">
        <v>0</v>
      </c>
      <c r="R768" s="95">
        <v>0</v>
      </c>
      <c r="S768" s="95">
        <v>0</v>
      </c>
      <c r="T768" s="95">
        <v>0</v>
      </c>
      <c r="U768" s="95">
        <v>0</v>
      </c>
      <c r="V768" s="95">
        <v>0</v>
      </c>
      <c r="W768" s="95">
        <v>0</v>
      </c>
      <c r="X768" s="95">
        <v>0</v>
      </c>
      <c r="Y768" s="95">
        <v>0</v>
      </c>
      <c r="Z768" s="95"/>
      <c r="AA768" s="8" t="s">
        <v>1714</v>
      </c>
      <c r="AB768" s="63" t="s">
        <v>1715</v>
      </c>
      <c r="AC768" s="8" t="s">
        <v>1716</v>
      </c>
      <c r="AD768" s="8" t="s">
        <v>873</v>
      </c>
      <c r="AE768" s="16"/>
      <c r="AF768" s="19"/>
      <c r="AG768" t="str">
        <f>VLOOKUP(OfficeForms.Table[[#This Row],[Nama Proyek]],'Nama Proyek'!$D$2:$G$29,4,0)</f>
        <v>-6.80675464,106.785366</v>
      </c>
      <c r="AH768" s="5"/>
      <c r="AI768" s="5"/>
      <c r="AJ768" s="5"/>
      <c r="AK768" s="5" t="s">
        <v>1717</v>
      </c>
    </row>
    <row r="769" spans="1:37" ht="15" hidden="1" customHeight="1">
      <c r="A769" s="31">
        <v>467</v>
      </c>
      <c r="B769" s="110">
        <v>45029</v>
      </c>
      <c r="C769" s="28">
        <f>B769</f>
        <v>45029</v>
      </c>
      <c r="D769" s="19" t="s">
        <v>37</v>
      </c>
      <c r="E769" s="19" t="s">
        <v>109</v>
      </c>
      <c r="F769" s="5" t="str">
        <f>E769</f>
        <v>Muhamad Saifudin Ashari</v>
      </c>
      <c r="G769" s="42" t="s">
        <v>39</v>
      </c>
      <c r="H769" s="106"/>
      <c r="I769" s="96">
        <v>0</v>
      </c>
      <c r="J769" s="96">
        <v>0</v>
      </c>
      <c r="K769" s="96">
        <v>0</v>
      </c>
      <c r="L769" s="96">
        <v>0</v>
      </c>
      <c r="M769" s="96">
        <v>0</v>
      </c>
      <c r="N769" s="96">
        <v>0</v>
      </c>
      <c r="O769" s="96">
        <v>0</v>
      </c>
      <c r="P769" s="96">
        <v>0</v>
      </c>
      <c r="Q769" s="96">
        <v>0</v>
      </c>
      <c r="R769" s="96">
        <v>0</v>
      </c>
      <c r="S769" s="96">
        <v>0</v>
      </c>
      <c r="T769" s="96">
        <v>0</v>
      </c>
      <c r="U769" s="96">
        <v>0</v>
      </c>
      <c r="V769" s="96">
        <v>0</v>
      </c>
      <c r="W769" s="96">
        <v>0</v>
      </c>
      <c r="X769" s="96">
        <v>0</v>
      </c>
      <c r="Y769" s="96">
        <v>0</v>
      </c>
      <c r="Z769" s="96"/>
      <c r="AA769" s="19"/>
      <c r="AB769" s="19"/>
      <c r="AC769" s="19"/>
      <c r="AD769" s="19"/>
      <c r="AE769" s="13" t="s">
        <v>973</v>
      </c>
      <c r="AF769" s="8"/>
      <c r="AG769" t="str">
        <f>VLOOKUP(OfficeForms.Table[[#This Row],[Nama Proyek]],'Nama Proyek'!$D$2:$G$29,4,0)</f>
        <v>-6.80675464,106.785366</v>
      </c>
      <c r="AH769" s="5"/>
      <c r="AI769" s="5"/>
      <c r="AJ769" s="5"/>
      <c r="AK769" s="5" t="s">
        <v>1718</v>
      </c>
    </row>
    <row r="770" spans="1:37" ht="15" hidden="1" customHeight="1">
      <c r="A770" s="30">
        <v>981</v>
      </c>
      <c r="B770" s="110">
        <v>45030</v>
      </c>
      <c r="C770" s="28">
        <f>B770</f>
        <v>45030</v>
      </c>
      <c r="D770" s="8" t="s">
        <v>37</v>
      </c>
      <c r="E770" s="8" t="s">
        <v>109</v>
      </c>
      <c r="F770" s="5" t="str">
        <f>E770</f>
        <v>Muhamad Saifudin Ashari</v>
      </c>
      <c r="G770" s="42" t="s">
        <v>39</v>
      </c>
      <c r="H770" s="102">
        <v>45029</v>
      </c>
      <c r="I770" s="95">
        <v>94.317999999999998</v>
      </c>
      <c r="J770" s="95">
        <v>95.793999999999997</v>
      </c>
      <c r="K770" s="95">
        <v>98.978999999999999</v>
      </c>
      <c r="L770" s="95">
        <v>87.861999999999995</v>
      </c>
      <c r="M770" s="95">
        <v>98.105999999999995</v>
      </c>
      <c r="N770" s="95">
        <v>99.04</v>
      </c>
      <c r="O770" s="95">
        <v>77.683999999999997</v>
      </c>
      <c r="P770" s="95">
        <v>94.117000000000004</v>
      </c>
      <c r="Q770" s="95">
        <v>93.597999999999999</v>
      </c>
      <c r="R770" s="95">
        <v>91.981999999999999</v>
      </c>
      <c r="S770" s="95">
        <v>98.759</v>
      </c>
      <c r="T770" s="95">
        <v>97.664000000000001</v>
      </c>
      <c r="U770" s="95">
        <v>78.644000000000005</v>
      </c>
      <c r="V770" s="95">
        <v>49.188000000000002</v>
      </c>
      <c r="W770" s="95">
        <v>12.055</v>
      </c>
      <c r="X770" s="95">
        <v>31.001000000000001</v>
      </c>
      <c r="Y770" s="95">
        <v>16.422999999999998</v>
      </c>
      <c r="Z770" s="95"/>
      <c r="AA770" s="8"/>
      <c r="AB770" s="8"/>
      <c r="AC770" s="8"/>
      <c r="AD770" s="8"/>
      <c r="AE770" s="11"/>
      <c r="AF770" s="17"/>
      <c r="AG770" t="str">
        <f>VLOOKUP(OfficeForms.Table[[#This Row],[Nama Proyek]],'Nama Proyek'!$D$2:$G$29,4,0)</f>
        <v>-6.80675464,106.785366</v>
      </c>
      <c r="AH770" s="5"/>
      <c r="AI770" s="5"/>
      <c r="AJ770" s="5"/>
      <c r="AK770" s="5" t="s">
        <v>1719</v>
      </c>
    </row>
    <row r="771" spans="1:37" ht="15" hidden="1" customHeight="1">
      <c r="A771" s="30">
        <v>404</v>
      </c>
      <c r="B771" s="111">
        <v>45032</v>
      </c>
      <c r="C771" s="29">
        <f>B771</f>
        <v>45032</v>
      </c>
      <c r="D771" s="9" t="s">
        <v>37</v>
      </c>
      <c r="E771" s="9" t="s">
        <v>75</v>
      </c>
      <c r="F771" s="5" t="str">
        <f>E771</f>
        <v>Banyu Purwita</v>
      </c>
      <c r="G771" s="37" t="s">
        <v>76</v>
      </c>
      <c r="H771" s="103">
        <v>45031</v>
      </c>
      <c r="I771" s="94">
        <v>45.688000000000002</v>
      </c>
      <c r="J771" s="94">
        <v>48.116</v>
      </c>
      <c r="K771" s="94">
        <v>0</v>
      </c>
      <c r="L771" s="94">
        <v>0</v>
      </c>
      <c r="M771" s="94">
        <v>2.3069999999999999</v>
      </c>
      <c r="N771" s="94">
        <v>0</v>
      </c>
      <c r="O771" s="94">
        <v>12.15</v>
      </c>
      <c r="P771" s="94">
        <v>0</v>
      </c>
      <c r="Q771" s="94">
        <v>2.3889999999999998</v>
      </c>
      <c r="R771" s="94">
        <v>0</v>
      </c>
      <c r="S771" s="94">
        <v>26.981999999999999</v>
      </c>
      <c r="T771" s="94">
        <v>0</v>
      </c>
      <c r="U771" s="94">
        <v>6.3E-2</v>
      </c>
      <c r="V771" s="94">
        <v>0</v>
      </c>
      <c r="W771" s="94">
        <v>0</v>
      </c>
      <c r="X771" s="94">
        <v>0</v>
      </c>
      <c r="Y771" s="94">
        <v>0</v>
      </c>
      <c r="Z771" s="94"/>
      <c r="AA771" s="9"/>
      <c r="AB771" s="9"/>
      <c r="AC771" s="9"/>
      <c r="AD771" s="9"/>
      <c r="AE771" s="18"/>
      <c r="AF771" s="42"/>
      <c r="AG771" t="str">
        <f>VLOOKUP(OfficeForms.Table[[#This Row],[Nama Proyek]],'Nama Proyek'!$D$2:$G$29,4,0)</f>
        <v>-2.95293103,104.75455094</v>
      </c>
      <c r="AH771" s="5"/>
      <c r="AI771" s="5"/>
      <c r="AJ771" s="5"/>
      <c r="AK771" s="5" t="s">
        <v>1720</v>
      </c>
    </row>
    <row r="772" spans="1:37" ht="15" hidden="1" customHeight="1">
      <c r="A772">
        <v>817</v>
      </c>
      <c r="B772" s="110">
        <v>45032</v>
      </c>
      <c r="C772" s="28">
        <f>B772</f>
        <v>45032</v>
      </c>
      <c r="D772" s="8" t="s">
        <v>37</v>
      </c>
      <c r="E772" s="8" t="s">
        <v>75</v>
      </c>
      <c r="F772" s="5" t="str">
        <f>E772</f>
        <v>Banyu Purwita</v>
      </c>
      <c r="G772" s="55" t="s">
        <v>76</v>
      </c>
      <c r="H772" s="102"/>
      <c r="I772" s="95">
        <v>0</v>
      </c>
      <c r="J772" s="95">
        <v>0</v>
      </c>
      <c r="K772" s="95">
        <v>0</v>
      </c>
      <c r="L772" s="95">
        <v>0</v>
      </c>
      <c r="M772" s="95">
        <v>0</v>
      </c>
      <c r="N772" s="95">
        <v>0</v>
      </c>
      <c r="O772" s="95">
        <v>0</v>
      </c>
      <c r="P772" s="95">
        <v>0</v>
      </c>
      <c r="Q772" s="95">
        <v>0</v>
      </c>
      <c r="R772" s="95">
        <v>0</v>
      </c>
      <c r="S772" s="95">
        <v>0</v>
      </c>
      <c r="T772" s="95">
        <v>0</v>
      </c>
      <c r="U772" s="95">
        <v>0</v>
      </c>
      <c r="V772" s="95">
        <v>0</v>
      </c>
      <c r="W772" s="95">
        <v>0</v>
      </c>
      <c r="X772" s="95">
        <v>0</v>
      </c>
      <c r="Y772" s="95">
        <v>0</v>
      </c>
      <c r="Z772" s="95"/>
      <c r="AA772" s="8"/>
      <c r="AB772" s="8"/>
      <c r="AC772" s="8"/>
      <c r="AD772" s="8"/>
      <c r="AE772" s="16" t="s">
        <v>973</v>
      </c>
      <c r="AF772" s="9"/>
      <c r="AG772" t="str">
        <f>VLOOKUP(OfficeForms.Table[[#This Row],[Nama Proyek]],'Nama Proyek'!$D$2:$G$29,4,0)</f>
        <v>-2.95293103,104.75455094</v>
      </c>
      <c r="AH772" s="5"/>
      <c r="AI772" s="5"/>
      <c r="AJ772" s="5"/>
      <c r="AK772" s="5" t="s">
        <v>1721</v>
      </c>
    </row>
    <row r="773" spans="1:37" ht="15" hidden="1" customHeight="1">
      <c r="A773" s="50">
        <v>818</v>
      </c>
      <c r="B773" s="111">
        <v>45032</v>
      </c>
      <c r="C773" s="29">
        <f>B773</f>
        <v>45032</v>
      </c>
      <c r="D773" s="9" t="s">
        <v>37</v>
      </c>
      <c r="E773" s="9" t="s">
        <v>75</v>
      </c>
      <c r="F773" s="5" t="str">
        <f>E773</f>
        <v>Banyu Purwita</v>
      </c>
      <c r="G773" s="54" t="s">
        <v>76</v>
      </c>
      <c r="H773" s="104"/>
      <c r="I773" s="94">
        <v>0</v>
      </c>
      <c r="J773" s="94">
        <v>0</v>
      </c>
      <c r="K773" s="94">
        <v>0</v>
      </c>
      <c r="L773" s="94">
        <v>0</v>
      </c>
      <c r="M773" s="94">
        <v>0</v>
      </c>
      <c r="N773" s="94">
        <v>0</v>
      </c>
      <c r="O773" s="94">
        <v>0</v>
      </c>
      <c r="P773" s="94">
        <v>0</v>
      </c>
      <c r="Q773" s="94">
        <v>0</v>
      </c>
      <c r="R773" s="94">
        <v>0</v>
      </c>
      <c r="S773" s="94">
        <v>0</v>
      </c>
      <c r="T773" s="94">
        <v>0</v>
      </c>
      <c r="U773" s="94">
        <v>0</v>
      </c>
      <c r="V773" s="94">
        <v>0</v>
      </c>
      <c r="W773" s="94">
        <v>0</v>
      </c>
      <c r="X773" s="94">
        <v>0</v>
      </c>
      <c r="Y773" s="94">
        <v>0</v>
      </c>
      <c r="Z773" s="94"/>
      <c r="AA773" s="9" t="s">
        <v>1722</v>
      </c>
      <c r="AB773" s="9" t="s">
        <v>1723</v>
      </c>
      <c r="AC773" s="9" t="s">
        <v>1724</v>
      </c>
      <c r="AD773" s="9" t="s">
        <v>1724</v>
      </c>
      <c r="AE773" s="12"/>
      <c r="AF773" s="19"/>
      <c r="AG773" t="str">
        <f>VLOOKUP(OfficeForms.Table[[#This Row],[Nama Proyek]],'Nama Proyek'!$D$2:$G$29,4,0)</f>
        <v>-2.95293103,104.75455094</v>
      </c>
      <c r="AH773" s="5"/>
      <c r="AI773" s="5"/>
      <c r="AJ773" s="5"/>
      <c r="AK773" s="5" t="s">
        <v>1725</v>
      </c>
    </row>
    <row r="774" spans="1:37" ht="15" hidden="1" customHeight="1">
      <c r="A774" s="50">
        <v>767</v>
      </c>
      <c r="B774" s="110">
        <v>45044</v>
      </c>
      <c r="C774" s="28">
        <f>B774</f>
        <v>45044</v>
      </c>
      <c r="D774" s="8" t="s">
        <v>37</v>
      </c>
      <c r="E774" s="8" t="s">
        <v>687</v>
      </c>
      <c r="F774" s="5" t="str">
        <f>E774</f>
        <v>Andri Julio Hermawan</v>
      </c>
      <c r="G774" s="39" t="s">
        <v>750</v>
      </c>
      <c r="H774" s="100">
        <v>45044</v>
      </c>
      <c r="I774" s="95">
        <v>17.847999999999999</v>
      </c>
      <c r="J774" s="95">
        <v>16.75</v>
      </c>
      <c r="K774" s="95">
        <v>0</v>
      </c>
      <c r="L774" s="95">
        <v>0</v>
      </c>
      <c r="M774" s="95">
        <v>11.5313</v>
      </c>
      <c r="N774" s="95">
        <v>0</v>
      </c>
      <c r="O774" s="95">
        <v>0</v>
      </c>
      <c r="P774" s="95">
        <v>0</v>
      </c>
      <c r="Q774" s="95">
        <v>0</v>
      </c>
      <c r="R774" s="95">
        <v>0</v>
      </c>
      <c r="S774" s="95">
        <v>5.8310000000000004</v>
      </c>
      <c r="T774" s="95">
        <v>0</v>
      </c>
      <c r="U774" s="95">
        <v>0</v>
      </c>
      <c r="V774" s="95">
        <v>0</v>
      </c>
      <c r="W774" s="95">
        <v>0</v>
      </c>
      <c r="X774" s="95">
        <v>0</v>
      </c>
      <c r="Y774" s="95">
        <v>0</v>
      </c>
      <c r="Z774" s="95"/>
      <c r="AA774" s="8"/>
      <c r="AB774" s="8"/>
      <c r="AC774" s="8"/>
      <c r="AD774" s="8"/>
      <c r="AE774" s="11"/>
      <c r="AF774" s="40" t="s">
        <v>1726</v>
      </c>
      <c r="AG774" t="str">
        <f>VLOOKUP(OfficeForms.Table[[#This Row],[Nama Proyek]],'Nama Proyek'!$D$2:$G$29,4,0)</f>
        <v>-1.10415341,116.73424356</v>
      </c>
      <c r="AH774" s="5"/>
      <c r="AI774" s="5"/>
      <c r="AJ774" s="5"/>
      <c r="AK774" s="5" t="s">
        <v>1727</v>
      </c>
    </row>
    <row r="775" spans="1:37" ht="15" hidden="1" customHeight="1">
      <c r="A775" s="31">
        <v>771</v>
      </c>
      <c r="B775" s="110">
        <v>45044</v>
      </c>
      <c r="C775" s="28">
        <f>B775</f>
        <v>45044</v>
      </c>
      <c r="D775" s="8" t="s">
        <v>37</v>
      </c>
      <c r="E775" s="8" t="s">
        <v>734</v>
      </c>
      <c r="F775" s="5" t="str">
        <f>E775</f>
        <v>Aldian Winata</v>
      </c>
      <c r="G775" s="8" t="s">
        <v>735</v>
      </c>
      <c r="H775" s="102">
        <v>45046</v>
      </c>
      <c r="I775" s="95">
        <v>36.372999999999998</v>
      </c>
      <c r="J775" s="95">
        <v>43.19</v>
      </c>
      <c r="K775" s="95">
        <v>2.2189999999999999</v>
      </c>
      <c r="L775" s="95">
        <v>29.603000000000002</v>
      </c>
      <c r="M775" s="95">
        <v>0</v>
      </c>
      <c r="N775" s="95">
        <v>1.0999999999999999E-2</v>
      </c>
      <c r="O775" s="95">
        <v>0.97499999999999998</v>
      </c>
      <c r="P775" s="95">
        <v>0</v>
      </c>
      <c r="Q775" s="95">
        <v>0</v>
      </c>
      <c r="R775" s="95">
        <v>0</v>
      </c>
      <c r="S775" s="95">
        <v>0</v>
      </c>
      <c r="T775" s="95">
        <v>0</v>
      </c>
      <c r="U775" s="95">
        <v>0</v>
      </c>
      <c r="V775" s="95">
        <v>0</v>
      </c>
      <c r="W775" s="95">
        <v>0</v>
      </c>
      <c r="X775" s="95">
        <v>0</v>
      </c>
      <c r="Y775" s="95">
        <v>0</v>
      </c>
      <c r="Z775" s="95"/>
      <c r="AA775" s="8"/>
      <c r="AB775" s="8"/>
      <c r="AC775" s="8"/>
      <c r="AD775" s="8"/>
      <c r="AE775" s="11"/>
      <c r="AF775" s="9" t="s">
        <v>911</v>
      </c>
      <c r="AG775" t="str">
        <f>VLOOKUP(OfficeForms.Table[[#This Row],[Nama Proyek]],'Nama Proyek'!$D$2:$G$40,4,0)</f>
        <v>-0.88562397,119.85928375</v>
      </c>
      <c r="AH775" s="5"/>
      <c r="AI775" s="5"/>
      <c r="AJ775" s="5"/>
      <c r="AK775" s="5" t="s">
        <v>1728</v>
      </c>
    </row>
    <row r="776" spans="1:37" ht="15" hidden="1" customHeight="1">
      <c r="A776" s="31">
        <v>768</v>
      </c>
      <c r="B776" s="111">
        <v>45044</v>
      </c>
      <c r="C776" s="29">
        <f>B776</f>
        <v>45044</v>
      </c>
      <c r="D776" s="9" t="s">
        <v>37</v>
      </c>
      <c r="E776" s="9" t="s">
        <v>687</v>
      </c>
      <c r="F776" s="5" t="str">
        <f>E776</f>
        <v>Andri Julio Hermawan</v>
      </c>
      <c r="G776" s="32" t="s">
        <v>750</v>
      </c>
      <c r="H776" s="104"/>
      <c r="I776" s="94">
        <v>0</v>
      </c>
      <c r="J776" s="94">
        <v>0</v>
      </c>
      <c r="K776" s="94">
        <v>0</v>
      </c>
      <c r="L776" s="94">
        <v>0</v>
      </c>
      <c r="M776" s="94">
        <v>0</v>
      </c>
      <c r="N776" s="94">
        <v>0</v>
      </c>
      <c r="O776" s="94">
        <v>0</v>
      </c>
      <c r="P776" s="94">
        <v>0</v>
      </c>
      <c r="Q776" s="94">
        <v>0</v>
      </c>
      <c r="R776" s="94">
        <v>0</v>
      </c>
      <c r="S776" s="94">
        <v>0</v>
      </c>
      <c r="T776" s="94">
        <v>0</v>
      </c>
      <c r="U776" s="94">
        <v>0</v>
      </c>
      <c r="V776" s="94">
        <v>0</v>
      </c>
      <c r="W776" s="94">
        <v>0</v>
      </c>
      <c r="X776" s="94">
        <v>0</v>
      </c>
      <c r="Y776" s="94">
        <v>0</v>
      </c>
      <c r="Z776" s="94"/>
      <c r="AA776" s="9"/>
      <c r="AB776" s="9"/>
      <c r="AC776" s="9"/>
      <c r="AD776" s="9"/>
      <c r="AE776" s="12" t="s">
        <v>1729</v>
      </c>
      <c r="AF776" s="8"/>
      <c r="AG776" t="str">
        <f>VLOOKUP(OfficeForms.Table[[#This Row],[Nama Proyek]],'Nama Proyek'!$D$2:$G$29,4,0)</f>
        <v>-1.10415341,116.73424356</v>
      </c>
      <c r="AH776" s="5"/>
      <c r="AI776" s="5"/>
      <c r="AJ776" s="5"/>
      <c r="AK776" s="5" t="s">
        <v>1730</v>
      </c>
    </row>
    <row r="777" spans="1:37" ht="15" hidden="1" customHeight="1">
      <c r="A777" s="30">
        <v>769</v>
      </c>
      <c r="B777" s="110">
        <v>45044</v>
      </c>
      <c r="C777" s="28">
        <f>B777</f>
        <v>45044</v>
      </c>
      <c r="D777" s="8" t="s">
        <v>37</v>
      </c>
      <c r="E777" s="8" t="s">
        <v>687</v>
      </c>
      <c r="F777" s="5" t="str">
        <f>E777</f>
        <v>Andri Julio Hermawan</v>
      </c>
      <c r="G777" s="23" t="s">
        <v>750</v>
      </c>
      <c r="H777" s="102"/>
      <c r="I777" s="95">
        <v>0</v>
      </c>
      <c r="J777" s="95">
        <v>0</v>
      </c>
      <c r="K777" s="95">
        <v>0</v>
      </c>
      <c r="L777" s="95">
        <v>0</v>
      </c>
      <c r="M777" s="95">
        <v>0</v>
      </c>
      <c r="N777" s="95">
        <v>0</v>
      </c>
      <c r="O777" s="95">
        <v>0</v>
      </c>
      <c r="P777" s="95">
        <v>0</v>
      </c>
      <c r="Q777" s="95">
        <v>0</v>
      </c>
      <c r="R777" s="95">
        <v>0</v>
      </c>
      <c r="S777" s="95">
        <v>0</v>
      </c>
      <c r="T777" s="95">
        <v>0</v>
      </c>
      <c r="U777" s="95">
        <v>0</v>
      </c>
      <c r="V777" s="95">
        <v>0</v>
      </c>
      <c r="W777" s="95">
        <v>0</v>
      </c>
      <c r="X777" s="95">
        <v>0</v>
      </c>
      <c r="Y777" s="95">
        <v>0</v>
      </c>
      <c r="Z777" s="95"/>
      <c r="AA777" s="8" t="s">
        <v>1731</v>
      </c>
      <c r="AB777" s="8" t="s">
        <v>1732</v>
      </c>
      <c r="AC777" s="8" t="s">
        <v>1733</v>
      </c>
      <c r="AD777" s="8" t="s">
        <v>1733</v>
      </c>
      <c r="AE777" s="11"/>
      <c r="AF777" s="17"/>
      <c r="AG777" t="str">
        <f>VLOOKUP(OfficeForms.Table[[#This Row],[Nama Proyek]],'Nama Proyek'!$D$2:$G$29,4,0)</f>
        <v>-1.10415341,116.73424356</v>
      </c>
      <c r="AH777" s="5"/>
      <c r="AI777" s="5"/>
      <c r="AJ777" s="5"/>
      <c r="AK777" s="5" t="s">
        <v>1734</v>
      </c>
    </row>
    <row r="778" spans="1:37" ht="15" hidden="1" customHeight="1">
      <c r="A778">
        <v>770</v>
      </c>
      <c r="B778" s="111">
        <v>45044</v>
      </c>
      <c r="C778" s="29">
        <f>B778</f>
        <v>45044</v>
      </c>
      <c r="D778" s="9" t="s">
        <v>37</v>
      </c>
      <c r="E778" s="9" t="s">
        <v>734</v>
      </c>
      <c r="F778" s="5" t="str">
        <f>E778</f>
        <v>Aldian Winata</v>
      </c>
      <c r="G778" s="17" t="s">
        <v>735</v>
      </c>
      <c r="H778" s="103"/>
      <c r="I778" s="94">
        <v>0</v>
      </c>
      <c r="J778" s="94">
        <v>0</v>
      </c>
      <c r="K778" s="94">
        <v>0</v>
      </c>
      <c r="L778" s="94">
        <v>0</v>
      </c>
      <c r="M778" s="94">
        <v>0</v>
      </c>
      <c r="N778" s="94">
        <v>0</v>
      </c>
      <c r="O778" s="94">
        <v>0</v>
      </c>
      <c r="P778" s="94">
        <v>0</v>
      </c>
      <c r="Q778" s="94">
        <v>0</v>
      </c>
      <c r="R778" s="94">
        <v>0</v>
      </c>
      <c r="S778" s="94">
        <v>0</v>
      </c>
      <c r="T778" s="94">
        <v>0</v>
      </c>
      <c r="U778" s="94">
        <v>0</v>
      </c>
      <c r="V778" s="94">
        <v>0</v>
      </c>
      <c r="W778" s="94">
        <v>0</v>
      </c>
      <c r="X778" s="94">
        <v>0</v>
      </c>
      <c r="Y778" s="94">
        <v>0</v>
      </c>
      <c r="Z778" s="94"/>
      <c r="AA778" s="9" t="s">
        <v>1735</v>
      </c>
      <c r="AB778" s="9" t="s">
        <v>1736</v>
      </c>
      <c r="AC778" s="9" t="s">
        <v>1736</v>
      </c>
      <c r="AD778" s="17" t="s">
        <v>1736</v>
      </c>
      <c r="AE778" s="18"/>
      <c r="AF778" s="8"/>
      <c r="AG778" t="str">
        <f>VLOOKUP(OfficeForms.Table[[#This Row],[Nama Proyek]],'Nama Proyek'!$D$2:$G$40,4,0)</f>
        <v>-0.88562397,119.85928375</v>
      </c>
      <c r="AH778" s="5"/>
      <c r="AI778" s="5"/>
      <c r="AJ778" s="5"/>
      <c r="AK778" s="5" t="s">
        <v>1737</v>
      </c>
    </row>
    <row r="779" spans="1:37" ht="15" hidden="1" customHeight="1">
      <c r="A779" s="50">
        <v>772</v>
      </c>
      <c r="B779" s="111">
        <v>45044</v>
      </c>
      <c r="C779" s="29">
        <f>B779</f>
        <v>45044</v>
      </c>
      <c r="D779" s="9" t="s">
        <v>37</v>
      </c>
      <c r="E779" s="9" t="s">
        <v>734</v>
      </c>
      <c r="F779" s="5" t="str">
        <f>E779</f>
        <v>Aldian Winata</v>
      </c>
      <c r="G779" s="17" t="s">
        <v>735</v>
      </c>
      <c r="H779" s="104"/>
      <c r="I779" s="94">
        <v>0</v>
      </c>
      <c r="J779" s="94">
        <v>0</v>
      </c>
      <c r="K779" s="94">
        <v>0</v>
      </c>
      <c r="L779" s="94">
        <v>0</v>
      </c>
      <c r="M779" s="94">
        <v>0</v>
      </c>
      <c r="N779" s="94">
        <v>0</v>
      </c>
      <c r="O779" s="94">
        <v>0</v>
      </c>
      <c r="P779" s="94">
        <v>0</v>
      </c>
      <c r="Q779" s="94">
        <v>0</v>
      </c>
      <c r="R779" s="94">
        <v>0</v>
      </c>
      <c r="S779" s="94">
        <v>0</v>
      </c>
      <c r="T779" s="94">
        <v>0</v>
      </c>
      <c r="U779" s="94">
        <v>0</v>
      </c>
      <c r="V779" s="94">
        <v>0</v>
      </c>
      <c r="W779" s="94">
        <v>0</v>
      </c>
      <c r="X779" s="94">
        <v>0</v>
      </c>
      <c r="Y779" s="94">
        <v>0</v>
      </c>
      <c r="Z779" s="94"/>
      <c r="AA779" s="9"/>
      <c r="AB779" s="9"/>
      <c r="AC779" s="9"/>
      <c r="AD779" s="9"/>
      <c r="AE779" s="12" t="s">
        <v>1738</v>
      </c>
      <c r="AF779" s="8"/>
      <c r="AG779" t="str">
        <f>VLOOKUP(OfficeForms.Table[[#This Row],[Nama Proyek]],'Nama Proyek'!$D$2:$G$40,4,0)</f>
        <v>-0.88562397,119.85928375</v>
      </c>
      <c r="AH779" s="5"/>
      <c r="AI779" s="5"/>
      <c r="AJ779" s="5"/>
      <c r="AK779" s="5" t="s">
        <v>1739</v>
      </c>
    </row>
    <row r="780" spans="1:37" ht="15" hidden="1" customHeight="1">
      <c r="A780" s="31">
        <v>773</v>
      </c>
      <c r="B780" s="110">
        <v>45045</v>
      </c>
      <c r="C780" s="28">
        <f>B780</f>
        <v>45045</v>
      </c>
      <c r="D780" s="8" t="s">
        <v>37</v>
      </c>
      <c r="E780" s="8" t="s">
        <v>214</v>
      </c>
      <c r="F780" s="5" t="str">
        <f>E780</f>
        <v>BASUKI RAHMAT HAKIM</v>
      </c>
      <c r="G780" s="59" t="s">
        <v>48</v>
      </c>
      <c r="H780" s="102">
        <v>45045</v>
      </c>
      <c r="I780" s="95">
        <v>51.96</v>
      </c>
      <c r="J780" s="95">
        <v>71.459999999999994</v>
      </c>
      <c r="K780" s="95">
        <v>0</v>
      </c>
      <c r="L780" s="95">
        <v>50.106000000000002</v>
      </c>
      <c r="M780" s="95">
        <v>0</v>
      </c>
      <c r="N780" s="95">
        <v>0</v>
      </c>
      <c r="O780" s="95">
        <v>0</v>
      </c>
      <c r="P780" s="95">
        <v>0</v>
      </c>
      <c r="Q780" s="95">
        <v>0</v>
      </c>
      <c r="R780" s="95">
        <v>0.23100000000000001</v>
      </c>
      <c r="S780" s="95">
        <v>0</v>
      </c>
      <c r="T780" s="95">
        <v>0</v>
      </c>
      <c r="U780" s="95">
        <v>0</v>
      </c>
      <c r="V780" s="95">
        <v>0</v>
      </c>
      <c r="W780" s="95">
        <v>0</v>
      </c>
      <c r="X780" s="95">
        <v>0</v>
      </c>
      <c r="Y780" s="95">
        <v>0</v>
      </c>
      <c r="Z780" s="95"/>
      <c r="AA780" s="8"/>
      <c r="AB780" s="8"/>
      <c r="AC780" s="8"/>
      <c r="AD780" s="8"/>
      <c r="AE780" s="11"/>
      <c r="AF780" s="40" t="s">
        <v>1740</v>
      </c>
      <c r="AG780" t="str">
        <f>VLOOKUP(OfficeForms.Table[[#This Row],[Nama Proyek]],'Nama Proyek'!$D$2:$G$29,4,0)</f>
        <v>3.76047575,115.89977678</v>
      </c>
      <c r="AH780" s="5"/>
      <c r="AI780" s="5"/>
      <c r="AJ780" s="5"/>
      <c r="AK780" s="5" t="s">
        <v>1741</v>
      </c>
    </row>
    <row r="781" spans="1:37" ht="15" hidden="1" customHeight="1">
      <c r="A781" s="31">
        <v>776</v>
      </c>
      <c r="B781" s="111">
        <v>45045</v>
      </c>
      <c r="C781" s="29">
        <f>B781</f>
        <v>45045</v>
      </c>
      <c r="D781" s="9" t="s">
        <v>37</v>
      </c>
      <c r="E781" s="9" t="s">
        <v>994</v>
      </c>
      <c r="F781" s="5" t="str">
        <f>E781</f>
        <v>Nenes Anggi Puspadi</v>
      </c>
      <c r="G781" s="23" t="s">
        <v>924</v>
      </c>
      <c r="H781" s="103">
        <v>45046</v>
      </c>
      <c r="I781" s="94">
        <v>32.29</v>
      </c>
      <c r="J781" s="94">
        <v>35.700000000000003</v>
      </c>
      <c r="K781" s="94">
        <v>3.9</v>
      </c>
      <c r="L781" s="94">
        <v>0</v>
      </c>
      <c r="M781" s="94">
        <v>17.29</v>
      </c>
      <c r="N781" s="94">
        <v>5.33</v>
      </c>
      <c r="O781" s="94">
        <v>2.83</v>
      </c>
      <c r="P781" s="94">
        <v>1.08</v>
      </c>
      <c r="Q781" s="94">
        <v>0</v>
      </c>
      <c r="R781" s="94">
        <v>0.25</v>
      </c>
      <c r="S781" s="94">
        <v>0</v>
      </c>
      <c r="T781" s="94">
        <v>0</v>
      </c>
      <c r="U781" s="94">
        <v>0</v>
      </c>
      <c r="V781" s="94">
        <v>0</v>
      </c>
      <c r="W781" s="94">
        <v>0</v>
      </c>
      <c r="X781" s="94">
        <v>0</v>
      </c>
      <c r="Y781" s="94">
        <v>0</v>
      </c>
      <c r="Z781" s="94"/>
      <c r="AA781" s="9"/>
      <c r="AB781" s="9"/>
      <c r="AC781" s="9"/>
      <c r="AD781" s="9"/>
      <c r="AE781" s="12"/>
      <c r="AF781" s="41" t="s">
        <v>1742</v>
      </c>
      <c r="AG781" t="str">
        <f>VLOOKUP(OfficeForms.Table[[#This Row],[Nama Proyek]],'Nama Proyek'!$D$2:$G$40,4,0)</f>
        <v>-3.25078511,134.87791156</v>
      </c>
      <c r="AH781" s="5"/>
      <c r="AI781" s="5"/>
      <c r="AJ781" s="5"/>
      <c r="AK781" s="5" t="s">
        <v>1743</v>
      </c>
    </row>
    <row r="782" spans="1:37" ht="15" hidden="1" customHeight="1">
      <c r="A782" s="30">
        <v>774</v>
      </c>
      <c r="B782" s="111">
        <v>45045</v>
      </c>
      <c r="C782" s="29">
        <f>B782</f>
        <v>45045</v>
      </c>
      <c r="D782" s="9" t="s">
        <v>37</v>
      </c>
      <c r="E782" s="9" t="s">
        <v>214</v>
      </c>
      <c r="F782" s="5" t="str">
        <f>E782</f>
        <v>BASUKI RAHMAT HAKIM</v>
      </c>
      <c r="G782" s="60" t="s">
        <v>48</v>
      </c>
      <c r="H782" s="104"/>
      <c r="I782" s="94">
        <v>0</v>
      </c>
      <c r="J782" s="94">
        <v>0</v>
      </c>
      <c r="K782" s="94">
        <v>0</v>
      </c>
      <c r="L782" s="94">
        <v>0</v>
      </c>
      <c r="M782" s="94">
        <v>0</v>
      </c>
      <c r="N782" s="94">
        <v>0</v>
      </c>
      <c r="O782" s="94">
        <v>0</v>
      </c>
      <c r="P782" s="94">
        <v>0</v>
      </c>
      <c r="Q782" s="94">
        <v>0</v>
      </c>
      <c r="R782" s="94">
        <v>0</v>
      </c>
      <c r="S782" s="94">
        <v>0</v>
      </c>
      <c r="T782" s="94">
        <v>0</v>
      </c>
      <c r="U782" s="94">
        <v>0</v>
      </c>
      <c r="V782" s="94">
        <v>0</v>
      </c>
      <c r="W782" s="94">
        <v>0</v>
      </c>
      <c r="X782" s="94">
        <v>0</v>
      </c>
      <c r="Y782" s="94">
        <v>0</v>
      </c>
      <c r="Z782" s="94"/>
      <c r="AA782" s="9"/>
      <c r="AB782" s="9"/>
      <c r="AC782" s="9"/>
      <c r="AD782" s="9"/>
      <c r="AE782" s="12" t="s">
        <v>1744</v>
      </c>
      <c r="AF782" s="15"/>
      <c r="AG782" t="str">
        <f>VLOOKUP(OfficeForms.Table[[#This Row],[Nama Proyek]],'Nama Proyek'!$D$2:$G$29,4,0)</f>
        <v>3.76047575,115.89977678</v>
      </c>
      <c r="AH782" s="5"/>
      <c r="AI782" s="5"/>
      <c r="AJ782" s="5"/>
      <c r="AK782" s="5" t="s">
        <v>1745</v>
      </c>
    </row>
    <row r="783" spans="1:37" ht="15" hidden="1" customHeight="1">
      <c r="A783">
        <v>775</v>
      </c>
      <c r="B783" s="110">
        <v>45045</v>
      </c>
      <c r="C783" s="28">
        <f>B783</f>
        <v>45045</v>
      </c>
      <c r="D783" s="8" t="s">
        <v>37</v>
      </c>
      <c r="E783" s="8" t="s">
        <v>214</v>
      </c>
      <c r="F783" s="5" t="str">
        <f>E783</f>
        <v>BASUKI RAHMAT HAKIM</v>
      </c>
      <c r="G783" s="60" t="s">
        <v>48</v>
      </c>
      <c r="H783" s="102"/>
      <c r="I783" s="95">
        <v>0</v>
      </c>
      <c r="J783" s="95">
        <v>0</v>
      </c>
      <c r="K783" s="95">
        <v>0</v>
      </c>
      <c r="L783" s="95">
        <v>0</v>
      </c>
      <c r="M783" s="95">
        <v>0</v>
      </c>
      <c r="N783" s="95">
        <v>0</v>
      </c>
      <c r="O783" s="95">
        <v>0</v>
      </c>
      <c r="P783" s="95">
        <v>0</v>
      </c>
      <c r="Q783" s="95">
        <v>0</v>
      </c>
      <c r="R783" s="95">
        <v>0</v>
      </c>
      <c r="S783" s="95">
        <v>0</v>
      </c>
      <c r="T783" s="95">
        <v>0</v>
      </c>
      <c r="U783" s="95">
        <v>0</v>
      </c>
      <c r="V783" s="95">
        <v>0</v>
      </c>
      <c r="W783" s="95">
        <v>0</v>
      </c>
      <c r="X783" s="95">
        <v>0</v>
      </c>
      <c r="Y783" s="95">
        <v>0</v>
      </c>
      <c r="Z783" s="95"/>
      <c r="AA783" s="8" t="s">
        <v>1746</v>
      </c>
      <c r="AB783" s="8" t="s">
        <v>1747</v>
      </c>
      <c r="AC783" s="15" t="s">
        <v>1748</v>
      </c>
      <c r="AD783" s="15"/>
      <c r="AE783" s="16"/>
      <c r="AF783" s="9"/>
      <c r="AG783" t="str">
        <f>VLOOKUP(OfficeForms.Table[[#This Row],[Nama Proyek]],'Nama Proyek'!$D$2:$G$29,4,0)</f>
        <v>3.76047575,115.89977678</v>
      </c>
      <c r="AH783" s="5"/>
      <c r="AI783" s="5"/>
      <c r="AJ783" s="5"/>
      <c r="AK783" s="5" t="s">
        <v>1749</v>
      </c>
    </row>
    <row r="784" spans="1:37" ht="15" hidden="1" customHeight="1">
      <c r="A784" s="50">
        <v>777</v>
      </c>
      <c r="B784" s="110">
        <v>45045</v>
      </c>
      <c r="C784" s="28">
        <f>B784</f>
        <v>45045</v>
      </c>
      <c r="D784" s="8" t="s">
        <v>37</v>
      </c>
      <c r="E784" s="8" t="s">
        <v>994</v>
      </c>
      <c r="F784" s="5" t="str">
        <f>E784</f>
        <v>Nenes Anggi Puspadi</v>
      </c>
      <c r="G784" s="23" t="s">
        <v>924</v>
      </c>
      <c r="H784" s="105"/>
      <c r="I784" s="95">
        <v>0</v>
      </c>
      <c r="J784" s="95">
        <v>0</v>
      </c>
      <c r="K784" s="95">
        <v>0</v>
      </c>
      <c r="L784" s="95">
        <v>0</v>
      </c>
      <c r="M784" s="95">
        <v>0</v>
      </c>
      <c r="N784" s="95">
        <v>0</v>
      </c>
      <c r="O784" s="95">
        <v>0</v>
      </c>
      <c r="P784" s="95">
        <v>0</v>
      </c>
      <c r="Q784" s="95">
        <v>0</v>
      </c>
      <c r="R784" s="95">
        <v>0</v>
      </c>
      <c r="S784" s="95">
        <v>0</v>
      </c>
      <c r="T784" s="95">
        <v>0</v>
      </c>
      <c r="U784" s="95">
        <v>0</v>
      </c>
      <c r="V784" s="95">
        <v>0</v>
      </c>
      <c r="W784" s="95">
        <v>0</v>
      </c>
      <c r="X784" s="95">
        <v>0</v>
      </c>
      <c r="Y784" s="95">
        <v>0</v>
      </c>
      <c r="Z784" s="95"/>
      <c r="AA784" s="8"/>
      <c r="AB784" s="8"/>
      <c r="AC784" s="8"/>
      <c r="AD784" s="8"/>
      <c r="AE784" s="11" t="s">
        <v>1744</v>
      </c>
      <c r="AF784" s="9" t="s">
        <v>1750</v>
      </c>
      <c r="AG784" t="str">
        <f>VLOOKUP(OfficeForms.Table[[#This Row],[Nama Proyek]],'Nama Proyek'!$D$2:$G$40,4,0)</f>
        <v>-3.25078511,134.87791156</v>
      </c>
      <c r="AH784" s="5"/>
      <c r="AI784" s="5"/>
      <c r="AJ784" s="5"/>
      <c r="AK784" s="5" t="s">
        <v>1751</v>
      </c>
    </row>
    <row r="785" spans="1:37" ht="15" hidden="1" customHeight="1">
      <c r="A785" s="31">
        <v>778</v>
      </c>
      <c r="B785" s="111">
        <v>45045</v>
      </c>
      <c r="C785" s="29">
        <f>B785</f>
        <v>45045</v>
      </c>
      <c r="D785" s="9" t="s">
        <v>37</v>
      </c>
      <c r="E785" s="9" t="s">
        <v>994</v>
      </c>
      <c r="F785" s="5" t="str">
        <f>E785</f>
        <v>Nenes Anggi Puspadi</v>
      </c>
      <c r="G785" s="23" t="s">
        <v>924</v>
      </c>
      <c r="H785" s="103"/>
      <c r="I785" s="94">
        <v>0</v>
      </c>
      <c r="J785" s="94">
        <v>0</v>
      </c>
      <c r="K785" s="94">
        <v>0</v>
      </c>
      <c r="L785" s="94">
        <v>0</v>
      </c>
      <c r="M785" s="94">
        <v>0</v>
      </c>
      <c r="N785" s="94">
        <v>0</v>
      </c>
      <c r="O785" s="94">
        <v>0</v>
      </c>
      <c r="P785" s="94">
        <v>0</v>
      </c>
      <c r="Q785" s="94">
        <v>0</v>
      </c>
      <c r="R785" s="94">
        <v>0</v>
      </c>
      <c r="S785" s="94">
        <v>0</v>
      </c>
      <c r="T785" s="94">
        <v>0</v>
      </c>
      <c r="U785" s="94">
        <v>0</v>
      </c>
      <c r="V785" s="94">
        <v>0</v>
      </c>
      <c r="W785" s="94">
        <v>0</v>
      </c>
      <c r="X785" s="94">
        <v>0</v>
      </c>
      <c r="Y785" s="94">
        <v>0</v>
      </c>
      <c r="Z785" s="94"/>
      <c r="AA785" s="9"/>
      <c r="AB785" s="9"/>
      <c r="AC785" s="9"/>
      <c r="AD785" s="9"/>
      <c r="AE785" s="12" t="s">
        <v>1744</v>
      </c>
      <c r="AF785" s="15" t="s">
        <v>1752</v>
      </c>
      <c r="AG785" t="str">
        <f>VLOOKUP(OfficeForms.Table[[#This Row],[Nama Proyek]],'Nama Proyek'!$D$2:$G$40,4,0)</f>
        <v>-3.25078511,134.87791156</v>
      </c>
      <c r="AH785" s="5"/>
      <c r="AI785" s="5"/>
      <c r="AJ785" s="5"/>
      <c r="AK785" s="5" t="s">
        <v>1753</v>
      </c>
    </row>
    <row r="786" spans="1:37" ht="15" hidden="1" customHeight="1">
      <c r="A786">
        <v>806</v>
      </c>
      <c r="B786" s="111">
        <v>45045</v>
      </c>
      <c r="C786" s="29">
        <f>B786</f>
        <v>45045</v>
      </c>
      <c r="D786" s="9" t="s">
        <v>37</v>
      </c>
      <c r="E786" s="9" t="s">
        <v>994</v>
      </c>
      <c r="F786" s="5" t="str">
        <f>E786</f>
        <v>Nenes Anggi Puspadi</v>
      </c>
      <c r="G786" s="23" t="s">
        <v>924</v>
      </c>
      <c r="H786" s="103"/>
      <c r="I786" s="94">
        <v>0</v>
      </c>
      <c r="J786" s="94">
        <v>0</v>
      </c>
      <c r="K786" s="94">
        <v>0</v>
      </c>
      <c r="L786" s="94">
        <v>0</v>
      </c>
      <c r="M786" s="94">
        <v>0</v>
      </c>
      <c r="N786" s="94">
        <v>0</v>
      </c>
      <c r="O786" s="94">
        <v>0</v>
      </c>
      <c r="P786" s="94">
        <v>0</v>
      </c>
      <c r="Q786" s="94">
        <v>0</v>
      </c>
      <c r="R786" s="94">
        <v>0</v>
      </c>
      <c r="S786" s="94">
        <v>0</v>
      </c>
      <c r="T786" s="94">
        <v>0</v>
      </c>
      <c r="U786" s="94">
        <v>0</v>
      </c>
      <c r="V786" s="94">
        <v>0</v>
      </c>
      <c r="W786" s="94">
        <v>0</v>
      </c>
      <c r="X786" s="94">
        <v>0</v>
      </c>
      <c r="Y786" s="94">
        <v>0</v>
      </c>
      <c r="Z786" s="94"/>
      <c r="AA786" s="9" t="s">
        <v>1754</v>
      </c>
      <c r="AB786" s="40" t="s">
        <v>1755</v>
      </c>
      <c r="AC786" s="9"/>
      <c r="AD786" s="9"/>
      <c r="AE786" s="18"/>
      <c r="AF786" s="48" t="s">
        <v>1756</v>
      </c>
      <c r="AG786" t="str">
        <f>VLOOKUP(OfficeForms.Table[[#This Row],[Nama Proyek]],'Nama Proyek'!$D$2:$G$40,4,0)</f>
        <v>-3.25078511,134.87791156</v>
      </c>
      <c r="AH786" s="5"/>
      <c r="AI786" s="5"/>
      <c r="AJ786" s="5"/>
      <c r="AK786" s="5" t="s">
        <v>1757</v>
      </c>
    </row>
    <row r="787" spans="1:37" ht="15" hidden="1" customHeight="1">
      <c r="A787">
        <v>934</v>
      </c>
      <c r="B787" s="111">
        <v>45052</v>
      </c>
      <c r="C787" s="29">
        <f>B787</f>
        <v>45052</v>
      </c>
      <c r="D787" s="9" t="s">
        <v>37</v>
      </c>
      <c r="E787" s="9" t="s">
        <v>64</v>
      </c>
      <c r="F787" s="5" t="str">
        <f>E787</f>
        <v>Nizar Zulkarnain</v>
      </c>
      <c r="G787" s="9" t="s">
        <v>65</v>
      </c>
      <c r="H787" s="104">
        <v>45081</v>
      </c>
      <c r="I787" s="94">
        <v>77.245000000000005</v>
      </c>
      <c r="J787" s="94">
        <v>77.703000000000003</v>
      </c>
      <c r="K787" s="94">
        <v>72.37</v>
      </c>
      <c r="L787" s="94">
        <v>68.41</v>
      </c>
      <c r="M787" s="94">
        <v>82.88</v>
      </c>
      <c r="N787" s="94">
        <v>93.05</v>
      </c>
      <c r="O787" s="94">
        <v>70.680000000000007</v>
      </c>
      <c r="P787" s="94">
        <v>73.59</v>
      </c>
      <c r="Q787" s="94">
        <v>74.69</v>
      </c>
      <c r="R787" s="94">
        <v>61.03</v>
      </c>
      <c r="S787" s="94">
        <v>86.68</v>
      </c>
      <c r="T787" s="94">
        <v>90.21</v>
      </c>
      <c r="U787" s="94">
        <v>39.24</v>
      </c>
      <c r="V787" s="94">
        <v>21.94</v>
      </c>
      <c r="W787" s="94">
        <v>0</v>
      </c>
      <c r="X787" s="94">
        <v>98.36</v>
      </c>
      <c r="Y787" s="94">
        <v>41.48</v>
      </c>
      <c r="Z787" s="94"/>
      <c r="AA787" s="9"/>
      <c r="AB787" s="17"/>
      <c r="AC787" s="17"/>
      <c r="AD787" s="9"/>
      <c r="AE787" s="18"/>
      <c r="AF787" s="8"/>
      <c r="AG787" t="str">
        <f>VLOOKUP(OfficeForms.Table[[#This Row],[Nama Proyek]],'Nama Proyek'!$D$2:$G$29,4,0)</f>
        <v>-6.35008011,107.02324233</v>
      </c>
      <c r="AH787" s="5"/>
      <c r="AI787" s="5"/>
      <c r="AJ787" s="5"/>
      <c r="AK787" s="5" t="s">
        <v>1758</v>
      </c>
    </row>
    <row r="788" spans="1:37" ht="15" hidden="1" customHeight="1">
      <c r="A788" s="31">
        <v>1087</v>
      </c>
      <c r="B788" s="110">
        <v>45058</v>
      </c>
      <c r="C788" s="28">
        <f>B788</f>
        <v>45058</v>
      </c>
      <c r="D788" s="19" t="s">
        <v>37</v>
      </c>
      <c r="E788" s="19" t="s">
        <v>1479</v>
      </c>
      <c r="F788" s="5" t="str">
        <f>E788</f>
        <v>Fian Aziz</v>
      </c>
      <c r="G788" s="34" t="s">
        <v>1480</v>
      </c>
      <c r="H788" s="106">
        <v>45262</v>
      </c>
      <c r="I788" s="96">
        <v>21.117000000000001</v>
      </c>
      <c r="J788" s="96">
        <v>20.001999999999999</v>
      </c>
      <c r="K788" s="96">
        <v>0</v>
      </c>
      <c r="L788" s="96">
        <v>0</v>
      </c>
      <c r="M788" s="96">
        <v>0</v>
      </c>
      <c r="N788" s="96">
        <v>0</v>
      </c>
      <c r="O788" s="96">
        <v>0</v>
      </c>
      <c r="P788" s="96">
        <v>0</v>
      </c>
      <c r="Q788" s="96">
        <v>0</v>
      </c>
      <c r="R788" s="96">
        <v>0</v>
      </c>
      <c r="S788" s="96">
        <v>0</v>
      </c>
      <c r="T788" s="96">
        <v>0</v>
      </c>
      <c r="U788" s="96">
        <v>0</v>
      </c>
      <c r="V788" s="96">
        <v>0</v>
      </c>
      <c r="W788" s="96">
        <v>0</v>
      </c>
      <c r="X788" s="96">
        <v>0</v>
      </c>
      <c r="Y788" s="96">
        <v>0</v>
      </c>
      <c r="Z788" s="96"/>
      <c r="AA788" s="19"/>
      <c r="AB788" s="19"/>
      <c r="AC788" s="19"/>
      <c r="AD788" s="19"/>
      <c r="AE788" s="13"/>
      <c r="AF788" s="9"/>
      <c r="AG788" t="str">
        <f>VLOOKUP(OfficeForms.Table[[#This Row],[Nama Proyek]],'Nama Proyek'!$D$2:$G$29,4,0)</f>
        <v>-6.23191260,107.90813480</v>
      </c>
      <c r="AH788" s="5"/>
      <c r="AI788" s="5"/>
      <c r="AJ788" s="5"/>
      <c r="AK788" s="5" t="s">
        <v>1759</v>
      </c>
    </row>
    <row r="789" spans="1:37" ht="15" hidden="1" customHeight="1">
      <c r="A789" s="31">
        <v>1090</v>
      </c>
      <c r="B789" s="111">
        <v>45058</v>
      </c>
      <c r="C789" s="29">
        <f>B789</f>
        <v>45058</v>
      </c>
      <c r="D789" s="8" t="s">
        <v>37</v>
      </c>
      <c r="E789" s="8" t="s">
        <v>504</v>
      </c>
      <c r="F789" s="5" t="str">
        <f>E789</f>
        <v>Fathan Zul Waskito</v>
      </c>
      <c r="G789" s="9" t="s">
        <v>472</v>
      </c>
      <c r="H789" s="102">
        <v>45265</v>
      </c>
      <c r="I789" s="95">
        <v>88.811000000000007</v>
      </c>
      <c r="J789" s="95">
        <v>89.364000000000004</v>
      </c>
      <c r="K789" s="95">
        <v>1.349</v>
      </c>
      <c r="L789" s="95">
        <v>1.7000000000000001E-2</v>
      </c>
      <c r="M789" s="95">
        <v>57.186999999999998</v>
      </c>
      <c r="N789" s="95">
        <v>8.9999999999999993E-3</v>
      </c>
      <c r="O789" s="95">
        <v>8.859</v>
      </c>
      <c r="P789" s="95">
        <v>0.17899999999999999</v>
      </c>
      <c r="Q789" s="95">
        <v>4.391</v>
      </c>
      <c r="R789" s="95">
        <v>3.9020000000000001</v>
      </c>
      <c r="S789" s="95">
        <v>8.3079999999999998</v>
      </c>
      <c r="T789" s="95">
        <v>0</v>
      </c>
      <c r="U789" s="95">
        <v>2.8119999999999998</v>
      </c>
      <c r="V789" s="95">
        <v>0.47</v>
      </c>
      <c r="W789" s="95">
        <v>0</v>
      </c>
      <c r="X789" s="95">
        <v>0</v>
      </c>
      <c r="Y789" s="95">
        <v>0</v>
      </c>
      <c r="Z789" s="95"/>
      <c r="AA789" s="8"/>
      <c r="AB789" s="8"/>
      <c r="AC789" s="8"/>
      <c r="AD789" s="8"/>
      <c r="AE789" s="11"/>
      <c r="AF789" s="8"/>
      <c r="AG789" t="str">
        <f>VLOOKUP(OfficeForms.Table[[#This Row],[Nama Proyek]],'Nama Proyek'!$D$2:$G$29,4,0)</f>
        <v>-8.29394978,112.00545006</v>
      </c>
      <c r="AH789" s="5"/>
      <c r="AI789" s="5"/>
      <c r="AJ789" s="5"/>
      <c r="AK789" s="5" t="s">
        <v>1760</v>
      </c>
    </row>
    <row r="790" spans="1:37" ht="15" hidden="1" customHeight="1">
      <c r="A790" s="31">
        <v>850</v>
      </c>
      <c r="B790" s="111">
        <v>45058</v>
      </c>
      <c r="C790" s="29">
        <f>B790</f>
        <v>45058</v>
      </c>
      <c r="D790" s="9" t="s">
        <v>37</v>
      </c>
      <c r="E790" s="9" t="s">
        <v>504</v>
      </c>
      <c r="F790" s="5" t="str">
        <f>E790</f>
        <v>Fathan Zul Waskito</v>
      </c>
      <c r="G790" s="9" t="s">
        <v>472</v>
      </c>
      <c r="H790" s="104"/>
      <c r="I790" s="94">
        <v>0</v>
      </c>
      <c r="J790" s="94">
        <v>0</v>
      </c>
      <c r="K790" s="94">
        <v>0</v>
      </c>
      <c r="L790" s="94">
        <v>0</v>
      </c>
      <c r="M790" s="94">
        <v>0</v>
      </c>
      <c r="N790" s="94">
        <v>0</v>
      </c>
      <c r="O790" s="94">
        <v>0</v>
      </c>
      <c r="P790" s="94">
        <v>0</v>
      </c>
      <c r="Q790" s="94">
        <v>0</v>
      </c>
      <c r="R790" s="94">
        <v>0</v>
      </c>
      <c r="S790" s="94">
        <v>0</v>
      </c>
      <c r="T790" s="94">
        <v>0</v>
      </c>
      <c r="U790" s="94">
        <v>0</v>
      </c>
      <c r="V790" s="94">
        <v>0</v>
      </c>
      <c r="W790" s="94">
        <v>0</v>
      </c>
      <c r="X790" s="94">
        <v>0</v>
      </c>
      <c r="Y790" s="94">
        <v>0</v>
      </c>
      <c r="Z790" s="94"/>
      <c r="AA790" s="9"/>
      <c r="AB790" s="9"/>
      <c r="AC790" s="9"/>
      <c r="AD790" s="9"/>
      <c r="AE790" s="12" t="s">
        <v>1761</v>
      </c>
      <c r="AF790" s="15" t="s">
        <v>1762</v>
      </c>
      <c r="AG790" t="str">
        <f>VLOOKUP(OfficeForms.Table[[#This Row],[Nama Proyek]],'Nama Proyek'!$D$2:$G$29,4,0)</f>
        <v>-8.29394978,112.00545006</v>
      </c>
      <c r="AH790" s="5"/>
      <c r="AI790" s="5"/>
      <c r="AJ790" s="5"/>
      <c r="AK790" s="5" t="s">
        <v>1763</v>
      </c>
    </row>
    <row r="791" spans="1:37" ht="15" hidden="1" customHeight="1">
      <c r="A791" s="50">
        <v>851</v>
      </c>
      <c r="B791" s="110">
        <v>45058</v>
      </c>
      <c r="C791" s="28">
        <f>B791</f>
        <v>45058</v>
      </c>
      <c r="D791" s="8" t="s">
        <v>37</v>
      </c>
      <c r="E791" s="8" t="s">
        <v>504</v>
      </c>
      <c r="F791" s="5" t="str">
        <f>E791</f>
        <v>Fathan Zul Waskito</v>
      </c>
      <c r="G791" s="19" t="s">
        <v>472</v>
      </c>
      <c r="H791" s="105"/>
      <c r="I791" s="95">
        <v>0</v>
      </c>
      <c r="J791" s="95">
        <v>0</v>
      </c>
      <c r="K791" s="95">
        <v>0</v>
      </c>
      <c r="L791" s="95">
        <v>0</v>
      </c>
      <c r="M791" s="95">
        <v>0</v>
      </c>
      <c r="N791" s="95">
        <v>0</v>
      </c>
      <c r="O791" s="95">
        <v>0</v>
      </c>
      <c r="P791" s="95">
        <v>0</v>
      </c>
      <c r="Q791" s="95">
        <v>0</v>
      </c>
      <c r="R791" s="95">
        <v>0</v>
      </c>
      <c r="S791" s="95">
        <v>0</v>
      </c>
      <c r="T791" s="95">
        <v>0</v>
      </c>
      <c r="U791" s="95">
        <v>0</v>
      </c>
      <c r="V791" s="95">
        <v>0</v>
      </c>
      <c r="W791" s="95">
        <v>0</v>
      </c>
      <c r="X791" s="95">
        <v>0</v>
      </c>
      <c r="Y791" s="95">
        <v>0</v>
      </c>
      <c r="Z791" s="95"/>
      <c r="AA791" s="8"/>
      <c r="AB791" s="8"/>
      <c r="AC791" s="8"/>
      <c r="AD791" s="15"/>
      <c r="AE791" s="16" t="s">
        <v>1761</v>
      </c>
      <c r="AF791" s="15"/>
      <c r="AG791" t="str">
        <f>VLOOKUP(OfficeForms.Table[[#This Row],[Nama Proyek]],'Nama Proyek'!$D$2:$G$29,4,0)</f>
        <v>-8.29394978,112.00545006</v>
      </c>
      <c r="AH791" s="5"/>
      <c r="AI791" s="5"/>
      <c r="AJ791" s="5"/>
      <c r="AK791" s="5" t="s">
        <v>1764</v>
      </c>
    </row>
    <row r="792" spans="1:37" ht="15" hidden="1" customHeight="1">
      <c r="A792">
        <v>983</v>
      </c>
      <c r="B792" s="110">
        <v>45064</v>
      </c>
      <c r="C792" s="28">
        <f>B792</f>
        <v>45064</v>
      </c>
      <c r="D792" s="19" t="s">
        <v>37</v>
      </c>
      <c r="E792" s="19" t="s">
        <v>109</v>
      </c>
      <c r="F792" s="5" t="str">
        <f>E792</f>
        <v>Muhamad Saifudin Ashari</v>
      </c>
      <c r="G792" s="19" t="s">
        <v>39</v>
      </c>
      <c r="H792" s="101">
        <v>45060</v>
      </c>
      <c r="I792" s="96">
        <v>94.86</v>
      </c>
      <c r="J792" s="96">
        <v>98.105000000000004</v>
      </c>
      <c r="K792" s="96">
        <v>98.978999999999999</v>
      </c>
      <c r="L792" s="96">
        <v>87.861999999999995</v>
      </c>
      <c r="M792" s="96">
        <v>98.278999999999996</v>
      </c>
      <c r="N792" s="96">
        <v>99.106999999999999</v>
      </c>
      <c r="O792" s="96">
        <v>79.715999999999994</v>
      </c>
      <c r="P792" s="96">
        <v>94.293999999999997</v>
      </c>
      <c r="Q792" s="96">
        <v>93.602999999999994</v>
      </c>
      <c r="R792" s="96">
        <v>92.74</v>
      </c>
      <c r="S792" s="96">
        <v>98.855999999999995</v>
      </c>
      <c r="T792" s="96">
        <v>97.759</v>
      </c>
      <c r="U792" s="96">
        <v>81.290000000000006</v>
      </c>
      <c r="V792" s="96">
        <v>51.765999999999998</v>
      </c>
      <c r="W792" s="96">
        <v>55.095999999999997</v>
      </c>
      <c r="X792" s="96">
        <v>31.001000000000001</v>
      </c>
      <c r="Y792" s="96">
        <v>25.913</v>
      </c>
      <c r="Z792" s="96"/>
      <c r="AA792" s="19"/>
      <c r="AB792" s="19"/>
      <c r="AC792" s="19"/>
      <c r="AD792" s="19"/>
      <c r="AE792" s="24"/>
      <c r="AF792" s="8" t="s">
        <v>1765</v>
      </c>
      <c r="AG792" t="str">
        <f>VLOOKUP(OfficeForms.Table[[#This Row],[Nama Proyek]],'Nama Proyek'!$D$2:$G$29,4,0)</f>
        <v>-6.80675464,106.785366</v>
      </c>
      <c r="AH792" s="5"/>
      <c r="AI792" s="5"/>
      <c r="AJ792" s="5"/>
      <c r="AK792" s="5" t="s">
        <v>1766</v>
      </c>
    </row>
    <row r="793" spans="1:37" ht="15" hidden="1" customHeight="1">
      <c r="A793" s="31">
        <v>469</v>
      </c>
      <c r="B793" s="110">
        <v>45064</v>
      </c>
      <c r="C793" s="28">
        <f>B793</f>
        <v>45064</v>
      </c>
      <c r="D793" s="8" t="s">
        <v>37</v>
      </c>
      <c r="E793" s="8" t="s">
        <v>109</v>
      </c>
      <c r="F793" s="5" t="s">
        <v>109</v>
      </c>
      <c r="G793" s="42" t="s">
        <v>39</v>
      </c>
      <c r="H793" s="105"/>
      <c r="I793" s="95">
        <v>0</v>
      </c>
      <c r="J793" s="95">
        <v>0</v>
      </c>
      <c r="K793" s="95">
        <v>0</v>
      </c>
      <c r="L793" s="95">
        <v>0</v>
      </c>
      <c r="M793" s="95">
        <v>0</v>
      </c>
      <c r="N793" s="95">
        <v>0</v>
      </c>
      <c r="O793" s="95">
        <v>0</v>
      </c>
      <c r="P793" s="95">
        <v>0</v>
      </c>
      <c r="Q793" s="95">
        <v>0</v>
      </c>
      <c r="R793" s="95">
        <v>0</v>
      </c>
      <c r="S793" s="95">
        <v>0</v>
      </c>
      <c r="T793" s="95">
        <v>0</v>
      </c>
      <c r="U793" s="95">
        <v>0</v>
      </c>
      <c r="V793" s="95">
        <v>0</v>
      </c>
      <c r="W793" s="95">
        <v>0</v>
      </c>
      <c r="X793" s="95">
        <v>0</v>
      </c>
      <c r="Y793" s="95">
        <v>0</v>
      </c>
      <c r="Z793" s="95"/>
      <c r="AA793" s="8" t="s">
        <v>1767</v>
      </c>
      <c r="AB793" s="8" t="s">
        <v>1768</v>
      </c>
      <c r="AC793" s="8" t="s">
        <v>872</v>
      </c>
      <c r="AD793" s="8" t="s">
        <v>873</v>
      </c>
      <c r="AE793" s="11"/>
      <c r="AF793" s="8" t="s">
        <v>1769</v>
      </c>
      <c r="AG793" t="str">
        <f>VLOOKUP(OfficeForms.Table[[#This Row],[Nama Proyek]],'Nama Proyek'!$D$2:$G$29,4,0)</f>
        <v>-6.80675464,106.785366</v>
      </c>
      <c r="AH793" s="5"/>
      <c r="AI793" s="5"/>
      <c r="AJ793" s="5"/>
      <c r="AK793" s="5" t="s">
        <v>1770</v>
      </c>
    </row>
    <row r="794" spans="1:37" ht="15" hidden="1" customHeight="1">
      <c r="A794" s="30">
        <v>470</v>
      </c>
      <c r="B794" s="111">
        <v>45064</v>
      </c>
      <c r="C794" s="29">
        <f>B794</f>
        <v>45064</v>
      </c>
      <c r="D794" s="8" t="s">
        <v>37</v>
      </c>
      <c r="E794" s="8" t="s">
        <v>109</v>
      </c>
      <c r="F794" s="5" t="s">
        <v>109</v>
      </c>
      <c r="G794" s="17" t="s">
        <v>39</v>
      </c>
      <c r="H794" s="102"/>
      <c r="I794" s="95">
        <v>0</v>
      </c>
      <c r="J794" s="95">
        <v>0</v>
      </c>
      <c r="K794" s="95">
        <v>0</v>
      </c>
      <c r="L794" s="95">
        <v>0</v>
      </c>
      <c r="M794" s="95">
        <v>0</v>
      </c>
      <c r="N794" s="95">
        <v>0</v>
      </c>
      <c r="O794" s="95">
        <v>0</v>
      </c>
      <c r="P794" s="95">
        <v>0</v>
      </c>
      <c r="Q794" s="95">
        <v>0</v>
      </c>
      <c r="R794" s="95">
        <v>0</v>
      </c>
      <c r="S794" s="95">
        <v>0</v>
      </c>
      <c r="T794" s="95">
        <v>0</v>
      </c>
      <c r="U794" s="95">
        <v>0</v>
      </c>
      <c r="V794" s="95">
        <v>0</v>
      </c>
      <c r="W794" s="95">
        <v>0</v>
      </c>
      <c r="X794" s="95">
        <v>0</v>
      </c>
      <c r="Y794" s="95">
        <v>0</v>
      </c>
      <c r="Z794" s="95"/>
      <c r="AA794" s="8"/>
      <c r="AB794" s="8"/>
      <c r="AC794" s="8"/>
      <c r="AD794" s="8"/>
      <c r="AE794" s="11" t="s">
        <v>1771</v>
      </c>
      <c r="AF794" s="42"/>
      <c r="AG794" t="str">
        <f>VLOOKUP(OfficeForms.Table[[#This Row],[Nama Proyek]],'Nama Proyek'!$D$2:$G$29,4,0)</f>
        <v>-6.80675464,106.785366</v>
      </c>
      <c r="AH794" s="5"/>
      <c r="AI794" s="5"/>
      <c r="AJ794" s="5"/>
      <c r="AK794" s="5" t="s">
        <v>1772</v>
      </c>
    </row>
    <row r="795" spans="1:37" ht="15" hidden="1" customHeight="1">
      <c r="A795" s="31">
        <v>461</v>
      </c>
      <c r="B795" s="110">
        <v>45068</v>
      </c>
      <c r="C795" s="28">
        <f>B795</f>
        <v>45068</v>
      </c>
      <c r="D795" s="19" t="s">
        <v>37</v>
      </c>
      <c r="E795" s="19" t="s">
        <v>75</v>
      </c>
      <c r="F795" s="5" t="str">
        <f>E795</f>
        <v>Banyu Purwita</v>
      </c>
      <c r="G795" s="34" t="s">
        <v>76</v>
      </c>
      <c r="H795" s="101">
        <v>45065</v>
      </c>
      <c r="I795" s="96">
        <v>48.268999999999998</v>
      </c>
      <c r="J795" s="96">
        <v>52.933999999999997</v>
      </c>
      <c r="K795" s="96">
        <v>0</v>
      </c>
      <c r="L795" s="96">
        <v>0</v>
      </c>
      <c r="M795" s="96">
        <v>2.395</v>
      </c>
      <c r="N795" s="96">
        <v>0</v>
      </c>
      <c r="O795" s="96">
        <v>12.15</v>
      </c>
      <c r="P795" s="96">
        <v>0</v>
      </c>
      <c r="Q795" s="96">
        <v>3.798</v>
      </c>
      <c r="R795" s="96">
        <v>0</v>
      </c>
      <c r="S795" s="96">
        <v>27.988</v>
      </c>
      <c r="T795" s="96">
        <v>0</v>
      </c>
      <c r="U795" s="96">
        <v>6.3E-2</v>
      </c>
      <c r="V795" s="96">
        <v>0</v>
      </c>
      <c r="W795" s="96">
        <v>0</v>
      </c>
      <c r="X795" s="96">
        <v>0</v>
      </c>
      <c r="Y795" s="96">
        <v>0</v>
      </c>
      <c r="Z795" s="96"/>
      <c r="AA795" s="19"/>
      <c r="AB795" s="19"/>
      <c r="AC795" s="19"/>
      <c r="AD795" s="19"/>
      <c r="AE795" s="24"/>
      <c r="AF795" s="15"/>
      <c r="AG795" t="str">
        <f>VLOOKUP(OfficeForms.Table[[#This Row],[Nama Proyek]],'Nama Proyek'!$D$2:$G$29,4,0)</f>
        <v>-2.95293103,104.75455094</v>
      </c>
      <c r="AH795" s="5"/>
      <c r="AI795" s="5"/>
      <c r="AJ795" s="5"/>
      <c r="AK795" s="5" t="s">
        <v>1773</v>
      </c>
    </row>
    <row r="796" spans="1:37" ht="15" hidden="1" customHeight="1">
      <c r="A796">
        <v>862</v>
      </c>
      <c r="B796" s="111">
        <v>45068</v>
      </c>
      <c r="C796" s="29">
        <f>B796</f>
        <v>45068</v>
      </c>
      <c r="D796" s="8" t="s">
        <v>37</v>
      </c>
      <c r="E796" s="8" t="s">
        <v>75</v>
      </c>
      <c r="F796" s="5" t="str">
        <f>E796</f>
        <v>Banyu Purwita</v>
      </c>
      <c r="G796" s="37" t="s">
        <v>76</v>
      </c>
      <c r="H796" s="105"/>
      <c r="I796" s="95">
        <v>0</v>
      </c>
      <c r="J796" s="95">
        <v>0</v>
      </c>
      <c r="K796" s="95">
        <v>0</v>
      </c>
      <c r="L796" s="95">
        <v>0</v>
      </c>
      <c r="M796" s="95">
        <v>0</v>
      </c>
      <c r="N796" s="95">
        <v>0</v>
      </c>
      <c r="O796" s="95">
        <v>0</v>
      </c>
      <c r="P796" s="95">
        <v>0</v>
      </c>
      <c r="Q796" s="95">
        <v>0</v>
      </c>
      <c r="R796" s="95">
        <v>0</v>
      </c>
      <c r="S796" s="95">
        <v>0</v>
      </c>
      <c r="T796" s="95">
        <v>0</v>
      </c>
      <c r="U796" s="95">
        <v>0</v>
      </c>
      <c r="V796" s="95">
        <v>0</v>
      </c>
      <c r="W796" s="95">
        <v>0</v>
      </c>
      <c r="X796" s="95">
        <v>0</v>
      </c>
      <c r="Y796" s="95">
        <v>0</v>
      </c>
      <c r="Z796" s="95"/>
      <c r="AA796" s="8"/>
      <c r="AB796" s="8"/>
      <c r="AC796" s="8"/>
      <c r="AD796" s="8"/>
      <c r="AE796" s="16" t="s">
        <v>1774</v>
      </c>
      <c r="AF796" s="8"/>
      <c r="AG796" t="str">
        <f>VLOOKUP(OfficeForms.Table[[#This Row],[Nama Proyek]],'Nama Proyek'!$D$2:$G$29,4,0)</f>
        <v>-2.95293103,104.75455094</v>
      </c>
      <c r="AH796" s="5"/>
      <c r="AI796" s="5"/>
      <c r="AJ796" s="5"/>
      <c r="AK796" s="5" t="s">
        <v>1775</v>
      </c>
    </row>
    <row r="797" spans="1:37" ht="15" hidden="1" customHeight="1">
      <c r="A797" s="50">
        <v>871</v>
      </c>
      <c r="B797" s="110">
        <v>45068</v>
      </c>
      <c r="C797" s="28">
        <f>B797</f>
        <v>45068</v>
      </c>
      <c r="D797" s="19" t="s">
        <v>37</v>
      </c>
      <c r="E797" s="19" t="s">
        <v>75</v>
      </c>
      <c r="F797" s="5" t="str">
        <f>E797</f>
        <v>Banyu Purwita</v>
      </c>
      <c r="G797" s="55" t="s">
        <v>76</v>
      </c>
      <c r="H797" s="106"/>
      <c r="I797" s="96">
        <v>0</v>
      </c>
      <c r="J797" s="96">
        <v>0</v>
      </c>
      <c r="K797" s="96">
        <v>0</v>
      </c>
      <c r="L797" s="96">
        <v>0</v>
      </c>
      <c r="M797" s="96">
        <v>0</v>
      </c>
      <c r="N797" s="96">
        <v>0</v>
      </c>
      <c r="O797" s="96">
        <v>0</v>
      </c>
      <c r="P797" s="96">
        <v>0</v>
      </c>
      <c r="Q797" s="96">
        <v>0</v>
      </c>
      <c r="R797" s="96">
        <v>0</v>
      </c>
      <c r="S797" s="96">
        <v>0</v>
      </c>
      <c r="T797" s="96">
        <v>0</v>
      </c>
      <c r="U797" s="96">
        <v>0</v>
      </c>
      <c r="V797" s="96">
        <v>0</v>
      </c>
      <c r="W797" s="96">
        <v>0</v>
      </c>
      <c r="X797" s="96">
        <v>0</v>
      </c>
      <c r="Y797" s="96">
        <v>0</v>
      </c>
      <c r="Z797" s="96"/>
      <c r="AA797" s="19" t="s">
        <v>1776</v>
      </c>
      <c r="AB797" s="19" t="s">
        <v>1777</v>
      </c>
      <c r="AC797" s="19" t="s">
        <v>1778</v>
      </c>
      <c r="AD797" s="19" t="s">
        <v>1778</v>
      </c>
      <c r="AE797" s="13"/>
      <c r="AF797" s="46" t="s">
        <v>1779</v>
      </c>
      <c r="AG797" t="str">
        <f>VLOOKUP(OfficeForms.Table[[#This Row],[Nama Proyek]],'Nama Proyek'!$D$2:$G$29,4,0)</f>
        <v>-2.95293103,104.75455094</v>
      </c>
      <c r="AH797" s="5"/>
      <c r="AI797" s="5"/>
      <c r="AJ797" s="5"/>
      <c r="AK797" s="5" t="s">
        <v>1780</v>
      </c>
    </row>
    <row r="798" spans="1:37" ht="15" hidden="1" customHeight="1">
      <c r="A798" s="31">
        <v>901</v>
      </c>
      <c r="B798" s="110">
        <v>45069</v>
      </c>
      <c r="C798" s="28">
        <f>B798</f>
        <v>45069</v>
      </c>
      <c r="D798" s="19" t="s">
        <v>37</v>
      </c>
      <c r="E798" s="19" t="s">
        <v>64</v>
      </c>
      <c r="F798" s="5" t="str">
        <f>E798</f>
        <v>Nizar Zulkarnain</v>
      </c>
      <c r="G798" s="19" t="s">
        <v>65</v>
      </c>
      <c r="H798" s="106">
        <v>45067</v>
      </c>
      <c r="I798" s="96">
        <v>76.983999999999995</v>
      </c>
      <c r="J798" s="96">
        <v>94.046999999999997</v>
      </c>
      <c r="K798" s="96">
        <v>70.58</v>
      </c>
      <c r="L798" s="96">
        <v>68.41</v>
      </c>
      <c r="M798" s="96">
        <v>82.78</v>
      </c>
      <c r="N798" s="96">
        <v>93.02</v>
      </c>
      <c r="O798" s="96">
        <v>68.83</v>
      </c>
      <c r="P798" s="96">
        <v>73.55</v>
      </c>
      <c r="Q798" s="96">
        <v>74.62</v>
      </c>
      <c r="R798" s="96">
        <v>60.8</v>
      </c>
      <c r="S798" s="96">
        <v>86.57</v>
      </c>
      <c r="T798" s="96">
        <v>90.21</v>
      </c>
      <c r="U798" s="96">
        <v>38.22</v>
      </c>
      <c r="V798" s="96">
        <v>21.94</v>
      </c>
      <c r="W798" s="96">
        <v>0</v>
      </c>
      <c r="X798" s="96">
        <v>98.36</v>
      </c>
      <c r="Y798" s="96">
        <v>41.48</v>
      </c>
      <c r="Z798" s="96"/>
      <c r="AA798" s="19"/>
      <c r="AB798" s="19"/>
      <c r="AC798" s="19"/>
      <c r="AD798" s="19"/>
      <c r="AE798" s="24"/>
      <c r="AF798" s="41" t="s">
        <v>1781</v>
      </c>
      <c r="AG798" t="str">
        <f>VLOOKUP(OfficeForms.Table[[#This Row],[Nama Proyek]],'Nama Proyek'!$D$2:$G$29,4,0)</f>
        <v>-6.35008011,107.02324233</v>
      </c>
      <c r="AH798" s="5"/>
      <c r="AI798" s="5"/>
      <c r="AJ798" s="5"/>
      <c r="AK798" s="5" t="s">
        <v>1782</v>
      </c>
    </row>
    <row r="799" spans="1:37" ht="15" hidden="1" customHeight="1">
      <c r="A799">
        <v>959</v>
      </c>
      <c r="B799" s="110">
        <v>45069</v>
      </c>
      <c r="C799" s="28">
        <f>B799</f>
        <v>45069</v>
      </c>
      <c r="D799" s="19" t="s">
        <v>37</v>
      </c>
      <c r="E799" s="19" t="s">
        <v>1109</v>
      </c>
      <c r="F799" s="5" t="str">
        <f>E799</f>
        <v>Anzalar Rahman</v>
      </c>
      <c r="G799" s="38" t="s">
        <v>714</v>
      </c>
      <c r="H799" s="106">
        <v>45067</v>
      </c>
      <c r="I799" s="96">
        <v>24.55</v>
      </c>
      <c r="J799" s="96">
        <v>31.361000000000001</v>
      </c>
      <c r="K799" s="96">
        <v>0</v>
      </c>
      <c r="L799" s="96">
        <v>0</v>
      </c>
      <c r="M799" s="96">
        <v>0</v>
      </c>
      <c r="N799" s="96">
        <v>0</v>
      </c>
      <c r="O799" s="96">
        <v>0</v>
      </c>
      <c r="P799" s="96">
        <v>0</v>
      </c>
      <c r="Q799" s="96">
        <v>0</v>
      </c>
      <c r="R799" s="96">
        <v>0</v>
      </c>
      <c r="S799" s="96">
        <v>0</v>
      </c>
      <c r="T799" s="96">
        <v>0</v>
      </c>
      <c r="U799" s="96">
        <v>0</v>
      </c>
      <c r="V799" s="96">
        <v>0</v>
      </c>
      <c r="W799" s="96">
        <v>0</v>
      </c>
      <c r="X799" s="96">
        <v>0</v>
      </c>
      <c r="Y799" s="96">
        <v>0</v>
      </c>
      <c r="Z799" s="96"/>
      <c r="AA799" s="19"/>
      <c r="AB799" s="19"/>
      <c r="AC799" s="19"/>
      <c r="AD799" s="19"/>
      <c r="AE799" s="13"/>
      <c r="AF799" s="8"/>
      <c r="AG799" t="str">
        <f>VLOOKUP(OfficeForms.Table[[#This Row],[Nama Proyek]],'Nama Proyek'!$D$2:$G$29,4,0)</f>
        <v>-0.95259625,116.71704453</v>
      </c>
      <c r="AH799" s="5"/>
      <c r="AI799" s="5"/>
      <c r="AJ799" s="5"/>
      <c r="AK799" s="5" t="s">
        <v>1783</v>
      </c>
    </row>
    <row r="800" spans="1:37" ht="15" hidden="1" customHeight="1">
      <c r="A800">
        <v>604</v>
      </c>
      <c r="B800" s="111">
        <v>45069</v>
      </c>
      <c r="C800" s="29">
        <f>B800</f>
        <v>45069</v>
      </c>
      <c r="D800" s="8" t="s">
        <v>37</v>
      </c>
      <c r="E800" s="8" t="s">
        <v>1109</v>
      </c>
      <c r="F800" s="5" t="str">
        <f>E800</f>
        <v>Anzalar Rahman</v>
      </c>
      <c r="G800" s="33" t="s">
        <v>714</v>
      </c>
      <c r="H800" s="105"/>
      <c r="I800" s="95">
        <v>0</v>
      </c>
      <c r="J800" s="95">
        <v>0</v>
      </c>
      <c r="K800" s="95">
        <v>0</v>
      </c>
      <c r="L800" s="95">
        <v>0</v>
      </c>
      <c r="M800" s="95">
        <v>0</v>
      </c>
      <c r="N800" s="95">
        <v>0</v>
      </c>
      <c r="O800" s="95">
        <v>0</v>
      </c>
      <c r="P800" s="95">
        <v>0</v>
      </c>
      <c r="Q800" s="95">
        <v>0</v>
      </c>
      <c r="R800" s="95">
        <v>0</v>
      </c>
      <c r="S800" s="95">
        <v>0</v>
      </c>
      <c r="T800" s="95">
        <v>0</v>
      </c>
      <c r="U800" s="95">
        <v>0</v>
      </c>
      <c r="V800" s="95">
        <v>0</v>
      </c>
      <c r="W800" s="95">
        <v>0</v>
      </c>
      <c r="X800" s="95">
        <v>0</v>
      </c>
      <c r="Y800" s="95">
        <v>0</v>
      </c>
      <c r="Z800" s="95"/>
      <c r="AA800" s="8" t="s">
        <v>1784</v>
      </c>
      <c r="AB800" s="8" t="s">
        <v>1785</v>
      </c>
      <c r="AC800" s="8" t="s">
        <v>1786</v>
      </c>
      <c r="AD800" s="8" t="s">
        <v>1787</v>
      </c>
      <c r="AE800" s="11"/>
      <c r="AF800" s="8" t="s">
        <v>1788</v>
      </c>
      <c r="AG800" t="str">
        <f>VLOOKUP(OfficeForms.Table[[#This Row],[Nama Proyek]],'Nama Proyek'!$D$2:$G$29,4,0)</f>
        <v>-0.95259625,116.71704453</v>
      </c>
      <c r="AH800" s="5"/>
      <c r="AI800" s="5"/>
      <c r="AJ800" s="5"/>
      <c r="AK800" s="5" t="s">
        <v>1789</v>
      </c>
    </row>
    <row r="801" spans="1:37" ht="15" hidden="1" customHeight="1">
      <c r="A801" s="31">
        <v>614</v>
      </c>
      <c r="B801" s="111">
        <v>45069</v>
      </c>
      <c r="C801" s="29">
        <f>B801</f>
        <v>45069</v>
      </c>
      <c r="D801" s="9" t="s">
        <v>37</v>
      </c>
      <c r="E801" s="9" t="s">
        <v>1109</v>
      </c>
      <c r="F801" s="5" t="str">
        <f>E801</f>
        <v>Anzalar Rahman</v>
      </c>
      <c r="G801" s="36" t="s">
        <v>714</v>
      </c>
      <c r="H801" s="104"/>
      <c r="I801" s="94">
        <v>0</v>
      </c>
      <c r="J801" s="94">
        <v>0</v>
      </c>
      <c r="K801" s="94">
        <v>0</v>
      </c>
      <c r="L801" s="94">
        <v>0</v>
      </c>
      <c r="M801" s="94">
        <v>0</v>
      </c>
      <c r="N801" s="94">
        <v>0</v>
      </c>
      <c r="O801" s="94">
        <v>0</v>
      </c>
      <c r="P801" s="94">
        <v>0</v>
      </c>
      <c r="Q801" s="94">
        <v>0</v>
      </c>
      <c r="R801" s="94">
        <v>0</v>
      </c>
      <c r="S801" s="94">
        <v>0</v>
      </c>
      <c r="T801" s="94">
        <v>0</v>
      </c>
      <c r="U801" s="94">
        <v>0</v>
      </c>
      <c r="V801" s="94">
        <v>0</v>
      </c>
      <c r="W801" s="94">
        <v>0</v>
      </c>
      <c r="X801" s="94">
        <v>0</v>
      </c>
      <c r="Y801" s="94">
        <v>0</v>
      </c>
      <c r="Z801" s="94"/>
      <c r="AA801" s="9"/>
      <c r="AB801" s="9"/>
      <c r="AC801" s="9"/>
      <c r="AD801" s="9"/>
      <c r="AE801" s="12">
        <v>44927</v>
      </c>
      <c r="AF801" s="8" t="s">
        <v>1790</v>
      </c>
      <c r="AG801" t="str">
        <f>VLOOKUP(OfficeForms.Table[[#This Row],[Nama Proyek]],'Nama Proyek'!$D$2:$G$29,4,0)</f>
        <v>-0.95259625,116.71704453</v>
      </c>
      <c r="AH801" s="5"/>
      <c r="AI801" s="5"/>
      <c r="AJ801" s="5"/>
      <c r="AK801" s="5" t="s">
        <v>1791</v>
      </c>
    </row>
    <row r="802" spans="1:37" ht="15" hidden="1" customHeight="1">
      <c r="A802" s="31">
        <v>615</v>
      </c>
      <c r="B802" s="110">
        <v>45069</v>
      </c>
      <c r="C802" s="28">
        <f>B802</f>
        <v>45069</v>
      </c>
      <c r="D802" s="8" t="s">
        <v>37</v>
      </c>
      <c r="E802" s="8" t="s">
        <v>1109</v>
      </c>
      <c r="F802" s="5" t="str">
        <f>E802</f>
        <v>Anzalar Rahman</v>
      </c>
      <c r="G802" s="35" t="s">
        <v>714</v>
      </c>
      <c r="H802" s="102"/>
      <c r="I802" s="95">
        <v>0</v>
      </c>
      <c r="J802" s="95">
        <v>0</v>
      </c>
      <c r="K802" s="95">
        <v>0</v>
      </c>
      <c r="L802" s="95">
        <v>0</v>
      </c>
      <c r="M802" s="95">
        <v>0</v>
      </c>
      <c r="N802" s="95">
        <v>0</v>
      </c>
      <c r="O802" s="95">
        <v>0</v>
      </c>
      <c r="P802" s="95">
        <v>0</v>
      </c>
      <c r="Q802" s="95">
        <v>0</v>
      </c>
      <c r="R802" s="95">
        <v>0</v>
      </c>
      <c r="S802" s="95">
        <v>0</v>
      </c>
      <c r="T802" s="95">
        <v>0</v>
      </c>
      <c r="U802" s="95">
        <v>0</v>
      </c>
      <c r="V802" s="95">
        <v>0</v>
      </c>
      <c r="W802" s="95">
        <v>0</v>
      </c>
      <c r="X802" s="95">
        <v>0</v>
      </c>
      <c r="Y802" s="95">
        <v>0</v>
      </c>
      <c r="Z802" s="95"/>
      <c r="AA802" s="8"/>
      <c r="AB802" s="8"/>
      <c r="AC802" s="8"/>
      <c r="AD802" s="8"/>
      <c r="AE802" s="11">
        <v>44927</v>
      </c>
      <c r="AF802" s="9"/>
      <c r="AG802" t="str">
        <f>VLOOKUP(OfficeForms.Table[[#This Row],[Nama Proyek]],'Nama Proyek'!$D$2:$G$29,4,0)</f>
        <v>-0.95259625,116.71704453</v>
      </c>
      <c r="AH802" s="5"/>
      <c r="AI802" s="5"/>
      <c r="AJ802" s="5"/>
      <c r="AK802" s="5" t="s">
        <v>1792</v>
      </c>
    </row>
    <row r="803" spans="1:37" ht="15" hidden="1" customHeight="1">
      <c r="A803" s="31">
        <v>637</v>
      </c>
      <c r="B803" s="110">
        <v>45069</v>
      </c>
      <c r="C803" s="28">
        <f>B803</f>
        <v>45069</v>
      </c>
      <c r="D803" s="19" t="s">
        <v>37</v>
      </c>
      <c r="E803" s="19" t="s">
        <v>1109</v>
      </c>
      <c r="F803" s="5" t="str">
        <f>E803</f>
        <v>Anzalar Rahman</v>
      </c>
      <c r="G803" s="35" t="s">
        <v>714</v>
      </c>
      <c r="H803" s="106"/>
      <c r="I803" s="96">
        <v>0</v>
      </c>
      <c r="J803" s="96">
        <v>0</v>
      </c>
      <c r="K803" s="96">
        <v>0</v>
      </c>
      <c r="L803" s="96">
        <v>0</v>
      </c>
      <c r="M803" s="96">
        <v>0</v>
      </c>
      <c r="N803" s="96">
        <v>0</v>
      </c>
      <c r="O803" s="96">
        <v>0</v>
      </c>
      <c r="P803" s="96">
        <v>0</v>
      </c>
      <c r="Q803" s="96">
        <v>0</v>
      </c>
      <c r="R803" s="96">
        <v>0</v>
      </c>
      <c r="S803" s="96">
        <v>0</v>
      </c>
      <c r="T803" s="96">
        <v>0</v>
      </c>
      <c r="U803" s="96">
        <v>0</v>
      </c>
      <c r="V803" s="96">
        <v>0</v>
      </c>
      <c r="W803" s="96">
        <v>0</v>
      </c>
      <c r="X803" s="96">
        <v>0</v>
      </c>
      <c r="Y803" s="96">
        <v>0</v>
      </c>
      <c r="Z803" s="96"/>
      <c r="AA803" s="19"/>
      <c r="AB803" s="19"/>
      <c r="AC803" s="19"/>
      <c r="AD803" s="19"/>
      <c r="AE803" s="13">
        <v>44931</v>
      </c>
      <c r="AF803" s="9"/>
      <c r="AG803" t="str">
        <f>VLOOKUP(OfficeForms.Table[[#This Row],[Nama Proyek]],'Nama Proyek'!$D$2:$G$29,4,0)</f>
        <v>-0.95259625,116.71704453</v>
      </c>
      <c r="AH803" s="5"/>
      <c r="AI803" s="5"/>
      <c r="AJ803" s="5"/>
      <c r="AK803" s="5" t="s">
        <v>1793</v>
      </c>
    </row>
    <row r="804" spans="1:37" ht="15" hidden="1" customHeight="1">
      <c r="A804" s="50">
        <v>657</v>
      </c>
      <c r="B804" s="110">
        <v>45070</v>
      </c>
      <c r="C804" s="28">
        <f>B804</f>
        <v>45070</v>
      </c>
      <c r="D804" s="8" t="s">
        <v>37</v>
      </c>
      <c r="E804" s="8" t="s">
        <v>687</v>
      </c>
      <c r="F804" s="5" t="str">
        <f>E804</f>
        <v>Andri Julio Hermawan</v>
      </c>
      <c r="G804" s="23" t="s">
        <v>750</v>
      </c>
      <c r="H804" s="102">
        <v>45070</v>
      </c>
      <c r="I804" s="95">
        <v>20.756</v>
      </c>
      <c r="J804" s="95">
        <v>19.710999999999999</v>
      </c>
      <c r="K804" s="95">
        <v>0</v>
      </c>
      <c r="L804" s="95">
        <v>0</v>
      </c>
      <c r="M804" s="95">
        <v>12.484</v>
      </c>
      <c r="N804" s="95">
        <v>0</v>
      </c>
      <c r="O804" s="95">
        <v>0</v>
      </c>
      <c r="P804" s="95">
        <v>0</v>
      </c>
      <c r="Q804" s="95">
        <v>0</v>
      </c>
      <c r="R804" s="95">
        <v>0</v>
      </c>
      <c r="S804" s="95">
        <v>7.7859999999999996</v>
      </c>
      <c r="T804" s="95">
        <v>0</v>
      </c>
      <c r="U804" s="95">
        <v>0</v>
      </c>
      <c r="V804" s="95">
        <v>0</v>
      </c>
      <c r="W804" s="95">
        <v>0</v>
      </c>
      <c r="X804" s="95">
        <v>0</v>
      </c>
      <c r="Y804" s="95">
        <v>0</v>
      </c>
      <c r="Z804" s="95"/>
      <c r="AA804" s="8"/>
      <c r="AB804" s="8"/>
      <c r="AC804" s="8"/>
      <c r="AD804" s="8"/>
      <c r="AE804" s="11"/>
      <c r="AF804" s="15" t="s">
        <v>1794</v>
      </c>
      <c r="AG804" t="str">
        <f>VLOOKUP(OfficeForms.Table[[#This Row],[Nama Proyek]],'Nama Proyek'!$D$2:$G$29,4,0)</f>
        <v>-1.10415341,116.73424356</v>
      </c>
      <c r="AH804" s="5"/>
      <c r="AI804" s="5"/>
      <c r="AJ804" s="5"/>
      <c r="AK804" s="5" t="s">
        <v>1795</v>
      </c>
    </row>
    <row r="805" spans="1:37" ht="15" hidden="1" customHeight="1">
      <c r="A805" s="30">
        <v>358</v>
      </c>
      <c r="B805" s="111">
        <v>45070</v>
      </c>
      <c r="C805" s="29">
        <f>B805</f>
        <v>45070</v>
      </c>
      <c r="D805" s="8" t="s">
        <v>37</v>
      </c>
      <c r="E805" s="8" t="s">
        <v>64</v>
      </c>
      <c r="F805" s="5" t="str">
        <f>E805</f>
        <v>Nizar Zulkarnain</v>
      </c>
      <c r="G805" s="9" t="s">
        <v>65</v>
      </c>
      <c r="H805" s="105"/>
      <c r="I805" s="95">
        <v>0</v>
      </c>
      <c r="J805" s="95">
        <v>0</v>
      </c>
      <c r="K805" s="95">
        <v>0</v>
      </c>
      <c r="L805" s="95">
        <v>0</v>
      </c>
      <c r="M805" s="95">
        <v>0</v>
      </c>
      <c r="N805" s="95">
        <v>0</v>
      </c>
      <c r="O805" s="95">
        <v>0</v>
      </c>
      <c r="P805" s="95">
        <v>0</v>
      </c>
      <c r="Q805" s="95">
        <v>0</v>
      </c>
      <c r="R805" s="95">
        <v>0</v>
      </c>
      <c r="S805" s="95">
        <v>0</v>
      </c>
      <c r="T805" s="95">
        <v>0</v>
      </c>
      <c r="U805" s="95">
        <v>0</v>
      </c>
      <c r="V805" s="95">
        <v>0</v>
      </c>
      <c r="W805" s="95">
        <v>0</v>
      </c>
      <c r="X805" s="95">
        <v>0</v>
      </c>
      <c r="Y805" s="95">
        <v>0</v>
      </c>
      <c r="Z805" s="95"/>
      <c r="AA805" s="8" t="s">
        <v>1796</v>
      </c>
      <c r="AB805" s="8"/>
      <c r="AC805" s="8"/>
      <c r="AD805" s="8"/>
      <c r="AE805" s="11"/>
      <c r="AF805" s="8" t="s">
        <v>515</v>
      </c>
      <c r="AG805" t="str">
        <f>VLOOKUP(OfficeForms.Table[[#This Row],[Nama Proyek]],'Nama Proyek'!$D$2:$G$29,4,0)</f>
        <v>-6.35008011,107.02324233</v>
      </c>
      <c r="AH805" s="5"/>
      <c r="AI805" s="5"/>
      <c r="AJ805" s="5"/>
      <c r="AK805" s="5" t="s">
        <v>1797</v>
      </c>
    </row>
    <row r="806" spans="1:37" ht="15" hidden="1" customHeight="1">
      <c r="A806" s="31">
        <v>453</v>
      </c>
      <c r="B806" s="110">
        <v>45070</v>
      </c>
      <c r="C806" s="28">
        <f>B806</f>
        <v>45070</v>
      </c>
      <c r="D806" s="8" t="s">
        <v>37</v>
      </c>
      <c r="E806" s="8" t="s">
        <v>64</v>
      </c>
      <c r="F806" s="5" t="str">
        <f>E806</f>
        <v>Nizar Zulkarnain</v>
      </c>
      <c r="G806" s="19" t="s">
        <v>65</v>
      </c>
      <c r="H806" s="105"/>
      <c r="I806" s="95">
        <v>0</v>
      </c>
      <c r="J806" s="95">
        <v>0</v>
      </c>
      <c r="K806" s="95">
        <v>0</v>
      </c>
      <c r="L806" s="95">
        <v>0</v>
      </c>
      <c r="M806" s="95">
        <v>0</v>
      </c>
      <c r="N806" s="95">
        <v>0</v>
      </c>
      <c r="O806" s="95">
        <v>0</v>
      </c>
      <c r="P806" s="95">
        <v>0</v>
      </c>
      <c r="Q806" s="95">
        <v>0</v>
      </c>
      <c r="R806" s="95">
        <v>0</v>
      </c>
      <c r="S806" s="95">
        <v>0</v>
      </c>
      <c r="T806" s="95">
        <v>0</v>
      </c>
      <c r="U806" s="95">
        <v>0</v>
      </c>
      <c r="V806" s="95">
        <v>0</v>
      </c>
      <c r="W806" s="95">
        <v>0</v>
      </c>
      <c r="X806" s="95">
        <v>0</v>
      </c>
      <c r="Y806" s="95">
        <v>0</v>
      </c>
      <c r="Z806" s="95"/>
      <c r="AA806" s="8"/>
      <c r="AB806" s="8"/>
      <c r="AC806" s="8"/>
      <c r="AD806" s="8"/>
      <c r="AE806" s="11" t="s">
        <v>1246</v>
      </c>
      <c r="AF806" s="8"/>
      <c r="AG806" t="str">
        <f>VLOOKUP(OfficeForms.Table[[#This Row],[Nama Proyek]],'Nama Proyek'!$D$2:$G$29,4,0)</f>
        <v>-6.35008011,107.02324233</v>
      </c>
      <c r="AH806" s="5"/>
      <c r="AI806" s="5"/>
      <c r="AJ806" s="5"/>
      <c r="AK806" s="5" t="s">
        <v>1798</v>
      </c>
    </row>
    <row r="807" spans="1:37" ht="15" hidden="1" customHeight="1">
      <c r="A807">
        <v>826</v>
      </c>
      <c r="B807" s="111">
        <v>45070</v>
      </c>
      <c r="C807" s="29">
        <f>B807</f>
        <v>45070</v>
      </c>
      <c r="D807" s="9" t="s">
        <v>37</v>
      </c>
      <c r="E807" s="9" t="s">
        <v>687</v>
      </c>
      <c r="F807" s="5" t="str">
        <f>E807</f>
        <v>Andri Julio Hermawan</v>
      </c>
      <c r="G807" s="32" t="s">
        <v>750</v>
      </c>
      <c r="H807" s="104"/>
      <c r="I807" s="94">
        <v>0</v>
      </c>
      <c r="J807" s="94">
        <v>0</v>
      </c>
      <c r="K807" s="94">
        <v>0</v>
      </c>
      <c r="L807" s="94">
        <v>0</v>
      </c>
      <c r="M807" s="94">
        <v>0</v>
      </c>
      <c r="N807" s="94">
        <v>0</v>
      </c>
      <c r="O807" s="94">
        <v>0</v>
      </c>
      <c r="P807" s="94">
        <v>0</v>
      </c>
      <c r="Q807" s="94">
        <v>0</v>
      </c>
      <c r="R807" s="94">
        <v>0</v>
      </c>
      <c r="S807" s="94">
        <v>0</v>
      </c>
      <c r="T807" s="94">
        <v>0</v>
      </c>
      <c r="U807" s="94">
        <v>0</v>
      </c>
      <c r="V807" s="94">
        <v>0</v>
      </c>
      <c r="W807" s="94">
        <v>0</v>
      </c>
      <c r="X807" s="94">
        <v>0</v>
      </c>
      <c r="Y807" s="94">
        <v>0</v>
      </c>
      <c r="Z807" s="94"/>
      <c r="AA807" s="9"/>
      <c r="AB807" s="9"/>
      <c r="AC807" s="9"/>
      <c r="AD807" s="9"/>
      <c r="AE807" s="12" t="s">
        <v>1799</v>
      </c>
      <c r="AF807" s="8"/>
      <c r="AG807" t="str">
        <f>VLOOKUP(OfficeForms.Table[[#This Row],[Nama Proyek]],'Nama Proyek'!$D$2:$G$29,4,0)</f>
        <v>-1.10415341,116.73424356</v>
      </c>
      <c r="AH807" s="5"/>
      <c r="AI807" s="5"/>
      <c r="AJ807" s="5"/>
      <c r="AK807" s="5" t="s">
        <v>1800</v>
      </c>
    </row>
    <row r="808" spans="1:37" ht="15" hidden="1" customHeight="1">
      <c r="A808">
        <v>827</v>
      </c>
      <c r="B808" s="110">
        <v>45070</v>
      </c>
      <c r="C808" s="28">
        <f>B808</f>
        <v>45070</v>
      </c>
      <c r="D808" s="8" t="s">
        <v>37</v>
      </c>
      <c r="E808" s="8" t="s">
        <v>687</v>
      </c>
      <c r="F808" s="5" t="str">
        <f>E808</f>
        <v>Andri Julio Hermawan</v>
      </c>
      <c r="G808" s="23" t="s">
        <v>750</v>
      </c>
      <c r="H808" s="102"/>
      <c r="I808" s="95">
        <v>0</v>
      </c>
      <c r="J808" s="95">
        <v>0</v>
      </c>
      <c r="K808" s="95">
        <v>0</v>
      </c>
      <c r="L808" s="95">
        <v>0</v>
      </c>
      <c r="M808" s="95">
        <v>0</v>
      </c>
      <c r="N808" s="95">
        <v>0</v>
      </c>
      <c r="O808" s="95">
        <v>0</v>
      </c>
      <c r="P808" s="95">
        <v>0</v>
      </c>
      <c r="Q808" s="95">
        <v>0</v>
      </c>
      <c r="R808" s="95">
        <v>0</v>
      </c>
      <c r="S808" s="95">
        <v>0</v>
      </c>
      <c r="T808" s="95">
        <v>0</v>
      </c>
      <c r="U808" s="95">
        <v>0</v>
      </c>
      <c r="V808" s="95">
        <v>0</v>
      </c>
      <c r="W808" s="95">
        <v>0</v>
      </c>
      <c r="X808" s="95">
        <v>0</v>
      </c>
      <c r="Y808" s="95">
        <v>0</v>
      </c>
      <c r="Z808" s="95"/>
      <c r="AA808" s="8" t="s">
        <v>1801</v>
      </c>
      <c r="AB808" s="8" t="s">
        <v>1802</v>
      </c>
      <c r="AC808" s="8" t="s">
        <v>1803</v>
      </c>
      <c r="AD808" s="8" t="s">
        <v>1803</v>
      </c>
      <c r="AE808" s="11"/>
      <c r="AF808" s="17"/>
      <c r="AG808" t="str">
        <f>VLOOKUP(OfficeForms.Table[[#This Row],[Nama Proyek]],'Nama Proyek'!$D$2:$G$29,4,0)</f>
        <v>-1.10415341,116.73424356</v>
      </c>
      <c r="AH808" s="5"/>
      <c r="AI808" s="5"/>
      <c r="AJ808" s="5"/>
      <c r="AK808" s="5" t="s">
        <v>1804</v>
      </c>
    </row>
    <row r="809" spans="1:37" ht="15" hidden="1" customHeight="1">
      <c r="A809" s="31">
        <v>830</v>
      </c>
      <c r="B809" s="111">
        <v>45071</v>
      </c>
      <c r="C809" s="29">
        <f>B809</f>
        <v>45071</v>
      </c>
      <c r="D809" s="9" t="s">
        <v>37</v>
      </c>
      <c r="E809" s="9" t="s">
        <v>734</v>
      </c>
      <c r="F809" s="5" t="str">
        <f>E809</f>
        <v>Aldian Winata</v>
      </c>
      <c r="G809" s="17" t="s">
        <v>735</v>
      </c>
      <c r="H809" s="103">
        <v>45067</v>
      </c>
      <c r="I809" s="94">
        <v>37.822000000000003</v>
      </c>
      <c r="J809" s="94">
        <v>45.122</v>
      </c>
      <c r="K809" s="94">
        <v>2.2189999999999999</v>
      </c>
      <c r="L809" s="94">
        <v>31.276</v>
      </c>
      <c r="M809" s="94">
        <v>0</v>
      </c>
      <c r="N809" s="94">
        <v>1.0999999999999999E-2</v>
      </c>
      <c r="O809" s="94">
        <v>0.97499999999999998</v>
      </c>
      <c r="P809" s="94">
        <v>0</v>
      </c>
      <c r="Q809" s="94">
        <v>0</v>
      </c>
      <c r="R809" s="94">
        <v>0</v>
      </c>
      <c r="S809" s="94">
        <v>0</v>
      </c>
      <c r="T809" s="94">
        <v>0</v>
      </c>
      <c r="U809" s="94">
        <v>0</v>
      </c>
      <c r="V809" s="94">
        <v>0</v>
      </c>
      <c r="W809" s="94">
        <v>0</v>
      </c>
      <c r="X809" s="94">
        <v>0</v>
      </c>
      <c r="Y809" s="94">
        <v>0</v>
      </c>
      <c r="Z809" s="94"/>
      <c r="AA809" s="9"/>
      <c r="AB809" s="9"/>
      <c r="AC809" s="9"/>
      <c r="AD809" s="9"/>
      <c r="AE809" s="18"/>
      <c r="AF809" s="8"/>
      <c r="AG809" t="str">
        <f>VLOOKUP(OfficeForms.Table[[#This Row],[Nama Proyek]],'Nama Proyek'!$D$2:$G$40,4,0)</f>
        <v>-0.88562397,119.85928375</v>
      </c>
      <c r="AH809" s="5"/>
      <c r="AI809" s="5"/>
      <c r="AJ809" s="5"/>
      <c r="AK809" s="5" t="s">
        <v>1805</v>
      </c>
    </row>
    <row r="810" spans="1:37" ht="15" hidden="1" customHeight="1">
      <c r="A810" s="30">
        <v>831</v>
      </c>
      <c r="B810" s="110">
        <v>45071</v>
      </c>
      <c r="C810" s="28">
        <f>B810</f>
        <v>45071</v>
      </c>
      <c r="D810" s="8" t="s">
        <v>37</v>
      </c>
      <c r="E810" s="8" t="s">
        <v>214</v>
      </c>
      <c r="F810" s="5" t="str">
        <f>E810</f>
        <v>BASUKI RAHMAT HAKIM</v>
      </c>
      <c r="G810" s="60" t="s">
        <v>48</v>
      </c>
      <c r="H810" s="105">
        <v>45071</v>
      </c>
      <c r="I810" s="95">
        <v>52.77</v>
      </c>
      <c r="J810" s="95">
        <v>71.459999999999994</v>
      </c>
      <c r="K810" s="95">
        <v>0</v>
      </c>
      <c r="L810" s="95">
        <v>50.597999999999999</v>
      </c>
      <c r="M810" s="95">
        <v>0</v>
      </c>
      <c r="N810" s="95">
        <v>0</v>
      </c>
      <c r="O810" s="95">
        <v>0</v>
      </c>
      <c r="P810" s="95">
        <v>0</v>
      </c>
      <c r="Q810" s="95">
        <v>0</v>
      </c>
      <c r="R810" s="95">
        <v>0.23100000000000001</v>
      </c>
      <c r="S810" s="95">
        <v>0</v>
      </c>
      <c r="T810" s="95">
        <v>0</v>
      </c>
      <c r="U810" s="95">
        <v>0</v>
      </c>
      <c r="V810" s="95">
        <v>0</v>
      </c>
      <c r="W810" s="95">
        <v>0</v>
      </c>
      <c r="X810" s="95">
        <v>0</v>
      </c>
      <c r="Y810" s="95">
        <v>0</v>
      </c>
      <c r="Z810" s="95"/>
      <c r="AA810" s="8"/>
      <c r="AB810" s="15"/>
      <c r="AC810" s="15"/>
      <c r="AD810" s="15"/>
      <c r="AE810" s="11"/>
      <c r="AF810" s="40" t="s">
        <v>1806</v>
      </c>
      <c r="AG810" t="str">
        <f>VLOOKUP(OfficeForms.Table[[#This Row],[Nama Proyek]],'Nama Proyek'!$D$2:$G$29,4,0)</f>
        <v>3.76047575,115.89977678</v>
      </c>
      <c r="AH810" s="5"/>
      <c r="AI810" s="5"/>
      <c r="AJ810" s="5"/>
      <c r="AK810" s="5" t="s">
        <v>1807</v>
      </c>
    </row>
    <row r="811" spans="1:37" ht="15" hidden="1" customHeight="1">
      <c r="A811" s="30">
        <v>828</v>
      </c>
      <c r="B811" s="111">
        <v>45071</v>
      </c>
      <c r="C811" s="29">
        <f>B811</f>
        <v>45071</v>
      </c>
      <c r="D811" s="9" t="s">
        <v>37</v>
      </c>
      <c r="E811" s="9" t="s">
        <v>734</v>
      </c>
      <c r="F811" s="5" t="str">
        <f>E811</f>
        <v>Aldian Winata</v>
      </c>
      <c r="G811" s="17" t="s">
        <v>735</v>
      </c>
      <c r="H811" s="104"/>
      <c r="I811" s="94">
        <v>0</v>
      </c>
      <c r="J811" s="94">
        <v>0</v>
      </c>
      <c r="K811" s="94">
        <v>0</v>
      </c>
      <c r="L811" s="94">
        <v>0</v>
      </c>
      <c r="M811" s="94">
        <v>0</v>
      </c>
      <c r="N811" s="94">
        <v>0</v>
      </c>
      <c r="O811" s="94">
        <v>0</v>
      </c>
      <c r="P811" s="94">
        <v>0</v>
      </c>
      <c r="Q811" s="94">
        <v>0</v>
      </c>
      <c r="R811" s="94">
        <v>0</v>
      </c>
      <c r="S811" s="94">
        <v>0</v>
      </c>
      <c r="T811" s="94">
        <v>0</v>
      </c>
      <c r="U811" s="94">
        <v>0</v>
      </c>
      <c r="V811" s="94">
        <v>0</v>
      </c>
      <c r="W811" s="94">
        <v>0</v>
      </c>
      <c r="X811" s="94">
        <v>0</v>
      </c>
      <c r="Y811" s="94">
        <v>0</v>
      </c>
      <c r="Z811" s="94"/>
      <c r="AA811" s="9" t="s">
        <v>1808</v>
      </c>
      <c r="AB811" s="9" t="s">
        <v>1809</v>
      </c>
      <c r="AC811" s="9" t="s">
        <v>1810</v>
      </c>
      <c r="AD811" s="9" t="s">
        <v>1811</v>
      </c>
      <c r="AE811" s="12"/>
      <c r="AF811" s="15" t="s">
        <v>1812</v>
      </c>
      <c r="AG811" t="str">
        <f>VLOOKUP(OfficeForms.Table[[#This Row],[Nama Proyek]],'Nama Proyek'!$D$2:$G$40,4,0)</f>
        <v>-0.88562397,119.85928375</v>
      </c>
      <c r="AH811" s="5"/>
      <c r="AI811" s="5"/>
      <c r="AJ811" s="5"/>
      <c r="AK811" s="5" t="s">
        <v>1813</v>
      </c>
    </row>
    <row r="812" spans="1:37" ht="15" hidden="1" customHeight="1">
      <c r="A812">
        <v>829</v>
      </c>
      <c r="B812" s="110">
        <v>45071</v>
      </c>
      <c r="C812" s="28">
        <f>B812</f>
        <v>45071</v>
      </c>
      <c r="D812" s="8" t="s">
        <v>37</v>
      </c>
      <c r="E812" s="8" t="s">
        <v>734</v>
      </c>
      <c r="F812" s="5" t="str">
        <f>E812</f>
        <v>Aldian Winata</v>
      </c>
      <c r="G812" s="15" t="s">
        <v>735</v>
      </c>
      <c r="H812" s="102"/>
      <c r="I812" s="95">
        <v>0</v>
      </c>
      <c r="J812" s="95">
        <v>0</v>
      </c>
      <c r="K812" s="95">
        <v>0</v>
      </c>
      <c r="L812" s="95">
        <v>0</v>
      </c>
      <c r="M812" s="95">
        <v>0</v>
      </c>
      <c r="N812" s="95">
        <v>0</v>
      </c>
      <c r="O812" s="95">
        <v>0</v>
      </c>
      <c r="P812" s="95">
        <v>0</v>
      </c>
      <c r="Q812" s="95">
        <v>0</v>
      </c>
      <c r="R812" s="95">
        <v>0</v>
      </c>
      <c r="S812" s="95">
        <v>0</v>
      </c>
      <c r="T812" s="95">
        <v>0</v>
      </c>
      <c r="U812" s="95">
        <v>0</v>
      </c>
      <c r="V812" s="95">
        <v>0</v>
      </c>
      <c r="W812" s="95">
        <v>0</v>
      </c>
      <c r="X812" s="95">
        <v>0</v>
      </c>
      <c r="Y812" s="95">
        <v>0</v>
      </c>
      <c r="Z812" s="95"/>
      <c r="AA812" s="8"/>
      <c r="AB812" s="8"/>
      <c r="AC812" s="8"/>
      <c r="AD812" s="8"/>
      <c r="AE812" s="16" t="s">
        <v>1814</v>
      </c>
      <c r="AF812" s="9"/>
      <c r="AG812" t="str">
        <f>VLOOKUP(OfficeForms.Table[[#This Row],[Nama Proyek]],'Nama Proyek'!$D$2:$G$40,4,0)</f>
        <v>-0.88562397,119.85928375</v>
      </c>
      <c r="AH812" s="5"/>
      <c r="AI812" s="5"/>
      <c r="AJ812" s="5"/>
      <c r="AK812" s="5" t="s">
        <v>1815</v>
      </c>
    </row>
    <row r="813" spans="1:37" ht="15" hidden="1" customHeight="1">
      <c r="A813">
        <v>832</v>
      </c>
      <c r="B813" s="111">
        <v>45071</v>
      </c>
      <c r="C813" s="29">
        <f>B813</f>
        <v>45071</v>
      </c>
      <c r="D813" s="9" t="s">
        <v>37</v>
      </c>
      <c r="E813" s="9" t="s">
        <v>214</v>
      </c>
      <c r="F813" s="5" t="str">
        <f>E813</f>
        <v>BASUKI RAHMAT HAKIM</v>
      </c>
      <c r="G813" s="59" t="s">
        <v>48</v>
      </c>
      <c r="H813" s="103"/>
      <c r="I813" s="94">
        <v>0</v>
      </c>
      <c r="J813" s="94">
        <v>0</v>
      </c>
      <c r="K813" s="94">
        <v>0</v>
      </c>
      <c r="L813" s="94">
        <v>0</v>
      </c>
      <c r="M813" s="94">
        <v>0</v>
      </c>
      <c r="N813" s="94">
        <v>0</v>
      </c>
      <c r="O813" s="94">
        <v>0</v>
      </c>
      <c r="P813" s="94">
        <v>0</v>
      </c>
      <c r="Q813" s="94">
        <v>0</v>
      </c>
      <c r="R813" s="94">
        <v>0</v>
      </c>
      <c r="S813" s="94">
        <v>0</v>
      </c>
      <c r="T813" s="94">
        <v>0</v>
      </c>
      <c r="U813" s="94">
        <v>0</v>
      </c>
      <c r="V813" s="94">
        <v>0</v>
      </c>
      <c r="W813" s="94">
        <v>0</v>
      </c>
      <c r="X813" s="94">
        <v>0</v>
      </c>
      <c r="Y813" s="94">
        <v>0</v>
      </c>
      <c r="Z813" s="94"/>
      <c r="AA813" s="9"/>
      <c r="AB813" s="9"/>
      <c r="AC813" s="9"/>
      <c r="AD813" s="9"/>
      <c r="AE813" s="12" t="s">
        <v>1816</v>
      </c>
      <c r="AF813" s="8"/>
      <c r="AG813" t="str">
        <f>VLOOKUP(OfficeForms.Table[[#This Row],[Nama Proyek]],'Nama Proyek'!$D$2:$G$29,4,0)</f>
        <v>3.76047575,115.89977678</v>
      </c>
      <c r="AH813" s="5"/>
      <c r="AI813" s="5"/>
      <c r="AJ813" s="5"/>
      <c r="AK813" s="5" t="s">
        <v>1817</v>
      </c>
    </row>
    <row r="814" spans="1:37" ht="15" hidden="1" customHeight="1">
      <c r="A814" s="30">
        <v>833</v>
      </c>
      <c r="B814" s="110">
        <v>45071</v>
      </c>
      <c r="C814" s="28">
        <f>B814</f>
        <v>45071</v>
      </c>
      <c r="D814" s="8" t="s">
        <v>37</v>
      </c>
      <c r="E814" s="8" t="s">
        <v>214</v>
      </c>
      <c r="F814" s="5" t="str">
        <f>E814</f>
        <v>BASUKI RAHMAT HAKIM</v>
      </c>
      <c r="G814" s="59" t="s">
        <v>48</v>
      </c>
      <c r="H814" s="102"/>
      <c r="I814" s="95">
        <v>0</v>
      </c>
      <c r="J814" s="95">
        <v>0</v>
      </c>
      <c r="K814" s="95">
        <v>0</v>
      </c>
      <c r="L814" s="95">
        <v>0</v>
      </c>
      <c r="M814" s="95">
        <v>0</v>
      </c>
      <c r="N814" s="95">
        <v>0</v>
      </c>
      <c r="O814" s="95">
        <v>0</v>
      </c>
      <c r="P814" s="95">
        <v>0</v>
      </c>
      <c r="Q814" s="95">
        <v>0</v>
      </c>
      <c r="R814" s="95">
        <v>0</v>
      </c>
      <c r="S814" s="95">
        <v>0</v>
      </c>
      <c r="T814" s="95">
        <v>0</v>
      </c>
      <c r="U814" s="95">
        <v>0</v>
      </c>
      <c r="V814" s="95">
        <v>0</v>
      </c>
      <c r="W814" s="95">
        <v>0</v>
      </c>
      <c r="X814" s="95">
        <v>0</v>
      </c>
      <c r="Y814" s="95">
        <v>0</v>
      </c>
      <c r="Z814" s="95"/>
      <c r="AA814" s="8" t="s">
        <v>1818</v>
      </c>
      <c r="AB814" s="8" t="s">
        <v>1819</v>
      </c>
      <c r="AC814" s="8" t="s">
        <v>1820</v>
      </c>
      <c r="AD814" s="8"/>
      <c r="AE814" s="11"/>
      <c r="AF814" s="9"/>
      <c r="AG814" t="str">
        <f>VLOOKUP(OfficeForms.Table[[#This Row],[Nama Proyek]],'Nama Proyek'!$D$2:$G$29,4,0)</f>
        <v>3.76047575,115.89977678</v>
      </c>
      <c r="AH814" s="5"/>
      <c r="AI814" s="5"/>
      <c r="AJ814" s="5"/>
      <c r="AK814" s="5" t="s">
        <v>1821</v>
      </c>
    </row>
    <row r="815" spans="1:37" ht="15" hidden="1" customHeight="1">
      <c r="A815" s="30">
        <v>836</v>
      </c>
      <c r="B815" s="111">
        <v>45073</v>
      </c>
      <c r="C815" s="29">
        <f>B815</f>
        <v>45073</v>
      </c>
      <c r="D815" s="9" t="s">
        <v>37</v>
      </c>
      <c r="E815" s="9" t="s">
        <v>734</v>
      </c>
      <c r="F815" s="5" t="str">
        <f>E815</f>
        <v>Aldian Winata</v>
      </c>
      <c r="G815" s="17" t="s">
        <v>735</v>
      </c>
      <c r="H815" s="103">
        <v>45074</v>
      </c>
      <c r="I815" s="94">
        <v>37.963000000000001</v>
      </c>
      <c r="J815" s="94">
        <v>45.566000000000003</v>
      </c>
      <c r="K815" s="94">
        <v>2.2189999999999999</v>
      </c>
      <c r="L815" s="94">
        <v>31.414000000000001</v>
      </c>
      <c r="M815" s="94">
        <v>0</v>
      </c>
      <c r="N815" s="94">
        <v>1.0999999999999999E-2</v>
      </c>
      <c r="O815" s="94">
        <v>0.97499999999999998</v>
      </c>
      <c r="P815" s="94">
        <v>0</v>
      </c>
      <c r="Q815" s="94">
        <v>0</v>
      </c>
      <c r="R815" s="94">
        <v>0</v>
      </c>
      <c r="S815" s="94">
        <v>0</v>
      </c>
      <c r="T815" s="94">
        <v>0</v>
      </c>
      <c r="U815" s="94">
        <v>0</v>
      </c>
      <c r="V815" s="94">
        <v>0</v>
      </c>
      <c r="W815" s="94">
        <v>0</v>
      </c>
      <c r="X815" s="94">
        <v>0</v>
      </c>
      <c r="Y815" s="94">
        <v>0</v>
      </c>
      <c r="Z815" s="94"/>
      <c r="AA815" s="9"/>
      <c r="AB815" s="9"/>
      <c r="AC815" s="9"/>
      <c r="AD815" s="9"/>
      <c r="AE815" s="12"/>
      <c r="AF815" s="42"/>
      <c r="AG815" t="str">
        <f>VLOOKUP(OfficeForms.Table[[#This Row],[Nama Proyek]],'Nama Proyek'!$D$2:$G$40,4,0)</f>
        <v>-0.88562397,119.85928375</v>
      </c>
      <c r="AH815" s="5"/>
      <c r="AI815" s="5"/>
      <c r="AJ815" s="5"/>
      <c r="AK815" s="5" t="s">
        <v>1822</v>
      </c>
    </row>
    <row r="816" spans="1:37" ht="15" hidden="1" customHeight="1">
      <c r="A816" s="30">
        <v>455</v>
      </c>
      <c r="B816" s="110">
        <v>45073</v>
      </c>
      <c r="C816" s="28">
        <f>B816</f>
        <v>45073</v>
      </c>
      <c r="D816" s="8" t="s">
        <v>37</v>
      </c>
      <c r="E816" s="8" t="s">
        <v>64</v>
      </c>
      <c r="F816" s="5" t="str">
        <f>E816</f>
        <v>Nizar Zulkarnain</v>
      </c>
      <c r="G816" s="19" t="s">
        <v>65</v>
      </c>
      <c r="H816" s="105"/>
      <c r="I816" s="95">
        <v>0</v>
      </c>
      <c r="J816" s="95">
        <v>0</v>
      </c>
      <c r="K816" s="95">
        <v>0</v>
      </c>
      <c r="L816" s="95">
        <v>0</v>
      </c>
      <c r="M816" s="95">
        <v>0</v>
      </c>
      <c r="N816" s="95">
        <v>0</v>
      </c>
      <c r="O816" s="95">
        <v>0</v>
      </c>
      <c r="P816" s="95">
        <v>0</v>
      </c>
      <c r="Q816" s="95">
        <v>0</v>
      </c>
      <c r="R816" s="95">
        <v>0</v>
      </c>
      <c r="S816" s="95">
        <v>0</v>
      </c>
      <c r="T816" s="95">
        <v>0</v>
      </c>
      <c r="U816" s="95">
        <v>0</v>
      </c>
      <c r="V816" s="95">
        <v>0</v>
      </c>
      <c r="W816" s="95">
        <v>0</v>
      </c>
      <c r="X816" s="95">
        <v>0</v>
      </c>
      <c r="Y816" s="95">
        <v>0</v>
      </c>
      <c r="Z816" s="95"/>
      <c r="AA816" s="8"/>
      <c r="AB816" s="8"/>
      <c r="AC816" s="8" t="s">
        <v>1823</v>
      </c>
      <c r="AD816" s="15"/>
      <c r="AE816" s="16"/>
      <c r="AF816" s="8"/>
      <c r="AG816" t="str">
        <f>VLOOKUP(OfficeForms.Table[[#This Row],[Nama Proyek]],'Nama Proyek'!$D$2:$G$29,4,0)</f>
        <v>-6.35008011,107.02324233</v>
      </c>
      <c r="AH816" s="5"/>
      <c r="AI816" s="5"/>
      <c r="AJ816" s="5"/>
      <c r="AK816" s="5" t="s">
        <v>1824</v>
      </c>
    </row>
    <row r="817" spans="1:37" ht="15" hidden="1" customHeight="1">
      <c r="A817">
        <v>834</v>
      </c>
      <c r="B817" s="111">
        <v>45073</v>
      </c>
      <c r="C817" s="29">
        <f>B817</f>
        <v>45073</v>
      </c>
      <c r="D817" s="9" t="s">
        <v>37</v>
      </c>
      <c r="E817" s="9" t="s">
        <v>734</v>
      </c>
      <c r="F817" s="5" t="str">
        <f>E817</f>
        <v>Aldian Winata</v>
      </c>
      <c r="G817" s="17" t="s">
        <v>735</v>
      </c>
      <c r="H817" s="103"/>
      <c r="I817" s="94">
        <v>0</v>
      </c>
      <c r="J817" s="94">
        <v>0</v>
      </c>
      <c r="K817" s="94">
        <v>0</v>
      </c>
      <c r="L817" s="94">
        <v>0</v>
      </c>
      <c r="M817" s="94">
        <v>0</v>
      </c>
      <c r="N817" s="94">
        <v>0</v>
      </c>
      <c r="O817" s="94">
        <v>0</v>
      </c>
      <c r="P817" s="94">
        <v>0</v>
      </c>
      <c r="Q817" s="94">
        <v>0</v>
      </c>
      <c r="R817" s="94">
        <v>0</v>
      </c>
      <c r="S817" s="94">
        <v>0</v>
      </c>
      <c r="T817" s="94">
        <v>0</v>
      </c>
      <c r="U817" s="94">
        <v>0</v>
      </c>
      <c r="V817" s="94">
        <v>0</v>
      </c>
      <c r="W817" s="94">
        <v>0</v>
      </c>
      <c r="X817" s="94">
        <v>0</v>
      </c>
      <c r="Y817" s="94">
        <v>0</v>
      </c>
      <c r="Z817" s="94"/>
      <c r="AA817" s="9" t="s">
        <v>1825</v>
      </c>
      <c r="AB817" s="9" t="s">
        <v>1826</v>
      </c>
      <c r="AC817" s="9" t="s">
        <v>1810</v>
      </c>
      <c r="AD817" s="9" t="s">
        <v>1811</v>
      </c>
      <c r="AE817" s="12"/>
      <c r="AF817" s="42"/>
      <c r="AG817" t="str">
        <f>VLOOKUP(OfficeForms.Table[[#This Row],[Nama Proyek]],'Nama Proyek'!$D$2:$G$40,4,0)</f>
        <v>-0.88562397,119.85928375</v>
      </c>
      <c r="AH817" s="5"/>
      <c r="AI817" s="5"/>
      <c r="AJ817" s="5"/>
      <c r="AK817" s="5" t="s">
        <v>1827</v>
      </c>
    </row>
    <row r="818" spans="1:37" ht="15" hidden="1" customHeight="1">
      <c r="A818" s="50">
        <v>463</v>
      </c>
      <c r="B818" s="110">
        <v>45074</v>
      </c>
      <c r="C818" s="28">
        <f>B818</f>
        <v>45074</v>
      </c>
      <c r="D818" s="19" t="s">
        <v>37</v>
      </c>
      <c r="E818" s="19" t="s">
        <v>75</v>
      </c>
      <c r="F818" s="5" t="str">
        <f>E818</f>
        <v>Banyu Purwita</v>
      </c>
      <c r="G818" s="34" t="s">
        <v>76</v>
      </c>
      <c r="H818" s="101">
        <v>45071</v>
      </c>
      <c r="I818" s="96">
        <v>50.783000000000001</v>
      </c>
      <c r="J818" s="96">
        <v>54.475000000000001</v>
      </c>
      <c r="K818" s="96">
        <v>0</v>
      </c>
      <c r="L818" s="96">
        <v>0</v>
      </c>
      <c r="M818" s="96">
        <v>3.3650000000000002</v>
      </c>
      <c r="N818" s="96">
        <v>0</v>
      </c>
      <c r="O818" s="96">
        <v>12.15</v>
      </c>
      <c r="P818" s="96">
        <v>0</v>
      </c>
      <c r="Q818" s="96">
        <v>5.0119999999999996</v>
      </c>
      <c r="R818" s="96">
        <v>0</v>
      </c>
      <c r="S818" s="96">
        <v>28.300999999999998</v>
      </c>
      <c r="T818" s="96">
        <v>0</v>
      </c>
      <c r="U818" s="96">
        <v>6.3E-2</v>
      </c>
      <c r="V818" s="96">
        <v>0</v>
      </c>
      <c r="W818" s="96">
        <v>0</v>
      </c>
      <c r="X818" s="96">
        <v>0</v>
      </c>
      <c r="Y818" s="96">
        <v>0</v>
      </c>
      <c r="Z818" s="96"/>
      <c r="AA818" s="19"/>
      <c r="AB818" s="19"/>
      <c r="AC818" s="19"/>
      <c r="AD818" s="19"/>
      <c r="AE818" s="24"/>
      <c r="AF818" s="26" t="s">
        <v>1828</v>
      </c>
      <c r="AG818" t="str">
        <f>VLOOKUP(OfficeForms.Table[[#This Row],[Nama Proyek]],'Nama Proyek'!$D$2:$G$29,4,0)</f>
        <v>-2.95293103,104.75455094</v>
      </c>
      <c r="AH818" s="5"/>
      <c r="AI818" s="5"/>
      <c r="AJ818" s="5"/>
      <c r="AK818" s="5" t="s">
        <v>1829</v>
      </c>
    </row>
    <row r="819" spans="1:37" ht="15" hidden="1" customHeight="1">
      <c r="A819" s="30">
        <v>841</v>
      </c>
      <c r="B819" s="110">
        <v>45074</v>
      </c>
      <c r="C819" s="28">
        <f>B819</f>
        <v>45074</v>
      </c>
      <c r="D819" s="8" t="s">
        <v>37</v>
      </c>
      <c r="E819" s="8" t="s">
        <v>1830</v>
      </c>
      <c r="F819" s="5" t="str">
        <f>E819</f>
        <v>NENES ANGGI PUSPADI</v>
      </c>
      <c r="G819" s="39" t="s">
        <v>924</v>
      </c>
      <c r="H819" s="102">
        <v>45074</v>
      </c>
      <c r="I819" s="95">
        <v>45.06</v>
      </c>
      <c r="J819" s="95">
        <v>36.97</v>
      </c>
      <c r="K819" s="95">
        <v>4.25</v>
      </c>
      <c r="L819" s="95">
        <v>21.24</v>
      </c>
      <c r="M819" s="95">
        <v>0</v>
      </c>
      <c r="N819" s="95">
        <v>6.38</v>
      </c>
      <c r="O819" s="95">
        <v>7.85</v>
      </c>
      <c r="P819" s="95">
        <v>2.58</v>
      </c>
      <c r="Q819" s="95">
        <v>0</v>
      </c>
      <c r="R819" s="95">
        <v>0.46</v>
      </c>
      <c r="S819" s="95">
        <v>0</v>
      </c>
      <c r="T819" s="95">
        <v>0</v>
      </c>
      <c r="U819" s="95">
        <v>0</v>
      </c>
      <c r="V819" s="95">
        <v>0</v>
      </c>
      <c r="W819" s="95">
        <v>0</v>
      </c>
      <c r="X819" s="95">
        <v>0</v>
      </c>
      <c r="Y819" s="95">
        <v>0</v>
      </c>
      <c r="Z819" s="95"/>
      <c r="AA819" s="8"/>
      <c r="AB819" s="8"/>
      <c r="AC819" s="8"/>
      <c r="AD819" s="8"/>
      <c r="AE819" s="16"/>
      <c r="AF819" s="40" t="s">
        <v>1831</v>
      </c>
      <c r="AG819" t="str">
        <f>VLOOKUP(OfficeForms.Table[[#This Row],[Nama Proyek]],'Nama Proyek'!$D$2:$G$40,4,0)</f>
        <v>-3.25078511,134.87791156</v>
      </c>
      <c r="AH819" s="5"/>
      <c r="AI819" s="5"/>
      <c r="AJ819" s="5"/>
      <c r="AK819" s="5" t="s">
        <v>1832</v>
      </c>
    </row>
    <row r="820" spans="1:37" ht="15" hidden="1" customHeight="1">
      <c r="A820">
        <v>842</v>
      </c>
      <c r="B820" s="111">
        <v>45074</v>
      </c>
      <c r="C820" s="29">
        <f>B820</f>
        <v>45074</v>
      </c>
      <c r="D820" s="9" t="s">
        <v>37</v>
      </c>
      <c r="E820" s="9" t="s">
        <v>1830</v>
      </c>
      <c r="F820" s="5" t="str">
        <f>E820</f>
        <v>NENES ANGGI PUSPADI</v>
      </c>
      <c r="G820" s="39" t="s">
        <v>924</v>
      </c>
      <c r="H820" s="103"/>
      <c r="I820" s="94">
        <v>0</v>
      </c>
      <c r="J820" s="94">
        <v>0</v>
      </c>
      <c r="K820" s="94">
        <v>0</v>
      </c>
      <c r="L820" s="94">
        <v>0</v>
      </c>
      <c r="M820" s="94">
        <v>0</v>
      </c>
      <c r="N820" s="94">
        <v>0</v>
      </c>
      <c r="O820" s="94">
        <v>0</v>
      </c>
      <c r="P820" s="94">
        <v>0</v>
      </c>
      <c r="Q820" s="94">
        <v>0</v>
      </c>
      <c r="R820" s="94">
        <v>0</v>
      </c>
      <c r="S820" s="94">
        <v>0</v>
      </c>
      <c r="T820" s="94">
        <v>0</v>
      </c>
      <c r="U820" s="94">
        <v>0</v>
      </c>
      <c r="V820" s="94">
        <v>0</v>
      </c>
      <c r="W820" s="94">
        <v>0</v>
      </c>
      <c r="X820" s="94">
        <v>0</v>
      </c>
      <c r="Y820" s="94">
        <v>0</v>
      </c>
      <c r="Z820" s="94"/>
      <c r="AA820" s="9"/>
      <c r="AB820" s="9"/>
      <c r="AC820" s="9"/>
      <c r="AD820" s="9"/>
      <c r="AE820" s="12" t="s">
        <v>1833</v>
      </c>
      <c r="AF820" s="41" t="s">
        <v>1834</v>
      </c>
      <c r="AG820" t="str">
        <f>VLOOKUP(OfficeForms.Table[[#This Row],[Nama Proyek]],'Nama Proyek'!$D$2:$G$40,4,0)</f>
        <v>-3.25078511,134.87791156</v>
      </c>
      <c r="AH820" s="5"/>
      <c r="AI820" s="5"/>
      <c r="AJ820" s="5"/>
      <c r="AK820" s="5" t="s">
        <v>1835</v>
      </c>
    </row>
    <row r="821" spans="1:37" ht="15" hidden="1" customHeight="1">
      <c r="A821" s="50">
        <v>843</v>
      </c>
      <c r="B821" s="110">
        <v>45074</v>
      </c>
      <c r="C821" s="28">
        <f>B821</f>
        <v>45074</v>
      </c>
      <c r="D821" s="8" t="s">
        <v>37</v>
      </c>
      <c r="E821" s="8" t="s">
        <v>1830</v>
      </c>
      <c r="F821" s="5" t="str">
        <f>E821</f>
        <v>NENES ANGGI PUSPADI</v>
      </c>
      <c r="G821" s="39" t="s">
        <v>924</v>
      </c>
      <c r="H821" s="105"/>
      <c r="I821" s="95">
        <v>0</v>
      </c>
      <c r="J821" s="95">
        <v>0</v>
      </c>
      <c r="K821" s="95">
        <v>0</v>
      </c>
      <c r="L821" s="95">
        <v>0</v>
      </c>
      <c r="M821" s="95">
        <v>0</v>
      </c>
      <c r="N821" s="95">
        <v>0</v>
      </c>
      <c r="O821" s="95">
        <v>0</v>
      </c>
      <c r="P821" s="95">
        <v>0</v>
      </c>
      <c r="Q821" s="95">
        <v>0</v>
      </c>
      <c r="R821" s="95">
        <v>0</v>
      </c>
      <c r="S821" s="95">
        <v>0</v>
      </c>
      <c r="T821" s="95">
        <v>0</v>
      </c>
      <c r="U821" s="95">
        <v>0</v>
      </c>
      <c r="V821" s="95">
        <v>0</v>
      </c>
      <c r="W821" s="95">
        <v>0</v>
      </c>
      <c r="X821" s="95">
        <v>0</v>
      </c>
      <c r="Y821" s="95">
        <v>0</v>
      </c>
      <c r="Z821" s="95"/>
      <c r="AA821" s="8"/>
      <c r="AB821" s="8"/>
      <c r="AC821" s="8"/>
      <c r="AD821" s="8"/>
      <c r="AE821" s="11" t="s">
        <v>1833</v>
      </c>
      <c r="AF821" s="40" t="s">
        <v>1836</v>
      </c>
      <c r="AG821" t="str">
        <f>VLOOKUP(OfficeForms.Table[[#This Row],[Nama Proyek]],'Nama Proyek'!$D$2:$G$40,4,0)</f>
        <v>-3.25078511,134.87791156</v>
      </c>
      <c r="AH821" s="5"/>
      <c r="AI821" s="5"/>
      <c r="AJ821" s="5"/>
      <c r="AK821" s="5" t="s">
        <v>1837</v>
      </c>
    </row>
    <row r="822" spans="1:37" ht="15" hidden="1" customHeight="1">
      <c r="A822" s="31">
        <v>844</v>
      </c>
      <c r="B822" s="111">
        <v>45074</v>
      </c>
      <c r="C822" s="29">
        <f>B822</f>
        <v>45074</v>
      </c>
      <c r="D822" s="9" t="s">
        <v>37</v>
      </c>
      <c r="E822" s="9" t="s">
        <v>1830</v>
      </c>
      <c r="F822" s="5" t="str">
        <f>E822</f>
        <v>NENES ANGGI PUSPADI</v>
      </c>
      <c r="G822" s="23" t="s">
        <v>924</v>
      </c>
      <c r="H822" s="104"/>
      <c r="I822" s="94">
        <v>0</v>
      </c>
      <c r="J822" s="94">
        <v>0</v>
      </c>
      <c r="K822" s="94">
        <v>0</v>
      </c>
      <c r="L822" s="94">
        <v>0</v>
      </c>
      <c r="M822" s="94">
        <v>0</v>
      </c>
      <c r="N822" s="94">
        <v>0</v>
      </c>
      <c r="O822" s="94">
        <v>0</v>
      </c>
      <c r="P822" s="94">
        <v>0</v>
      </c>
      <c r="Q822" s="94">
        <v>0</v>
      </c>
      <c r="R822" s="94">
        <v>0</v>
      </c>
      <c r="S822" s="94">
        <v>0</v>
      </c>
      <c r="T822" s="94">
        <v>0</v>
      </c>
      <c r="U822" s="94">
        <v>0</v>
      </c>
      <c r="V822" s="94">
        <v>0</v>
      </c>
      <c r="W822" s="94">
        <v>0</v>
      </c>
      <c r="X822" s="94">
        <v>0</v>
      </c>
      <c r="Y822" s="94">
        <v>0</v>
      </c>
      <c r="Z822" s="94"/>
      <c r="AA822" s="9"/>
      <c r="AB822" s="9"/>
      <c r="AC822" s="9"/>
      <c r="AD822" s="9"/>
      <c r="AE822" s="12" t="s">
        <v>1833</v>
      </c>
      <c r="AF822" s="8"/>
      <c r="AG822" t="str">
        <f>VLOOKUP(OfficeForms.Table[[#This Row],[Nama Proyek]],'Nama Proyek'!$D$2:$G$40,4,0)</f>
        <v>-3.25078511,134.87791156</v>
      </c>
      <c r="AH822" s="5"/>
      <c r="AI822" s="5"/>
      <c r="AJ822" s="5"/>
      <c r="AK822" s="5" t="s">
        <v>1838</v>
      </c>
    </row>
    <row r="823" spans="1:37" ht="15" hidden="1" customHeight="1">
      <c r="A823" s="31">
        <v>845</v>
      </c>
      <c r="B823" s="110">
        <v>45074</v>
      </c>
      <c r="C823" s="28">
        <f>B823</f>
        <v>45074</v>
      </c>
      <c r="D823" s="8" t="s">
        <v>37</v>
      </c>
      <c r="E823" s="8" t="s">
        <v>1830</v>
      </c>
      <c r="F823" s="5" t="str">
        <f>E823</f>
        <v>NENES ANGGI PUSPADI</v>
      </c>
      <c r="G823" s="23" t="s">
        <v>924</v>
      </c>
      <c r="H823" s="102"/>
      <c r="I823" s="95">
        <v>0</v>
      </c>
      <c r="J823" s="95">
        <v>0</v>
      </c>
      <c r="K823" s="95">
        <v>0</v>
      </c>
      <c r="L823" s="95">
        <v>0</v>
      </c>
      <c r="M823" s="95">
        <v>0</v>
      </c>
      <c r="N823" s="95">
        <v>0</v>
      </c>
      <c r="O823" s="95">
        <v>0</v>
      </c>
      <c r="P823" s="95">
        <v>0</v>
      </c>
      <c r="Q823" s="95">
        <v>0</v>
      </c>
      <c r="R823" s="95">
        <v>0</v>
      </c>
      <c r="S823" s="95">
        <v>0</v>
      </c>
      <c r="T823" s="95">
        <v>0</v>
      </c>
      <c r="U823" s="95">
        <v>0</v>
      </c>
      <c r="V823" s="95">
        <v>0</v>
      </c>
      <c r="W823" s="95">
        <v>0</v>
      </c>
      <c r="X823" s="95">
        <v>0</v>
      </c>
      <c r="Y823" s="95">
        <v>0</v>
      </c>
      <c r="Z823" s="95"/>
      <c r="AA823" s="8" t="s">
        <v>1839</v>
      </c>
      <c r="AB823" s="41" t="s">
        <v>1840</v>
      </c>
      <c r="AC823" s="8"/>
      <c r="AD823" s="8"/>
      <c r="AE823" s="11"/>
      <c r="AF823" s="17"/>
      <c r="AG823" t="str">
        <f>VLOOKUP(OfficeForms.Table[[#This Row],[Nama Proyek]],'Nama Proyek'!$D$2:$G$40,4,0)</f>
        <v>-3.25078511,134.87791156</v>
      </c>
      <c r="AH823" s="5"/>
      <c r="AI823" s="5"/>
      <c r="AJ823" s="5"/>
      <c r="AK823" s="5" t="s">
        <v>1841</v>
      </c>
    </row>
    <row r="824" spans="1:37" ht="15" hidden="1" customHeight="1">
      <c r="A824" s="31">
        <v>872</v>
      </c>
      <c r="B824" s="111">
        <v>45074</v>
      </c>
      <c r="C824" s="29">
        <f>B824</f>
        <v>45074</v>
      </c>
      <c r="D824" s="9" t="s">
        <v>37</v>
      </c>
      <c r="E824" s="9" t="s">
        <v>75</v>
      </c>
      <c r="F824" s="5" t="str">
        <f>E824</f>
        <v>Banyu Purwita</v>
      </c>
      <c r="G824" s="37" t="s">
        <v>76</v>
      </c>
      <c r="H824" s="103"/>
      <c r="I824" s="94">
        <v>0</v>
      </c>
      <c r="J824" s="94">
        <v>0</v>
      </c>
      <c r="K824" s="94">
        <v>0</v>
      </c>
      <c r="L824" s="94">
        <v>0</v>
      </c>
      <c r="M824" s="94">
        <v>0</v>
      </c>
      <c r="N824" s="94">
        <v>0</v>
      </c>
      <c r="O824" s="94">
        <v>0</v>
      </c>
      <c r="P824" s="94">
        <v>0</v>
      </c>
      <c r="Q824" s="94">
        <v>0</v>
      </c>
      <c r="R824" s="94">
        <v>0</v>
      </c>
      <c r="S824" s="94">
        <v>0</v>
      </c>
      <c r="T824" s="94">
        <v>0</v>
      </c>
      <c r="U824" s="94">
        <v>0</v>
      </c>
      <c r="V824" s="94">
        <v>0</v>
      </c>
      <c r="W824" s="94">
        <v>0</v>
      </c>
      <c r="X824" s="94">
        <v>0</v>
      </c>
      <c r="Y824" s="94">
        <v>0</v>
      </c>
      <c r="Z824" s="94"/>
      <c r="AA824" s="9"/>
      <c r="AB824" s="9"/>
      <c r="AC824" s="9"/>
      <c r="AD824" s="17"/>
      <c r="AE824" s="18" t="s">
        <v>1816</v>
      </c>
      <c r="AF824" s="15"/>
      <c r="AG824" t="str">
        <f>VLOOKUP(OfficeForms.Table[[#This Row],[Nama Proyek]],'Nama Proyek'!$D$2:$G$29,4,0)</f>
        <v>-2.95293103,104.75455094</v>
      </c>
      <c r="AH824" s="5"/>
      <c r="AI824" s="5"/>
      <c r="AJ824" s="5"/>
      <c r="AK824" s="5" t="s">
        <v>1842</v>
      </c>
    </row>
    <row r="825" spans="1:37" ht="15" hidden="1" customHeight="1">
      <c r="A825">
        <v>873</v>
      </c>
      <c r="B825" s="110">
        <v>45074</v>
      </c>
      <c r="C825" s="28">
        <f>B825</f>
        <v>45074</v>
      </c>
      <c r="D825" s="8" t="s">
        <v>37</v>
      </c>
      <c r="E825" s="8" t="s">
        <v>75</v>
      </c>
      <c r="F825" s="5" t="str">
        <f>E825</f>
        <v>Banyu Purwita</v>
      </c>
      <c r="G825" s="55" t="s">
        <v>76</v>
      </c>
      <c r="H825" s="102"/>
      <c r="I825" s="95">
        <v>0</v>
      </c>
      <c r="J825" s="95">
        <v>0</v>
      </c>
      <c r="K825" s="95">
        <v>0</v>
      </c>
      <c r="L825" s="95">
        <v>0</v>
      </c>
      <c r="M825" s="95">
        <v>0</v>
      </c>
      <c r="N825" s="95">
        <v>0</v>
      </c>
      <c r="O825" s="95">
        <v>0</v>
      </c>
      <c r="P825" s="95">
        <v>0</v>
      </c>
      <c r="Q825" s="95">
        <v>0</v>
      </c>
      <c r="R825" s="95">
        <v>0</v>
      </c>
      <c r="S825" s="95">
        <v>0</v>
      </c>
      <c r="T825" s="95">
        <v>0</v>
      </c>
      <c r="U825" s="95">
        <v>0</v>
      </c>
      <c r="V825" s="95">
        <v>0</v>
      </c>
      <c r="W825" s="95">
        <v>0</v>
      </c>
      <c r="X825" s="95">
        <v>0</v>
      </c>
      <c r="Y825" s="95">
        <v>0</v>
      </c>
      <c r="Z825" s="95"/>
      <c r="AA825" s="8" t="s">
        <v>1843</v>
      </c>
      <c r="AB825" s="8" t="s">
        <v>1844</v>
      </c>
      <c r="AC825" s="8" t="s">
        <v>1845</v>
      </c>
      <c r="AD825" s="8" t="s">
        <v>1845</v>
      </c>
      <c r="AE825" s="16"/>
      <c r="AF825" s="9"/>
      <c r="AG825" t="str">
        <f>VLOOKUP(OfficeForms.Table[[#This Row],[Nama Proyek]],'Nama Proyek'!$D$2:$G$29,4,0)</f>
        <v>-2.95293103,104.75455094</v>
      </c>
      <c r="AH825" s="5"/>
      <c r="AI825" s="5"/>
      <c r="AJ825" s="5"/>
      <c r="AK825" s="5" t="s">
        <v>1846</v>
      </c>
    </row>
    <row r="826" spans="1:37" ht="15" hidden="1" customHeight="1">
      <c r="A826" s="50">
        <v>889</v>
      </c>
      <c r="B826" s="110">
        <v>45074</v>
      </c>
      <c r="C826" s="28">
        <f>B826</f>
        <v>45074</v>
      </c>
      <c r="D826" s="19" t="s">
        <v>37</v>
      </c>
      <c r="E826" s="19" t="s">
        <v>75</v>
      </c>
      <c r="F826" s="5" t="str">
        <f>E826</f>
        <v>Banyu Purwita</v>
      </c>
      <c r="G826" s="55" t="s">
        <v>76</v>
      </c>
      <c r="H826" s="106"/>
      <c r="I826" s="96">
        <v>0</v>
      </c>
      <c r="J826" s="96">
        <v>0</v>
      </c>
      <c r="K826" s="96">
        <v>0</v>
      </c>
      <c r="L826" s="96">
        <v>0</v>
      </c>
      <c r="M826" s="96">
        <v>0</v>
      </c>
      <c r="N826" s="96">
        <v>0</v>
      </c>
      <c r="O826" s="96">
        <v>0</v>
      </c>
      <c r="P826" s="96">
        <v>0</v>
      </c>
      <c r="Q826" s="96">
        <v>0</v>
      </c>
      <c r="R826" s="96">
        <v>0</v>
      </c>
      <c r="S826" s="96">
        <v>0</v>
      </c>
      <c r="T826" s="96">
        <v>0</v>
      </c>
      <c r="U826" s="96">
        <v>0</v>
      </c>
      <c r="V826" s="96">
        <v>0</v>
      </c>
      <c r="W826" s="96">
        <v>0</v>
      </c>
      <c r="X826" s="96">
        <v>0</v>
      </c>
      <c r="Y826" s="96">
        <v>0</v>
      </c>
      <c r="Z826" s="96"/>
      <c r="AA826" s="19" t="s">
        <v>1847</v>
      </c>
      <c r="AB826" s="19" t="s">
        <v>1848</v>
      </c>
      <c r="AC826" s="19" t="s">
        <v>1849</v>
      </c>
      <c r="AD826" s="19" t="s">
        <v>1849</v>
      </c>
      <c r="AE826" s="13"/>
      <c r="AF826" s="9" t="s">
        <v>1850</v>
      </c>
      <c r="AG826" t="str">
        <f>VLOOKUP(OfficeForms.Table[[#This Row],[Nama Proyek]],'Nama Proyek'!$D$2:$G$29,4,0)</f>
        <v>-2.95293103,104.75455094</v>
      </c>
      <c r="AH826" s="5"/>
      <c r="AI826" s="5"/>
      <c r="AJ826" s="5"/>
      <c r="AK826" s="5" t="s">
        <v>1851</v>
      </c>
    </row>
    <row r="827" spans="1:37" ht="15" hidden="1" customHeight="1">
      <c r="A827" s="31">
        <v>242</v>
      </c>
      <c r="B827" s="111">
        <v>45075</v>
      </c>
      <c r="C827" s="29">
        <f>B827</f>
        <v>45075</v>
      </c>
      <c r="D827" s="8" t="s">
        <v>37</v>
      </c>
      <c r="E827" s="8" t="s">
        <v>136</v>
      </c>
      <c r="F827" s="5" t="str">
        <f>E827</f>
        <v>Utomo Aryowibowo</v>
      </c>
      <c r="G827" s="8" t="s">
        <v>52</v>
      </c>
      <c r="H827" s="105">
        <v>45071</v>
      </c>
      <c r="I827" s="95">
        <v>99.097999999999999</v>
      </c>
      <c r="J827" s="95">
        <v>100</v>
      </c>
      <c r="K827" s="95">
        <v>0</v>
      </c>
      <c r="L827" s="95">
        <v>3.3000000000000002E-2</v>
      </c>
      <c r="M827" s="95">
        <v>0.16800000000000001</v>
      </c>
      <c r="N827" s="95">
        <v>0.4</v>
      </c>
      <c r="O827" s="95">
        <v>0</v>
      </c>
      <c r="P827" s="95">
        <v>0</v>
      </c>
      <c r="Q827" s="95">
        <v>0.10199999999999999</v>
      </c>
      <c r="R827" s="95">
        <v>4.2160000000000002</v>
      </c>
      <c r="S827" s="95">
        <v>91.218999999999994</v>
      </c>
      <c r="T827" s="95">
        <v>0</v>
      </c>
      <c r="U827" s="95">
        <v>0.46400000000000002</v>
      </c>
      <c r="V827" s="95">
        <v>0.92600000000000005</v>
      </c>
      <c r="W827" s="95">
        <v>0.25</v>
      </c>
      <c r="X827" s="95">
        <v>0.53200000000000003</v>
      </c>
      <c r="Y827" s="95">
        <v>1.2999999999999999E-2</v>
      </c>
      <c r="Z827" s="95"/>
      <c r="AA827" s="8"/>
      <c r="AB827" s="8"/>
      <c r="AC827" s="8"/>
      <c r="AD827" s="8"/>
      <c r="AE827" s="11"/>
      <c r="AF827" s="19"/>
      <c r="AG827" t="str">
        <f>VLOOKUP(OfficeForms.Table[[#This Row],[Nama Proyek]],'Nama Proyek'!$D$2:$G$29,4,0)</f>
        <v>-6.13491053,106.93675986</v>
      </c>
      <c r="AH827" s="5"/>
      <c r="AI827" s="5"/>
      <c r="AJ827" s="5"/>
      <c r="AK827" s="5" t="s">
        <v>1852</v>
      </c>
    </row>
    <row r="828" spans="1:37" ht="15" hidden="1" customHeight="1">
      <c r="A828" s="31">
        <v>847</v>
      </c>
      <c r="B828" s="110">
        <v>45075</v>
      </c>
      <c r="C828" s="28">
        <f>B828</f>
        <v>45075</v>
      </c>
      <c r="D828" s="8" t="s">
        <v>37</v>
      </c>
      <c r="E828" s="8" t="s">
        <v>82</v>
      </c>
      <c r="F828" s="5" t="str">
        <f>E828</f>
        <v>Ajik Prastiyo</v>
      </c>
      <c r="G828" s="35" t="s">
        <v>80</v>
      </c>
      <c r="H828" s="105">
        <v>45074</v>
      </c>
      <c r="I828" s="95">
        <v>100</v>
      </c>
      <c r="J828" s="95">
        <v>100</v>
      </c>
      <c r="K828" s="95">
        <v>0.41555851999999999</v>
      </c>
      <c r="L828" s="95">
        <v>0.15224652</v>
      </c>
      <c r="M828" s="95">
        <v>33.008974960000003</v>
      </c>
      <c r="N828" s="95">
        <v>0.45131623999999998</v>
      </c>
      <c r="O828" s="95">
        <v>3.8651644300000001</v>
      </c>
      <c r="P828" s="95">
        <v>0.24801670000000001</v>
      </c>
      <c r="Q828" s="95">
        <v>0.12529166</v>
      </c>
      <c r="R828" s="95">
        <v>17.388619070000001</v>
      </c>
      <c r="S828" s="95">
        <v>29.34943225</v>
      </c>
      <c r="T828" s="95">
        <v>0</v>
      </c>
      <c r="U828" s="95">
        <v>9.8340271799999996</v>
      </c>
      <c r="V828" s="95">
        <v>3.3883705599999998</v>
      </c>
      <c r="W828" s="95">
        <v>0.36942989999999998</v>
      </c>
      <c r="X828" s="95">
        <v>0.30271640999999999</v>
      </c>
      <c r="Y828" s="95">
        <v>0.62239856999999998</v>
      </c>
      <c r="Z828" s="95"/>
      <c r="AA828" s="8"/>
      <c r="AB828" s="8"/>
      <c r="AC828" s="8"/>
      <c r="AD828" s="8"/>
      <c r="AE828" s="11"/>
      <c r="AF828" s="8"/>
      <c r="AG828" t="str">
        <f>VLOOKUP(OfficeForms.Table[[#This Row],[Nama Proyek]],'Nama Proyek'!$D$2:$G$29,4,0)</f>
        <v>-7.82225167,113.29968319</v>
      </c>
      <c r="AH828" s="5"/>
      <c r="AI828" s="5"/>
      <c r="AJ828" s="5"/>
      <c r="AK828" s="5" t="s">
        <v>1853</v>
      </c>
    </row>
    <row r="829" spans="1:37" ht="15" hidden="1" customHeight="1">
      <c r="A829" s="31">
        <v>119</v>
      </c>
      <c r="B829" s="110">
        <v>45075</v>
      </c>
      <c r="C829" s="28">
        <f>B829</f>
        <v>45075</v>
      </c>
      <c r="D829" s="8" t="s">
        <v>37</v>
      </c>
      <c r="E829" s="8" t="s">
        <v>504</v>
      </c>
      <c r="F829" s="5" t="str">
        <f>E829</f>
        <v>Fathan Zul Waskito</v>
      </c>
      <c r="G829" s="42" t="s">
        <v>472</v>
      </c>
      <c r="H829" s="102">
        <v>45075</v>
      </c>
      <c r="I829" s="95">
        <v>51.125999999999998</v>
      </c>
      <c r="J829" s="95">
        <v>46.683</v>
      </c>
      <c r="K829" s="95">
        <v>1.23</v>
      </c>
      <c r="L829" s="95">
        <v>1.7000000000000001E-2</v>
      </c>
      <c r="M829" s="95">
        <v>41.698999999999998</v>
      </c>
      <c r="N829" s="95">
        <v>6.0000000000000001E-3</v>
      </c>
      <c r="O829" s="95">
        <v>3.0819999999999999</v>
      </c>
      <c r="P829" s="95">
        <v>5.0999999999999997E-2</v>
      </c>
      <c r="Q829" s="95">
        <v>0.249</v>
      </c>
      <c r="R829" s="95">
        <v>0</v>
      </c>
      <c r="S829" s="95">
        <v>3.4969999999999999</v>
      </c>
      <c r="T829" s="95">
        <v>0</v>
      </c>
      <c r="U829" s="95">
        <v>0</v>
      </c>
      <c r="V829" s="95">
        <v>0</v>
      </c>
      <c r="W829" s="95">
        <v>0</v>
      </c>
      <c r="X829" s="95">
        <v>0</v>
      </c>
      <c r="Y829" s="95">
        <v>0</v>
      </c>
      <c r="Z829" s="95"/>
      <c r="AA829" s="8"/>
      <c r="AB829" s="8"/>
      <c r="AC829" s="8"/>
      <c r="AD829" s="8"/>
      <c r="AE829" s="11"/>
      <c r="AF829" s="17" t="s">
        <v>1854</v>
      </c>
      <c r="AG829" t="str">
        <f>VLOOKUP(OfficeForms.Table[[#This Row],[Nama Proyek]],'Nama Proyek'!$D$2:$G$29,4,0)</f>
        <v>-8.29394978,112.00545006</v>
      </c>
      <c r="AH829" s="5"/>
      <c r="AI829" s="5"/>
      <c r="AJ829" s="5"/>
      <c r="AK829" s="5" t="s">
        <v>1855</v>
      </c>
    </row>
    <row r="830" spans="1:37" ht="15" hidden="1" customHeight="1">
      <c r="A830" s="50">
        <v>258</v>
      </c>
      <c r="B830" s="111">
        <v>45075</v>
      </c>
      <c r="C830" s="29">
        <f>B830</f>
        <v>45075</v>
      </c>
      <c r="D830" s="9" t="s">
        <v>37</v>
      </c>
      <c r="E830" s="9" t="s">
        <v>54</v>
      </c>
      <c r="F830" s="5" t="str">
        <f>E830</f>
        <v>Haryo Widiandoko</v>
      </c>
      <c r="G830" s="17" t="s">
        <v>55</v>
      </c>
      <c r="H830" s="103">
        <v>45075</v>
      </c>
      <c r="I830" s="94">
        <v>83.93</v>
      </c>
      <c r="J830" s="94">
        <v>84.21</v>
      </c>
      <c r="K830" s="94">
        <v>0.32300000000000001</v>
      </c>
      <c r="L830" s="94">
        <v>0.24099999999999999</v>
      </c>
      <c r="M830" s="94">
        <v>32.088000000000001</v>
      </c>
      <c r="N830" s="94">
        <v>2.0739999999999998</v>
      </c>
      <c r="O830" s="94">
        <v>2.5910000000000002</v>
      </c>
      <c r="P830" s="94">
        <v>0.05</v>
      </c>
      <c r="Q830" s="94">
        <v>0.65800000000000003</v>
      </c>
      <c r="R830" s="94">
        <v>10.654</v>
      </c>
      <c r="S830" s="94">
        <v>30.863</v>
      </c>
      <c r="T830" s="94">
        <v>0.78800000000000003</v>
      </c>
      <c r="U830" s="94">
        <v>1.879</v>
      </c>
      <c r="V830" s="94">
        <v>0.186</v>
      </c>
      <c r="W830" s="94">
        <v>0.29899999999999999</v>
      </c>
      <c r="X830" s="94">
        <v>0.81</v>
      </c>
      <c r="Y830" s="94">
        <v>0</v>
      </c>
      <c r="Z830" s="94"/>
      <c r="AA830" s="9"/>
      <c r="AB830" s="9"/>
      <c r="AC830" s="9"/>
      <c r="AD830" s="9"/>
      <c r="AE830" s="18"/>
      <c r="AF830" s="42"/>
      <c r="AG830" t="str">
        <f>VLOOKUP(OfficeForms.Table[[#This Row],[Nama Proyek]],'Nama Proyek'!$D$2:$G$29,4,0)</f>
        <v>-6.42873464,107.19897003</v>
      </c>
      <c r="AH830" s="5"/>
      <c r="AI830" s="5"/>
      <c r="AJ830" s="5"/>
      <c r="AK830" s="5" t="s">
        <v>1856</v>
      </c>
    </row>
    <row r="831" spans="1:37" ht="15" hidden="1" customHeight="1">
      <c r="A831">
        <v>545</v>
      </c>
      <c r="B831" s="110">
        <v>45075</v>
      </c>
      <c r="C831" s="28">
        <f>B831</f>
        <v>45075</v>
      </c>
      <c r="D831" s="19" t="s">
        <v>37</v>
      </c>
      <c r="E831" s="19" t="s">
        <v>136</v>
      </c>
      <c r="F831" s="5" t="str">
        <f>E831</f>
        <v>Utomo Aryowibowo</v>
      </c>
      <c r="G831" s="15" t="s">
        <v>52</v>
      </c>
      <c r="H831" s="101"/>
      <c r="I831" s="96">
        <v>0</v>
      </c>
      <c r="J831" s="96">
        <v>0</v>
      </c>
      <c r="K831" s="96">
        <v>0</v>
      </c>
      <c r="L831" s="96">
        <v>0</v>
      </c>
      <c r="M831" s="96">
        <v>0</v>
      </c>
      <c r="N831" s="96">
        <v>0</v>
      </c>
      <c r="O831" s="96">
        <v>0</v>
      </c>
      <c r="P831" s="96">
        <v>0</v>
      </c>
      <c r="Q831" s="96">
        <v>0</v>
      </c>
      <c r="R831" s="96">
        <v>0</v>
      </c>
      <c r="S831" s="96">
        <v>0</v>
      </c>
      <c r="T831" s="96">
        <v>0</v>
      </c>
      <c r="U831" s="96">
        <v>0</v>
      </c>
      <c r="V831" s="96">
        <v>0</v>
      </c>
      <c r="W831" s="96">
        <v>0</v>
      </c>
      <c r="X831" s="96">
        <v>0</v>
      </c>
      <c r="Y831" s="96">
        <v>0</v>
      </c>
      <c r="Z831" s="96"/>
      <c r="AA831" s="19"/>
      <c r="AB831" s="19"/>
      <c r="AC831" s="19"/>
      <c r="AD831" s="19"/>
      <c r="AE831" s="24">
        <v>45173</v>
      </c>
      <c r="AF831" s="8"/>
      <c r="AG831" t="str">
        <f>VLOOKUP(OfficeForms.Table[[#This Row],[Nama Proyek]],'Nama Proyek'!$D$2:$G$29,4,0)</f>
        <v>-6.13491053,106.93675986</v>
      </c>
      <c r="AH831" s="5"/>
      <c r="AI831" s="5"/>
      <c r="AJ831" s="5"/>
      <c r="AK831" s="5" t="s">
        <v>1857</v>
      </c>
    </row>
    <row r="832" spans="1:37" ht="15" hidden="1" customHeight="1">
      <c r="A832" s="31">
        <v>656</v>
      </c>
      <c r="B832" s="111">
        <v>45075</v>
      </c>
      <c r="C832" s="29">
        <f>B832</f>
        <v>45075</v>
      </c>
      <c r="D832" s="9" t="s">
        <v>37</v>
      </c>
      <c r="E832" s="9" t="s">
        <v>504</v>
      </c>
      <c r="F832" s="5" t="s">
        <v>504</v>
      </c>
      <c r="G832" s="17" t="s">
        <v>472</v>
      </c>
      <c r="H832" s="104"/>
      <c r="I832" s="94">
        <v>0</v>
      </c>
      <c r="J832" s="94">
        <v>0</v>
      </c>
      <c r="K832" s="94">
        <v>0</v>
      </c>
      <c r="L832" s="94">
        <v>0</v>
      </c>
      <c r="M832" s="94">
        <v>0</v>
      </c>
      <c r="N832" s="94">
        <v>0</v>
      </c>
      <c r="O832" s="94">
        <v>0</v>
      </c>
      <c r="P832" s="94">
        <v>0</v>
      </c>
      <c r="Q832" s="94">
        <v>0</v>
      </c>
      <c r="R832" s="94">
        <v>0</v>
      </c>
      <c r="S832" s="94">
        <v>0</v>
      </c>
      <c r="T832" s="94">
        <v>0</v>
      </c>
      <c r="U832" s="94">
        <v>0</v>
      </c>
      <c r="V832" s="94">
        <v>0</v>
      </c>
      <c r="W832" s="94">
        <v>0</v>
      </c>
      <c r="X832" s="94">
        <v>0</v>
      </c>
      <c r="Y832" s="94">
        <v>0</v>
      </c>
      <c r="Z832" s="94"/>
      <c r="AA832" s="9" t="s">
        <v>1858</v>
      </c>
      <c r="AB832" s="9" t="s">
        <v>624</v>
      </c>
      <c r="AC832" s="9" t="s">
        <v>674</v>
      </c>
      <c r="AD832" s="9" t="s">
        <v>674</v>
      </c>
      <c r="AE832" s="12"/>
      <c r="AF832" s="8"/>
      <c r="AG832" t="str">
        <f>VLOOKUP(OfficeForms.Table[[#This Row],[Nama Proyek]],'Nama Proyek'!$D$2:$G$29,4,0)</f>
        <v>-8.29394978,112.00545006</v>
      </c>
      <c r="AH832" s="5"/>
      <c r="AI832" s="5"/>
      <c r="AJ832" s="5"/>
      <c r="AK832" s="5" t="s">
        <v>1859</v>
      </c>
    </row>
    <row r="833" spans="1:37" ht="15" hidden="1" customHeight="1">
      <c r="A833" s="31">
        <v>658</v>
      </c>
      <c r="B833" s="111">
        <v>45075</v>
      </c>
      <c r="C833" s="29">
        <f>B833</f>
        <v>45075</v>
      </c>
      <c r="D833" s="8" t="s">
        <v>37</v>
      </c>
      <c r="E833" s="8" t="s">
        <v>504</v>
      </c>
      <c r="F833" s="5" t="str">
        <f>E833</f>
        <v>Fathan Zul Waskito</v>
      </c>
      <c r="G833" s="17" t="s">
        <v>472</v>
      </c>
      <c r="H833" s="102"/>
      <c r="I833" s="95">
        <v>0</v>
      </c>
      <c r="J833" s="95">
        <v>0</v>
      </c>
      <c r="K833" s="95">
        <v>0</v>
      </c>
      <c r="L833" s="95">
        <v>0</v>
      </c>
      <c r="M833" s="95">
        <v>0</v>
      </c>
      <c r="N833" s="95">
        <v>0</v>
      </c>
      <c r="O833" s="95">
        <v>0</v>
      </c>
      <c r="P833" s="95">
        <v>0</v>
      </c>
      <c r="Q833" s="95">
        <v>0</v>
      </c>
      <c r="R833" s="95">
        <v>0</v>
      </c>
      <c r="S833" s="95">
        <v>0</v>
      </c>
      <c r="T833" s="95">
        <v>0</v>
      </c>
      <c r="U833" s="95">
        <v>0</v>
      </c>
      <c r="V833" s="95">
        <v>0</v>
      </c>
      <c r="W833" s="95">
        <v>0</v>
      </c>
      <c r="X833" s="95">
        <v>0</v>
      </c>
      <c r="Y833" s="95">
        <v>0</v>
      </c>
      <c r="Z833" s="95"/>
      <c r="AA833" s="8"/>
      <c r="AB833" s="8"/>
      <c r="AC833" s="8"/>
      <c r="AD833" s="8"/>
      <c r="AE833" s="11" t="s">
        <v>1860</v>
      </c>
      <c r="AF833" s="43" t="s">
        <v>1861</v>
      </c>
      <c r="AG833" t="str">
        <f>VLOOKUP(OfficeForms.Table[[#This Row],[Nama Proyek]],'Nama Proyek'!$D$2:$G$29,4,0)</f>
        <v>-8.29394978,112.00545006</v>
      </c>
      <c r="AH833" s="5"/>
      <c r="AI833" s="5"/>
      <c r="AJ833" s="5"/>
      <c r="AK833" s="5" t="s">
        <v>1862</v>
      </c>
    </row>
    <row r="834" spans="1:37" ht="15" hidden="1" customHeight="1">
      <c r="A834" s="30">
        <v>659</v>
      </c>
      <c r="B834" s="110">
        <v>45075</v>
      </c>
      <c r="C834" s="28">
        <f>B834</f>
        <v>45075</v>
      </c>
      <c r="D834" s="19" t="s">
        <v>37</v>
      </c>
      <c r="E834" s="19" t="s">
        <v>504</v>
      </c>
      <c r="F834" s="5" t="str">
        <f>E834</f>
        <v>Fathan Zul Waskito</v>
      </c>
      <c r="G834" s="42" t="s">
        <v>472</v>
      </c>
      <c r="H834" s="101"/>
      <c r="I834" s="96">
        <v>0</v>
      </c>
      <c r="J834" s="96">
        <v>0</v>
      </c>
      <c r="K834" s="96">
        <v>0</v>
      </c>
      <c r="L834" s="96">
        <v>0</v>
      </c>
      <c r="M834" s="96">
        <v>0</v>
      </c>
      <c r="N834" s="96">
        <v>0</v>
      </c>
      <c r="O834" s="96">
        <v>0</v>
      </c>
      <c r="P834" s="96">
        <v>0</v>
      </c>
      <c r="Q834" s="96">
        <v>0</v>
      </c>
      <c r="R834" s="96">
        <v>0</v>
      </c>
      <c r="S834" s="96">
        <v>0</v>
      </c>
      <c r="T834" s="96">
        <v>0</v>
      </c>
      <c r="U834" s="96">
        <v>0</v>
      </c>
      <c r="V834" s="96">
        <v>0</v>
      </c>
      <c r="W834" s="96">
        <v>0</v>
      </c>
      <c r="X834" s="96">
        <v>0</v>
      </c>
      <c r="Y834" s="96">
        <v>0</v>
      </c>
      <c r="Z834" s="96"/>
      <c r="AA834" s="19"/>
      <c r="AB834" s="19"/>
      <c r="AC834" s="19"/>
      <c r="AD834" s="19"/>
      <c r="AE834" s="13">
        <v>44931</v>
      </c>
      <c r="AF834" s="9"/>
      <c r="AG834" t="str">
        <f>VLOOKUP(OfficeForms.Table[[#This Row],[Nama Proyek]],'Nama Proyek'!$D$2:$G$29,4,0)</f>
        <v>-8.29394978,112.00545006</v>
      </c>
      <c r="AH834" s="5"/>
      <c r="AI834" s="5"/>
      <c r="AJ834" s="5"/>
      <c r="AK834" s="5" t="s">
        <v>1863</v>
      </c>
    </row>
    <row r="835" spans="1:37" ht="15" hidden="1" customHeight="1">
      <c r="A835">
        <v>686</v>
      </c>
      <c r="B835" s="111">
        <v>45075</v>
      </c>
      <c r="C835" s="29">
        <f>B835</f>
        <v>45075</v>
      </c>
      <c r="D835" s="8" t="s">
        <v>37</v>
      </c>
      <c r="E835" s="8" t="s">
        <v>504</v>
      </c>
      <c r="F835" s="5" t="str">
        <f>E835</f>
        <v>Fathan Zul Waskito</v>
      </c>
      <c r="G835" s="17" t="s">
        <v>472</v>
      </c>
      <c r="H835" s="102"/>
      <c r="I835" s="95">
        <v>0</v>
      </c>
      <c r="J835" s="95">
        <v>0</v>
      </c>
      <c r="K835" s="95">
        <v>0</v>
      </c>
      <c r="L835" s="95">
        <v>0</v>
      </c>
      <c r="M835" s="95">
        <v>0</v>
      </c>
      <c r="N835" s="95">
        <v>0</v>
      </c>
      <c r="O835" s="95">
        <v>0</v>
      </c>
      <c r="P835" s="95">
        <v>0</v>
      </c>
      <c r="Q835" s="95">
        <v>0</v>
      </c>
      <c r="R835" s="95">
        <v>0</v>
      </c>
      <c r="S835" s="95">
        <v>0</v>
      </c>
      <c r="T835" s="95">
        <v>0</v>
      </c>
      <c r="U835" s="95">
        <v>0</v>
      </c>
      <c r="V835" s="95">
        <v>0</v>
      </c>
      <c r="W835" s="95">
        <v>0</v>
      </c>
      <c r="X835" s="95">
        <v>0</v>
      </c>
      <c r="Y835" s="95">
        <v>0</v>
      </c>
      <c r="Z835" s="95"/>
      <c r="AA835" s="8"/>
      <c r="AB835" s="8"/>
      <c r="AC835" s="8"/>
      <c r="AD835" s="8"/>
      <c r="AE835" s="11" t="s">
        <v>1864</v>
      </c>
      <c r="AF835" s="26" t="s">
        <v>1865</v>
      </c>
      <c r="AG835" t="str">
        <f>VLOOKUP(OfficeForms.Table[[#This Row],[Nama Proyek]],'Nama Proyek'!$D$2:$G$29,4,0)</f>
        <v>-8.29394978,112.00545006</v>
      </c>
      <c r="AH835" s="5"/>
      <c r="AI835" s="5"/>
      <c r="AJ835" s="5"/>
      <c r="AK835" s="5" t="s">
        <v>1866</v>
      </c>
    </row>
    <row r="836" spans="1:37" ht="15" hidden="1" customHeight="1">
      <c r="A836" s="50">
        <v>846</v>
      </c>
      <c r="B836" s="111">
        <v>45075</v>
      </c>
      <c r="C836" s="29">
        <f>B836</f>
        <v>45075</v>
      </c>
      <c r="D836" s="9" t="s">
        <v>37</v>
      </c>
      <c r="E836" s="9" t="s">
        <v>79</v>
      </c>
      <c r="F836" s="5" t="str">
        <f>E836</f>
        <v>Fajar Sodiq Febriansyah</v>
      </c>
      <c r="G836" s="36" t="s">
        <v>80</v>
      </c>
      <c r="H836" s="103"/>
      <c r="I836" s="94">
        <v>0</v>
      </c>
      <c r="J836" s="94">
        <v>0</v>
      </c>
      <c r="K836" s="94">
        <v>0</v>
      </c>
      <c r="L836" s="94">
        <v>0</v>
      </c>
      <c r="M836" s="94">
        <v>0</v>
      </c>
      <c r="N836" s="94">
        <v>0</v>
      </c>
      <c r="O836" s="94">
        <v>0</v>
      </c>
      <c r="P836" s="94">
        <v>0</v>
      </c>
      <c r="Q836" s="94">
        <v>0</v>
      </c>
      <c r="R836" s="94">
        <v>0</v>
      </c>
      <c r="S836" s="94">
        <v>0</v>
      </c>
      <c r="T836" s="94">
        <v>0</v>
      </c>
      <c r="U836" s="94">
        <v>0</v>
      </c>
      <c r="V836" s="94">
        <v>0</v>
      </c>
      <c r="W836" s="94">
        <v>0</v>
      </c>
      <c r="X836" s="94">
        <v>0</v>
      </c>
      <c r="Y836" s="94">
        <v>0</v>
      </c>
      <c r="Z836" s="94"/>
      <c r="AA836" s="9" t="s">
        <v>1867</v>
      </c>
      <c r="AB836" s="9" t="s">
        <v>1868</v>
      </c>
      <c r="AC836" s="17" t="s">
        <v>1869</v>
      </c>
      <c r="AD836" s="17" t="s">
        <v>1869</v>
      </c>
      <c r="AE836" s="18"/>
      <c r="AF836" s="15"/>
      <c r="AG836" t="str">
        <f>VLOOKUP(OfficeForms.Table[[#This Row],[Nama Proyek]],'Nama Proyek'!$D$2:$G$29,4,0)</f>
        <v>-7.82225167,113.29968319</v>
      </c>
      <c r="AH836" s="5"/>
      <c r="AI836" s="5"/>
      <c r="AJ836" s="5"/>
      <c r="AK836" s="5" t="s">
        <v>1870</v>
      </c>
    </row>
    <row r="837" spans="1:37" ht="15" hidden="1" customHeight="1">
      <c r="A837" s="31">
        <v>947</v>
      </c>
      <c r="B837" s="110">
        <v>45075</v>
      </c>
      <c r="C837" s="28">
        <f>B837</f>
        <v>45075</v>
      </c>
      <c r="D837" s="19" t="s">
        <v>37</v>
      </c>
      <c r="E837" s="19" t="s">
        <v>54</v>
      </c>
      <c r="F837" s="5" t="str">
        <f>E837</f>
        <v>Haryo Widiandoko</v>
      </c>
      <c r="G837" s="42" t="s">
        <v>55</v>
      </c>
      <c r="H837" s="106"/>
      <c r="I837" s="96">
        <v>0</v>
      </c>
      <c r="J837" s="96">
        <v>0</v>
      </c>
      <c r="K837" s="96">
        <v>0</v>
      </c>
      <c r="L837" s="96">
        <v>0</v>
      </c>
      <c r="M837" s="96">
        <v>0</v>
      </c>
      <c r="N837" s="96">
        <v>0</v>
      </c>
      <c r="O837" s="96">
        <v>0</v>
      </c>
      <c r="P837" s="96">
        <v>0</v>
      </c>
      <c r="Q837" s="96">
        <v>0</v>
      </c>
      <c r="R837" s="96">
        <v>0</v>
      </c>
      <c r="S837" s="96">
        <v>0</v>
      </c>
      <c r="T837" s="96">
        <v>0</v>
      </c>
      <c r="U837" s="96">
        <v>0</v>
      </c>
      <c r="V837" s="96">
        <v>0</v>
      </c>
      <c r="W837" s="96">
        <v>0</v>
      </c>
      <c r="X837" s="96">
        <v>0</v>
      </c>
      <c r="Y837" s="96">
        <v>0</v>
      </c>
      <c r="Z837" s="96"/>
      <c r="AA837" s="19" t="s">
        <v>1871</v>
      </c>
      <c r="AB837" s="19" t="s">
        <v>1872</v>
      </c>
      <c r="AC837" s="19" t="s">
        <v>1269</v>
      </c>
      <c r="AD837" s="19" t="s">
        <v>1269</v>
      </c>
      <c r="AE837" s="24"/>
      <c r="AF837" s="8"/>
      <c r="AG837" t="str">
        <f>VLOOKUP(OfficeForms.Table[[#This Row],[Nama Proyek]],'Nama Proyek'!$D$2:$G$29,4,0)</f>
        <v>-6.42873464,107.19897003</v>
      </c>
      <c r="AH837" s="5"/>
      <c r="AI837" s="5"/>
      <c r="AJ837" s="5"/>
      <c r="AK837" s="5" t="s">
        <v>1873</v>
      </c>
    </row>
    <row r="838" spans="1:37" ht="15" hidden="1" customHeight="1">
      <c r="A838" s="31">
        <v>591</v>
      </c>
      <c r="B838" s="110">
        <v>45089</v>
      </c>
      <c r="C838" s="28">
        <f>B838</f>
        <v>45089</v>
      </c>
      <c r="D838" s="8" t="s">
        <v>37</v>
      </c>
      <c r="E838" s="8" t="s">
        <v>64</v>
      </c>
      <c r="F838" s="5" t="str">
        <f>E838</f>
        <v>Nizar Zulkarnain</v>
      </c>
      <c r="G838" s="42" t="s">
        <v>65</v>
      </c>
      <c r="H838" s="105"/>
      <c r="I838" s="95">
        <v>0</v>
      </c>
      <c r="J838" s="95">
        <v>0</v>
      </c>
      <c r="K838" s="95">
        <v>0</v>
      </c>
      <c r="L838" s="95">
        <v>0</v>
      </c>
      <c r="M838" s="95">
        <v>0</v>
      </c>
      <c r="N838" s="95">
        <v>0</v>
      </c>
      <c r="O838" s="95">
        <v>0</v>
      </c>
      <c r="P838" s="95">
        <v>0</v>
      </c>
      <c r="Q838" s="95">
        <v>0</v>
      </c>
      <c r="R838" s="95">
        <v>0</v>
      </c>
      <c r="S838" s="95">
        <v>0</v>
      </c>
      <c r="T838" s="95">
        <v>0</v>
      </c>
      <c r="U838" s="95">
        <v>0</v>
      </c>
      <c r="V838" s="95">
        <v>0</v>
      </c>
      <c r="W838" s="95">
        <v>0</v>
      </c>
      <c r="X838" s="95">
        <v>0</v>
      </c>
      <c r="Y838" s="95">
        <v>0</v>
      </c>
      <c r="Z838" s="95"/>
      <c r="AA838" s="8"/>
      <c r="AB838" s="8"/>
      <c r="AC838" s="8" t="s">
        <v>1874</v>
      </c>
      <c r="AD838" s="8"/>
      <c r="AE838" s="11"/>
      <c r="AF838" s="9" t="s">
        <v>1875</v>
      </c>
      <c r="AG838" t="str">
        <f>VLOOKUP(OfficeForms.Table[[#This Row],[Nama Proyek]],'Nama Proyek'!$D$2:$G$29,4,0)</f>
        <v>-6.35008011,107.02324233</v>
      </c>
      <c r="AH838" s="5"/>
      <c r="AI838" s="5"/>
      <c r="AJ838" s="5"/>
      <c r="AK838" s="5" t="s">
        <v>1876</v>
      </c>
    </row>
    <row r="839" spans="1:37" ht="15" hidden="1" customHeight="1">
      <c r="A839" s="31">
        <v>937</v>
      </c>
      <c r="B839" s="110">
        <v>45097</v>
      </c>
      <c r="C839" s="28">
        <f>B839</f>
        <v>45097</v>
      </c>
      <c r="D839" s="19" t="s">
        <v>37</v>
      </c>
      <c r="E839" s="19" t="s">
        <v>64</v>
      </c>
      <c r="F839" s="5" t="str">
        <f>E839</f>
        <v>Nizar Zulkarnain</v>
      </c>
      <c r="G839" s="19" t="s">
        <v>65</v>
      </c>
      <c r="H839" s="106">
        <v>45095</v>
      </c>
      <c r="I839" s="96">
        <v>77.682000000000002</v>
      </c>
      <c r="J839" s="96">
        <v>78.95</v>
      </c>
      <c r="K839" s="96">
        <v>72.37</v>
      </c>
      <c r="L839" s="96">
        <v>68.41</v>
      </c>
      <c r="M839" s="96">
        <v>82.88</v>
      </c>
      <c r="N839" s="96">
        <v>93.05</v>
      </c>
      <c r="O839" s="96">
        <v>71.2</v>
      </c>
      <c r="P839" s="96">
        <v>73.61</v>
      </c>
      <c r="Q839" s="96">
        <v>74.69</v>
      </c>
      <c r="R839" s="96">
        <v>61.67</v>
      </c>
      <c r="S839" s="96">
        <v>87.17</v>
      </c>
      <c r="T839" s="96">
        <v>90.21</v>
      </c>
      <c r="U839" s="96">
        <v>41.47</v>
      </c>
      <c r="V839" s="96">
        <v>21.97</v>
      </c>
      <c r="W839" s="96">
        <v>0</v>
      </c>
      <c r="X839" s="96">
        <v>98.36</v>
      </c>
      <c r="Y839" s="96">
        <v>41.48</v>
      </c>
      <c r="Z839" s="96"/>
      <c r="AA839" s="19"/>
      <c r="AB839" s="19"/>
      <c r="AC839" s="19"/>
      <c r="AD839" s="19"/>
      <c r="AE839" s="13"/>
      <c r="AF839" s="9"/>
      <c r="AG839" t="str">
        <f>VLOOKUP(OfficeForms.Table[[#This Row],[Nama Proyek]],'Nama Proyek'!$D$2:$G$29,4,0)</f>
        <v>-6.35008011,107.02324233</v>
      </c>
      <c r="AH839" s="5"/>
      <c r="AI839" s="5"/>
      <c r="AJ839" s="5"/>
      <c r="AK839" s="5" t="s">
        <v>1877</v>
      </c>
    </row>
    <row r="840" spans="1:37" ht="15" hidden="1" customHeight="1">
      <c r="A840" s="50">
        <v>989</v>
      </c>
      <c r="B840" s="110">
        <v>45097</v>
      </c>
      <c r="C840" s="28">
        <f>B840</f>
        <v>45097</v>
      </c>
      <c r="D840" s="8" t="s">
        <v>37</v>
      </c>
      <c r="E840" s="8" t="s">
        <v>109</v>
      </c>
      <c r="F840" s="5" t="str">
        <f>E840</f>
        <v>Muhamad Saifudin Ashari</v>
      </c>
      <c r="G840" s="19" t="s">
        <v>39</v>
      </c>
      <c r="H840" s="105">
        <v>45095</v>
      </c>
      <c r="I840" s="95">
        <v>95.85</v>
      </c>
      <c r="J840" s="95">
        <v>99.602000000000004</v>
      </c>
      <c r="K840" s="95">
        <v>99.977000000000004</v>
      </c>
      <c r="L840" s="95">
        <v>87.861999999999995</v>
      </c>
      <c r="M840" s="95">
        <v>99.424999999999997</v>
      </c>
      <c r="N840" s="95">
        <v>99.106999999999999</v>
      </c>
      <c r="O840" s="95">
        <v>82.361999999999995</v>
      </c>
      <c r="P840" s="95">
        <v>96.224000000000004</v>
      </c>
      <c r="Q840" s="95">
        <v>93.602999999999994</v>
      </c>
      <c r="R840" s="95">
        <v>94.007000000000005</v>
      </c>
      <c r="S840" s="95">
        <v>98.93</v>
      </c>
      <c r="T840" s="95">
        <v>98.314999999999998</v>
      </c>
      <c r="U840" s="95">
        <v>83.171999999999997</v>
      </c>
      <c r="V840" s="95">
        <v>75.846000000000004</v>
      </c>
      <c r="W840" s="95">
        <v>90.867000000000004</v>
      </c>
      <c r="X840" s="95">
        <v>31.001000000000001</v>
      </c>
      <c r="Y840" s="95">
        <v>37.194000000000003</v>
      </c>
      <c r="Z840" s="95"/>
      <c r="AA840" s="8"/>
      <c r="AB840" s="8"/>
      <c r="AC840" s="8"/>
      <c r="AD840" s="8"/>
      <c r="AE840" s="11"/>
      <c r="AF840" s="17"/>
      <c r="AG840" t="str">
        <f>VLOOKUP(OfficeForms.Table[[#This Row],[Nama Proyek]],'Nama Proyek'!$D$2:$G$29,4,0)</f>
        <v>-6.80675464,106.785366</v>
      </c>
      <c r="AH840" s="5"/>
      <c r="AI840" s="5"/>
      <c r="AJ840" s="5"/>
      <c r="AK840" s="5" t="s">
        <v>1878</v>
      </c>
    </row>
    <row r="841" spans="1:37" ht="15" hidden="1" customHeight="1">
      <c r="A841">
        <v>531</v>
      </c>
      <c r="B841" s="110">
        <v>45097</v>
      </c>
      <c r="C841" s="28">
        <f>B841</f>
        <v>45097</v>
      </c>
      <c r="D841" s="19" t="s">
        <v>37</v>
      </c>
      <c r="E841" s="19" t="s">
        <v>109</v>
      </c>
      <c r="F841" s="5" t="str">
        <f>E841</f>
        <v>Muhamad Saifudin Ashari</v>
      </c>
      <c r="G841" s="19" t="s">
        <v>39</v>
      </c>
      <c r="H841" s="101"/>
      <c r="I841" s="96">
        <v>0</v>
      </c>
      <c r="J841" s="96">
        <v>0</v>
      </c>
      <c r="K841" s="96">
        <v>0</v>
      </c>
      <c r="L841" s="96">
        <v>0</v>
      </c>
      <c r="M841" s="96">
        <v>0</v>
      </c>
      <c r="N841" s="96">
        <v>0</v>
      </c>
      <c r="O841" s="96">
        <v>0</v>
      </c>
      <c r="P841" s="96">
        <v>0</v>
      </c>
      <c r="Q841" s="96">
        <v>0</v>
      </c>
      <c r="R841" s="96">
        <v>0</v>
      </c>
      <c r="S841" s="96">
        <v>0</v>
      </c>
      <c r="T841" s="96">
        <v>0</v>
      </c>
      <c r="U841" s="96">
        <v>0</v>
      </c>
      <c r="V841" s="96">
        <v>0</v>
      </c>
      <c r="W841" s="96">
        <v>0</v>
      </c>
      <c r="X841" s="96">
        <v>0</v>
      </c>
      <c r="Y841" s="96">
        <v>0</v>
      </c>
      <c r="Z841" s="96"/>
      <c r="AA841" s="19" t="s">
        <v>1879</v>
      </c>
      <c r="AB841" s="75" t="s">
        <v>1880</v>
      </c>
      <c r="AC841" s="19" t="s">
        <v>1881</v>
      </c>
      <c r="AD841" s="19" t="s">
        <v>1882</v>
      </c>
      <c r="AE841" s="24"/>
      <c r="AF841" s="8" t="s">
        <v>1883</v>
      </c>
      <c r="AG841" t="str">
        <f>VLOOKUP(OfficeForms.Table[[#This Row],[Nama Proyek]],'Nama Proyek'!$D$2:$G$29,4,0)</f>
        <v>-6.80675464,106.785366</v>
      </c>
      <c r="AH841" s="5"/>
      <c r="AI841" s="5"/>
      <c r="AJ841" s="5"/>
      <c r="AK841" s="5" t="s">
        <v>1884</v>
      </c>
    </row>
    <row r="842" spans="1:37" ht="15" hidden="1" customHeight="1">
      <c r="A842" s="30">
        <v>532</v>
      </c>
      <c r="B842" s="111">
        <v>45097</v>
      </c>
      <c r="C842" s="29">
        <f>B842</f>
        <v>45097</v>
      </c>
      <c r="D842" s="8" t="s">
        <v>37</v>
      </c>
      <c r="E842" s="8" t="s">
        <v>109</v>
      </c>
      <c r="F842" s="5" t="str">
        <f>E842</f>
        <v>Muhamad Saifudin Ashari</v>
      </c>
      <c r="G842" s="9" t="s">
        <v>39</v>
      </c>
      <c r="H842" s="102"/>
      <c r="I842" s="95">
        <v>0</v>
      </c>
      <c r="J842" s="95">
        <v>0</v>
      </c>
      <c r="K842" s="95">
        <v>0</v>
      </c>
      <c r="L842" s="95">
        <v>0</v>
      </c>
      <c r="M842" s="95">
        <v>0</v>
      </c>
      <c r="N842" s="95">
        <v>0</v>
      </c>
      <c r="O842" s="95">
        <v>0</v>
      </c>
      <c r="P842" s="95">
        <v>0</v>
      </c>
      <c r="Q842" s="95">
        <v>0</v>
      </c>
      <c r="R842" s="95">
        <v>0</v>
      </c>
      <c r="S842" s="95">
        <v>0</v>
      </c>
      <c r="T842" s="95">
        <v>0</v>
      </c>
      <c r="U842" s="95">
        <v>0</v>
      </c>
      <c r="V842" s="95">
        <v>0</v>
      </c>
      <c r="W842" s="95">
        <v>0</v>
      </c>
      <c r="X842" s="95">
        <v>0</v>
      </c>
      <c r="Y842" s="95">
        <v>0</v>
      </c>
      <c r="Z842" s="95"/>
      <c r="AA842" s="8"/>
      <c r="AB842" s="8"/>
      <c r="AC842" s="8"/>
      <c r="AD842" s="8"/>
      <c r="AE842" s="11" t="s">
        <v>1885</v>
      </c>
      <c r="AF842" s="8" t="s">
        <v>1886</v>
      </c>
      <c r="AG842" t="str">
        <f>VLOOKUP(OfficeForms.Table[[#This Row],[Nama Proyek]],'Nama Proyek'!$D$2:$G$29,4,0)</f>
        <v>-6.80675464,106.785366</v>
      </c>
      <c r="AH842" s="5"/>
      <c r="AI842" s="5"/>
      <c r="AJ842" s="5"/>
      <c r="AK842" s="5" t="s">
        <v>1887</v>
      </c>
    </row>
    <row r="843" spans="1:37" ht="15" hidden="1" customHeight="1">
      <c r="A843">
        <v>960</v>
      </c>
      <c r="B843" s="111">
        <v>45099</v>
      </c>
      <c r="C843" s="29">
        <f>B843</f>
        <v>45099</v>
      </c>
      <c r="D843" s="8" t="s">
        <v>37</v>
      </c>
      <c r="E843" s="8" t="s">
        <v>1109</v>
      </c>
      <c r="F843" s="5" t="str">
        <f>E843</f>
        <v>Anzalar Rahman</v>
      </c>
      <c r="G843" s="33" t="s">
        <v>714</v>
      </c>
      <c r="H843" s="102">
        <v>45092</v>
      </c>
      <c r="I843" s="95">
        <v>36.606999999999999</v>
      </c>
      <c r="J843" s="95">
        <v>40.281999999999996</v>
      </c>
      <c r="K843" s="95">
        <v>0</v>
      </c>
      <c r="L843" s="95">
        <v>0</v>
      </c>
      <c r="M843" s="95">
        <v>0</v>
      </c>
      <c r="N843" s="95">
        <v>0</v>
      </c>
      <c r="O843" s="95">
        <v>0</v>
      </c>
      <c r="P843" s="95">
        <v>0</v>
      </c>
      <c r="Q843" s="95">
        <v>0</v>
      </c>
      <c r="R843" s="95">
        <v>0</v>
      </c>
      <c r="S843" s="95">
        <v>0</v>
      </c>
      <c r="T843" s="95">
        <v>0</v>
      </c>
      <c r="U843" s="95">
        <v>0</v>
      </c>
      <c r="V843" s="95">
        <v>0</v>
      </c>
      <c r="W843" s="95">
        <v>0</v>
      </c>
      <c r="X843" s="95">
        <v>0</v>
      </c>
      <c r="Y843" s="95">
        <v>0</v>
      </c>
      <c r="Z843" s="95"/>
      <c r="AA843" s="8"/>
      <c r="AB843" s="8"/>
      <c r="AC843" s="8"/>
      <c r="AD843" s="8"/>
      <c r="AE843" s="11"/>
      <c r="AF843" s="41" t="s">
        <v>1468</v>
      </c>
      <c r="AG843" t="str">
        <f>VLOOKUP(OfficeForms.Table[[#This Row],[Nama Proyek]],'Nama Proyek'!$D$2:$G$29,4,0)</f>
        <v>-0.95259625,116.71704453</v>
      </c>
      <c r="AH843" s="5"/>
      <c r="AI843" s="5"/>
      <c r="AJ843" s="5"/>
      <c r="AK843" s="5" t="s">
        <v>1888</v>
      </c>
    </row>
    <row r="844" spans="1:37" ht="15" hidden="1" customHeight="1">
      <c r="A844" s="50">
        <v>644</v>
      </c>
      <c r="B844" s="111">
        <v>45099</v>
      </c>
      <c r="C844" s="29">
        <f>B844</f>
        <v>45099</v>
      </c>
      <c r="D844" s="8" t="s">
        <v>37</v>
      </c>
      <c r="E844" s="8" t="s">
        <v>1109</v>
      </c>
      <c r="F844" s="5" t="str">
        <f>E844</f>
        <v>Anzalar Rahman</v>
      </c>
      <c r="G844" s="33" t="s">
        <v>714</v>
      </c>
      <c r="H844" s="102"/>
      <c r="I844" s="95">
        <v>0</v>
      </c>
      <c r="J844" s="95">
        <v>0</v>
      </c>
      <c r="K844" s="95">
        <v>0</v>
      </c>
      <c r="L844" s="95">
        <v>0</v>
      </c>
      <c r="M844" s="95">
        <v>0</v>
      </c>
      <c r="N844" s="95">
        <v>0</v>
      </c>
      <c r="O844" s="95">
        <v>0</v>
      </c>
      <c r="P844" s="95">
        <v>0</v>
      </c>
      <c r="Q844" s="95">
        <v>0</v>
      </c>
      <c r="R844" s="95">
        <v>0</v>
      </c>
      <c r="S844" s="95">
        <v>0</v>
      </c>
      <c r="T844" s="95">
        <v>0</v>
      </c>
      <c r="U844" s="95">
        <v>0</v>
      </c>
      <c r="V844" s="95">
        <v>0</v>
      </c>
      <c r="W844" s="95">
        <v>0</v>
      </c>
      <c r="X844" s="95">
        <v>0</v>
      </c>
      <c r="Y844" s="95">
        <v>0</v>
      </c>
      <c r="Z844" s="95"/>
      <c r="AA844" s="8"/>
      <c r="AB844" s="8"/>
      <c r="AC844" s="8"/>
      <c r="AD844" s="8"/>
      <c r="AE844" s="11">
        <v>44927</v>
      </c>
      <c r="AF844" s="8"/>
      <c r="AG844" t="str">
        <f>VLOOKUP(OfficeForms.Table[[#This Row],[Nama Proyek]],'Nama Proyek'!$D$2:$G$29,4,0)</f>
        <v>-0.95259625,116.71704453</v>
      </c>
      <c r="AH844" s="5"/>
      <c r="AI844" s="5"/>
      <c r="AJ844" s="5"/>
      <c r="AK844" s="5" t="s">
        <v>1889</v>
      </c>
    </row>
    <row r="845" spans="1:37" ht="15" hidden="1" customHeight="1">
      <c r="A845" s="30">
        <v>718</v>
      </c>
      <c r="B845" s="111">
        <v>45099</v>
      </c>
      <c r="C845" s="29">
        <f>B845</f>
        <v>45099</v>
      </c>
      <c r="D845" s="9" t="s">
        <v>37</v>
      </c>
      <c r="E845" s="9" t="s">
        <v>1109</v>
      </c>
      <c r="F845" s="5" t="str">
        <f>E845</f>
        <v>Anzalar Rahman</v>
      </c>
      <c r="G845" s="33" t="s">
        <v>714</v>
      </c>
      <c r="H845" s="104"/>
      <c r="I845" s="94">
        <v>0</v>
      </c>
      <c r="J845" s="94">
        <v>0</v>
      </c>
      <c r="K845" s="94">
        <v>0</v>
      </c>
      <c r="L845" s="94">
        <v>0</v>
      </c>
      <c r="M845" s="94">
        <v>0</v>
      </c>
      <c r="N845" s="94">
        <v>0</v>
      </c>
      <c r="O845" s="94">
        <v>0</v>
      </c>
      <c r="P845" s="94">
        <v>0</v>
      </c>
      <c r="Q845" s="94">
        <v>0</v>
      </c>
      <c r="R845" s="94">
        <v>0</v>
      </c>
      <c r="S845" s="94">
        <v>0</v>
      </c>
      <c r="T845" s="94">
        <v>0</v>
      </c>
      <c r="U845" s="94">
        <v>0</v>
      </c>
      <c r="V845" s="94">
        <v>0</v>
      </c>
      <c r="W845" s="94">
        <v>0</v>
      </c>
      <c r="X845" s="94">
        <v>0</v>
      </c>
      <c r="Y845" s="94">
        <v>0</v>
      </c>
      <c r="Z845" s="94"/>
      <c r="AA845" s="9"/>
      <c r="AB845" s="9"/>
      <c r="AC845" s="9"/>
      <c r="AD845" s="9"/>
      <c r="AE845" s="12">
        <v>44931</v>
      </c>
      <c r="AF845" s="8"/>
      <c r="AG845" t="str">
        <f>VLOOKUP(OfficeForms.Table[[#This Row],[Nama Proyek]],'Nama Proyek'!$D$2:$G$29,4,0)</f>
        <v>-0.95259625,116.71704453</v>
      </c>
      <c r="AH845" s="5"/>
      <c r="AI845" s="5"/>
      <c r="AJ845" s="5"/>
      <c r="AK845" s="5" t="s">
        <v>1890</v>
      </c>
    </row>
    <row r="846" spans="1:37" ht="15" hidden="1" customHeight="1">
      <c r="A846" s="31">
        <v>720</v>
      </c>
      <c r="B846" s="111">
        <v>45099</v>
      </c>
      <c r="C846" s="29">
        <f>B846</f>
        <v>45099</v>
      </c>
      <c r="D846" s="9" t="s">
        <v>37</v>
      </c>
      <c r="E846" s="9" t="s">
        <v>1109</v>
      </c>
      <c r="F846" s="5" t="str">
        <f>E846</f>
        <v>Anzalar Rahman</v>
      </c>
      <c r="G846" s="36" t="s">
        <v>714</v>
      </c>
      <c r="H846" s="103"/>
      <c r="I846" s="94">
        <v>0</v>
      </c>
      <c r="J846" s="94">
        <v>0</v>
      </c>
      <c r="K846" s="94">
        <v>0</v>
      </c>
      <c r="L846" s="94">
        <v>0</v>
      </c>
      <c r="M846" s="94">
        <v>0</v>
      </c>
      <c r="N846" s="94">
        <v>0</v>
      </c>
      <c r="O846" s="94">
        <v>0</v>
      </c>
      <c r="P846" s="94">
        <v>0</v>
      </c>
      <c r="Q846" s="94">
        <v>0</v>
      </c>
      <c r="R846" s="94">
        <v>0</v>
      </c>
      <c r="S846" s="94">
        <v>0</v>
      </c>
      <c r="T846" s="94">
        <v>0</v>
      </c>
      <c r="U846" s="94">
        <v>0</v>
      </c>
      <c r="V846" s="94">
        <v>0</v>
      </c>
      <c r="W846" s="94">
        <v>0</v>
      </c>
      <c r="X846" s="94">
        <v>0</v>
      </c>
      <c r="Y846" s="94">
        <v>0</v>
      </c>
      <c r="Z846" s="94"/>
      <c r="AA846" s="9" t="s">
        <v>1891</v>
      </c>
      <c r="AB846" s="9" t="s">
        <v>1892</v>
      </c>
      <c r="AC846" s="9" t="s">
        <v>1893</v>
      </c>
      <c r="AD846" s="9" t="s">
        <v>1894</v>
      </c>
      <c r="AE846" s="12"/>
      <c r="AF846" s="19"/>
      <c r="AG846" t="str">
        <f>VLOOKUP(OfficeForms.Table[[#This Row],[Nama Proyek]],'Nama Proyek'!$D$2:$G$29,4,0)</f>
        <v>-0.95259625,116.71704453</v>
      </c>
      <c r="AH846" s="5"/>
      <c r="AI846" s="5"/>
      <c r="AJ846" s="5"/>
      <c r="AK846" s="5" t="s">
        <v>1895</v>
      </c>
    </row>
    <row r="847" spans="1:37" ht="15" hidden="1" customHeight="1">
      <c r="A847" s="31">
        <v>857</v>
      </c>
      <c r="B847" s="110">
        <v>45099</v>
      </c>
      <c r="C847" s="28">
        <f>B847</f>
        <v>45099</v>
      </c>
      <c r="D847" s="8" t="s">
        <v>37</v>
      </c>
      <c r="E847" s="8" t="s">
        <v>687</v>
      </c>
      <c r="F847" s="5" t="str">
        <f>E847</f>
        <v>Andri Julio Hermawan</v>
      </c>
      <c r="G847" s="23" t="s">
        <v>750</v>
      </c>
      <c r="H847" s="102"/>
      <c r="I847" s="95">
        <v>0</v>
      </c>
      <c r="J847" s="95">
        <v>0</v>
      </c>
      <c r="K847" s="95">
        <v>0</v>
      </c>
      <c r="L847" s="95">
        <v>0</v>
      </c>
      <c r="M847" s="95">
        <v>0</v>
      </c>
      <c r="N847" s="95">
        <v>0</v>
      </c>
      <c r="O847" s="95">
        <v>0</v>
      </c>
      <c r="P847" s="95">
        <v>0</v>
      </c>
      <c r="Q847" s="95">
        <v>0</v>
      </c>
      <c r="R847" s="95">
        <v>0</v>
      </c>
      <c r="S847" s="95">
        <v>0</v>
      </c>
      <c r="T847" s="95">
        <v>0</v>
      </c>
      <c r="U847" s="95">
        <v>0</v>
      </c>
      <c r="V847" s="95">
        <v>0</v>
      </c>
      <c r="W847" s="95">
        <v>0</v>
      </c>
      <c r="X847" s="95">
        <v>0</v>
      </c>
      <c r="Y847" s="95">
        <v>0</v>
      </c>
      <c r="Z847" s="95"/>
      <c r="AA847" s="8"/>
      <c r="AB847" s="8"/>
      <c r="AC847" s="8"/>
      <c r="AD847" s="8"/>
      <c r="AE847" s="11" t="s">
        <v>1896</v>
      </c>
      <c r="AF847" s="9"/>
      <c r="AG847" t="str">
        <f>VLOOKUP(OfficeForms.Table[[#This Row],[Nama Proyek]],'Nama Proyek'!$D$2:$G$29,4,0)</f>
        <v>-1.10415341,116.73424356</v>
      </c>
      <c r="AH847" s="5"/>
      <c r="AI847" s="5"/>
      <c r="AJ847" s="5"/>
      <c r="AK847" s="5" t="s">
        <v>1897</v>
      </c>
    </row>
    <row r="848" spans="1:37" ht="15" hidden="1" customHeight="1">
      <c r="A848" s="50">
        <v>869</v>
      </c>
      <c r="B848" s="110">
        <v>45101</v>
      </c>
      <c r="C848" s="28">
        <f>B848</f>
        <v>45101</v>
      </c>
      <c r="D848" s="8" t="s">
        <v>37</v>
      </c>
      <c r="E848" s="8" t="s">
        <v>687</v>
      </c>
      <c r="F848" s="5" t="str">
        <f>E848</f>
        <v>Andri Julio Hermawan</v>
      </c>
      <c r="G848" s="23" t="s">
        <v>750</v>
      </c>
      <c r="H848" s="102"/>
      <c r="I848" s="95">
        <v>0</v>
      </c>
      <c r="J848" s="95">
        <v>0</v>
      </c>
      <c r="K848" s="95">
        <v>0</v>
      </c>
      <c r="L848" s="95">
        <v>0</v>
      </c>
      <c r="M848" s="95">
        <v>0</v>
      </c>
      <c r="N848" s="95">
        <v>0</v>
      </c>
      <c r="O848" s="95">
        <v>0</v>
      </c>
      <c r="P848" s="95">
        <v>0</v>
      </c>
      <c r="Q848" s="95">
        <v>0</v>
      </c>
      <c r="R848" s="95">
        <v>0</v>
      </c>
      <c r="S848" s="95">
        <v>0</v>
      </c>
      <c r="T848" s="95">
        <v>0</v>
      </c>
      <c r="U848" s="95">
        <v>0</v>
      </c>
      <c r="V848" s="95">
        <v>0</v>
      </c>
      <c r="W848" s="95">
        <v>0</v>
      </c>
      <c r="X848" s="95">
        <v>0</v>
      </c>
      <c r="Y848" s="95">
        <v>0</v>
      </c>
      <c r="Z848" s="95"/>
      <c r="AA848" s="8" t="s">
        <v>1898</v>
      </c>
      <c r="AB848" s="8" t="s">
        <v>1899</v>
      </c>
      <c r="AC848" s="8" t="s">
        <v>1900</v>
      </c>
      <c r="AD848" s="8" t="s">
        <v>1900</v>
      </c>
      <c r="AE848" s="11"/>
      <c r="AF848" s="15"/>
      <c r="AG848" t="str">
        <f>VLOOKUP(OfficeForms.Table[[#This Row],[Nama Proyek]],'Nama Proyek'!$D$2:$G$29,4,0)</f>
        <v>-1.10415341,116.73424356</v>
      </c>
      <c r="AH848" s="5"/>
      <c r="AI848" s="5"/>
      <c r="AJ848" s="5"/>
      <c r="AK848" s="5" t="s">
        <v>1901</v>
      </c>
    </row>
    <row r="849" spans="1:37" ht="15" hidden="1" customHeight="1">
      <c r="A849">
        <v>489</v>
      </c>
      <c r="B849" s="110">
        <v>45103</v>
      </c>
      <c r="C849" s="28">
        <f>B849</f>
        <v>45103</v>
      </c>
      <c r="D849" s="8" t="s">
        <v>37</v>
      </c>
      <c r="E849" s="8" t="s">
        <v>75</v>
      </c>
      <c r="F849" s="5" t="str">
        <f>E849</f>
        <v>Banyu Purwita</v>
      </c>
      <c r="G849" s="55" t="s">
        <v>76</v>
      </c>
      <c r="H849" s="102">
        <v>45101</v>
      </c>
      <c r="I849" s="95">
        <v>57.6</v>
      </c>
      <c r="J849" s="95">
        <v>62.356000000000002</v>
      </c>
      <c r="K849" s="95">
        <v>0</v>
      </c>
      <c r="L849" s="95">
        <v>0</v>
      </c>
      <c r="M849" s="95">
        <v>4.9589999999999996</v>
      </c>
      <c r="N849" s="95">
        <v>0</v>
      </c>
      <c r="O849" s="95">
        <v>12.262</v>
      </c>
      <c r="P849" s="95">
        <v>0</v>
      </c>
      <c r="Q849" s="95">
        <v>0</v>
      </c>
      <c r="R849" s="95">
        <v>0</v>
      </c>
      <c r="S849" s="95">
        <v>32.253</v>
      </c>
      <c r="T849" s="95">
        <v>0</v>
      </c>
      <c r="U849" s="95">
        <v>6.3E-2</v>
      </c>
      <c r="V849" s="95">
        <v>0</v>
      </c>
      <c r="W849" s="95">
        <v>0</v>
      </c>
      <c r="X849" s="95">
        <v>0</v>
      </c>
      <c r="Y849" s="95">
        <v>0</v>
      </c>
      <c r="Z849" s="95"/>
      <c r="AA849" s="8"/>
      <c r="AB849" s="8"/>
      <c r="AC849" s="8"/>
      <c r="AD849" s="8"/>
      <c r="AE849" s="16"/>
      <c r="AF849" s="8"/>
      <c r="AG849" t="str">
        <f>VLOOKUP(OfficeForms.Table[[#This Row],[Nama Proyek]],'Nama Proyek'!$D$2:$G$29,4,0)</f>
        <v>-2.95293103,104.75455094</v>
      </c>
      <c r="AH849" s="5"/>
      <c r="AI849" s="5"/>
      <c r="AJ849" s="5"/>
      <c r="AK849" s="5" t="s">
        <v>1902</v>
      </c>
    </row>
    <row r="850" spans="1:37" ht="15" hidden="1" customHeight="1">
      <c r="A850" s="30">
        <v>874</v>
      </c>
      <c r="B850" s="111">
        <v>45103</v>
      </c>
      <c r="C850" s="29">
        <f>B850</f>
        <v>45103</v>
      </c>
      <c r="D850" s="9" t="s">
        <v>37</v>
      </c>
      <c r="E850" s="9" t="s">
        <v>687</v>
      </c>
      <c r="F850" s="5" t="str">
        <f>E850</f>
        <v>Andri Julio Hermawan</v>
      </c>
      <c r="G850" s="22" t="s">
        <v>750</v>
      </c>
      <c r="H850" s="104">
        <v>45103</v>
      </c>
      <c r="I850" s="94">
        <v>27.995000000000001</v>
      </c>
      <c r="J850" s="94">
        <v>26.968</v>
      </c>
      <c r="K850" s="94">
        <v>0</v>
      </c>
      <c r="L850" s="94">
        <v>0</v>
      </c>
      <c r="M850" s="94">
        <v>14.798999999999999</v>
      </c>
      <c r="N850" s="94">
        <v>0</v>
      </c>
      <c r="O850" s="94">
        <v>0</v>
      </c>
      <c r="P850" s="94">
        <v>0</v>
      </c>
      <c r="Q850" s="94">
        <v>0</v>
      </c>
      <c r="R850" s="94">
        <v>0</v>
      </c>
      <c r="S850" s="94">
        <v>12.141999999999999</v>
      </c>
      <c r="T850" s="94">
        <v>0</v>
      </c>
      <c r="U850" s="94">
        <v>0</v>
      </c>
      <c r="V850" s="94">
        <v>0</v>
      </c>
      <c r="W850" s="94">
        <v>0</v>
      </c>
      <c r="X850" s="94">
        <v>0</v>
      </c>
      <c r="Y850" s="94">
        <v>0</v>
      </c>
      <c r="Z850" s="94"/>
      <c r="AA850" s="9"/>
      <c r="AB850" s="17"/>
      <c r="AC850" s="17"/>
      <c r="AD850" s="17"/>
      <c r="AE850" s="12"/>
      <c r="AF850" s="19"/>
      <c r="AG850" t="str">
        <f>VLOOKUP(OfficeForms.Table[[#This Row],[Nama Proyek]],'Nama Proyek'!$D$2:$G$29,4,0)</f>
        <v>-1.10415341,116.73424356</v>
      </c>
      <c r="AH850" s="5"/>
      <c r="AI850" s="5"/>
      <c r="AJ850" s="5"/>
      <c r="AK850" s="5" t="s">
        <v>1903</v>
      </c>
    </row>
    <row r="851" spans="1:37" ht="15" hidden="1" customHeight="1">
      <c r="A851" s="30">
        <v>460</v>
      </c>
      <c r="B851" s="111">
        <v>45103</v>
      </c>
      <c r="C851" s="29">
        <f>B851</f>
        <v>45103</v>
      </c>
      <c r="D851" s="9" t="s">
        <v>37</v>
      </c>
      <c r="E851" s="9" t="s">
        <v>64</v>
      </c>
      <c r="F851" s="5" t="str">
        <f>E851</f>
        <v>Nizar Zulkarnain</v>
      </c>
      <c r="G851" s="17" t="s">
        <v>65</v>
      </c>
      <c r="H851" s="104"/>
      <c r="I851" s="94">
        <v>0</v>
      </c>
      <c r="J851" s="94">
        <v>0</v>
      </c>
      <c r="K851" s="94">
        <v>0</v>
      </c>
      <c r="L851" s="94">
        <v>0</v>
      </c>
      <c r="M851" s="94">
        <v>0</v>
      </c>
      <c r="N851" s="94">
        <v>0</v>
      </c>
      <c r="O851" s="94">
        <v>0</v>
      </c>
      <c r="P851" s="94">
        <v>0</v>
      </c>
      <c r="Q851" s="94">
        <v>0</v>
      </c>
      <c r="R851" s="94">
        <v>0</v>
      </c>
      <c r="S851" s="94">
        <v>0</v>
      </c>
      <c r="T851" s="94">
        <v>0</v>
      </c>
      <c r="U851" s="94">
        <v>0</v>
      </c>
      <c r="V851" s="94">
        <v>0</v>
      </c>
      <c r="W851" s="94">
        <v>0</v>
      </c>
      <c r="X851" s="94">
        <v>0</v>
      </c>
      <c r="Y851" s="94">
        <v>0</v>
      </c>
      <c r="Z851" s="94"/>
      <c r="AA851" s="9" t="s">
        <v>1904</v>
      </c>
      <c r="AB851" s="9"/>
      <c r="AC851" s="9"/>
      <c r="AD851" s="9"/>
      <c r="AE851" s="12"/>
      <c r="AF851" s="19"/>
      <c r="AG851" t="str">
        <f>VLOOKUP(OfficeForms.Table[[#This Row],[Nama Proyek]],'Nama Proyek'!$D$2:$G$29,4,0)</f>
        <v>-6.35008011,107.02324233</v>
      </c>
      <c r="AH851" s="5"/>
      <c r="AI851" s="5"/>
      <c r="AJ851" s="5"/>
      <c r="AK851" s="5" t="s">
        <v>1905</v>
      </c>
    </row>
    <row r="852" spans="1:37" ht="15" hidden="1" customHeight="1">
      <c r="A852" s="31">
        <v>918</v>
      </c>
      <c r="B852" s="111">
        <v>45103</v>
      </c>
      <c r="C852" s="29">
        <f>B852</f>
        <v>45103</v>
      </c>
      <c r="D852" s="9" t="s">
        <v>37</v>
      </c>
      <c r="E852" s="9" t="s">
        <v>75</v>
      </c>
      <c r="F852" s="5" t="str">
        <f>E852</f>
        <v>Banyu Purwita</v>
      </c>
      <c r="G852" s="37" t="s">
        <v>76</v>
      </c>
      <c r="H852" s="103"/>
      <c r="I852" s="94">
        <v>0</v>
      </c>
      <c r="J852" s="94">
        <v>0</v>
      </c>
      <c r="K852" s="94">
        <v>0</v>
      </c>
      <c r="L852" s="94">
        <v>0</v>
      </c>
      <c r="M852" s="94">
        <v>0</v>
      </c>
      <c r="N852" s="94">
        <v>0</v>
      </c>
      <c r="O852" s="94">
        <v>0</v>
      </c>
      <c r="P852" s="94">
        <v>0</v>
      </c>
      <c r="Q852" s="94">
        <v>0</v>
      </c>
      <c r="R852" s="94">
        <v>0</v>
      </c>
      <c r="S852" s="94">
        <v>0</v>
      </c>
      <c r="T852" s="94">
        <v>0</v>
      </c>
      <c r="U852" s="94">
        <v>0</v>
      </c>
      <c r="V852" s="94">
        <v>0</v>
      </c>
      <c r="W852" s="94">
        <v>0</v>
      </c>
      <c r="X852" s="94">
        <v>0</v>
      </c>
      <c r="Y852" s="94">
        <v>0</v>
      </c>
      <c r="Z852" s="94"/>
      <c r="AA852" s="9"/>
      <c r="AB852" s="9"/>
      <c r="AC852" s="9"/>
      <c r="AD852" s="9"/>
      <c r="AE852" s="12" t="s">
        <v>1906</v>
      </c>
      <c r="AF852" s="15"/>
      <c r="AG852" t="str">
        <f>VLOOKUP(OfficeForms.Table[[#This Row],[Nama Proyek]],'Nama Proyek'!$D$2:$G$29,4,0)</f>
        <v>-2.95293103,104.75455094</v>
      </c>
      <c r="AH852" s="5"/>
      <c r="AI852" s="5"/>
      <c r="AJ852" s="5"/>
      <c r="AK852" s="5" t="s">
        <v>1907</v>
      </c>
    </row>
    <row r="853" spans="1:37" ht="15" hidden="1" customHeight="1">
      <c r="A853">
        <v>919</v>
      </c>
      <c r="B853" s="110">
        <v>45103</v>
      </c>
      <c r="C853" s="28">
        <f>B853</f>
        <v>45103</v>
      </c>
      <c r="D853" s="8" t="s">
        <v>37</v>
      </c>
      <c r="E853" s="8" t="s">
        <v>75</v>
      </c>
      <c r="F853" s="5" t="str">
        <f>E853</f>
        <v>Banyu Purwita</v>
      </c>
      <c r="G853" s="34" t="s">
        <v>76</v>
      </c>
      <c r="H853" s="102"/>
      <c r="I853" s="95">
        <v>0</v>
      </c>
      <c r="J853" s="95">
        <v>0</v>
      </c>
      <c r="K853" s="95">
        <v>0</v>
      </c>
      <c r="L853" s="95">
        <v>0</v>
      </c>
      <c r="M853" s="95">
        <v>0</v>
      </c>
      <c r="N853" s="95">
        <v>0</v>
      </c>
      <c r="O853" s="95">
        <v>0</v>
      </c>
      <c r="P853" s="95">
        <v>0</v>
      </c>
      <c r="Q853" s="95">
        <v>0</v>
      </c>
      <c r="R853" s="95">
        <v>0</v>
      </c>
      <c r="S853" s="95">
        <v>0</v>
      </c>
      <c r="T853" s="95">
        <v>0</v>
      </c>
      <c r="U853" s="95">
        <v>0</v>
      </c>
      <c r="V853" s="95">
        <v>0</v>
      </c>
      <c r="W853" s="95">
        <v>0</v>
      </c>
      <c r="X853" s="95">
        <v>0</v>
      </c>
      <c r="Y853" s="95">
        <v>0</v>
      </c>
      <c r="Z853" s="95"/>
      <c r="AA853" s="8" t="s">
        <v>1908</v>
      </c>
      <c r="AB853" s="8" t="s">
        <v>1909</v>
      </c>
      <c r="AC853" s="8" t="s">
        <v>1910</v>
      </c>
      <c r="AD853" s="8" t="s">
        <v>1910</v>
      </c>
      <c r="AE853" s="16"/>
      <c r="AF853" s="9" t="s">
        <v>1911</v>
      </c>
      <c r="AG853" t="str">
        <f>VLOOKUP(OfficeForms.Table[[#This Row],[Nama Proyek]],'Nama Proyek'!$D$2:$G$29,4,0)</f>
        <v>-2.95293103,104.75455094</v>
      </c>
      <c r="AH853" s="5"/>
      <c r="AI853" s="5"/>
      <c r="AJ853" s="5"/>
      <c r="AK853" s="5" t="s">
        <v>1912</v>
      </c>
    </row>
    <row r="854" spans="1:37" ht="15" hidden="1" customHeight="1">
      <c r="A854">
        <v>945</v>
      </c>
      <c r="B854" s="110">
        <v>45104</v>
      </c>
      <c r="C854" s="28">
        <f>B854</f>
        <v>45104</v>
      </c>
      <c r="D854" s="8" t="s">
        <v>37</v>
      </c>
      <c r="E854" s="8" t="s">
        <v>64</v>
      </c>
      <c r="F854" s="5" t="str">
        <f>E854</f>
        <v>Nizar Zulkarnain</v>
      </c>
      <c r="G854" s="19" t="s">
        <v>65</v>
      </c>
      <c r="H854" s="105">
        <v>45102</v>
      </c>
      <c r="I854" s="95">
        <v>77.808000000000007</v>
      </c>
      <c r="J854" s="95">
        <v>79.418000000000006</v>
      </c>
      <c r="K854" s="95">
        <v>72.37</v>
      </c>
      <c r="L854" s="95">
        <v>68.41</v>
      </c>
      <c r="M854" s="95">
        <v>82.88</v>
      </c>
      <c r="N854" s="95">
        <v>93.05</v>
      </c>
      <c r="O854" s="95">
        <v>71.790000000000006</v>
      </c>
      <c r="P854" s="95">
        <v>73.61</v>
      </c>
      <c r="Q854" s="95">
        <v>74.7</v>
      </c>
      <c r="R854" s="95">
        <v>61.74</v>
      </c>
      <c r="S854" s="95">
        <v>87.26</v>
      </c>
      <c r="T854" s="95">
        <v>90.21</v>
      </c>
      <c r="U854" s="95">
        <v>42.21</v>
      </c>
      <c r="V854" s="95">
        <v>21.97</v>
      </c>
      <c r="W854" s="95">
        <v>0</v>
      </c>
      <c r="X854" s="95">
        <v>98.36</v>
      </c>
      <c r="Y854" s="95">
        <v>41.48</v>
      </c>
      <c r="Z854" s="95"/>
      <c r="AA854" s="8"/>
      <c r="AB854" s="8"/>
      <c r="AC854" s="8"/>
      <c r="AD854" s="8"/>
      <c r="AE854" s="11"/>
      <c r="AF854" s="17"/>
      <c r="AG854" t="str">
        <f>VLOOKUP(OfficeForms.Table[[#This Row],[Nama Proyek]],'Nama Proyek'!$D$2:$G$29,4,0)</f>
        <v>-6.35008011,107.02324233</v>
      </c>
      <c r="AH854" s="5"/>
      <c r="AI854" s="5"/>
      <c r="AJ854" s="5"/>
      <c r="AK854" s="5" t="s">
        <v>1913</v>
      </c>
    </row>
    <row r="855" spans="1:37" ht="15" hidden="1" customHeight="1">
      <c r="A855" s="31">
        <v>878</v>
      </c>
      <c r="B855" s="111">
        <v>45104</v>
      </c>
      <c r="C855" s="29">
        <f>B855</f>
        <v>45104</v>
      </c>
      <c r="D855" s="9" t="s">
        <v>37</v>
      </c>
      <c r="E855" s="9" t="s">
        <v>734</v>
      </c>
      <c r="F855" s="5" t="str">
        <f>E855</f>
        <v>Aldian Winata</v>
      </c>
      <c r="G855" s="9" t="s">
        <v>735</v>
      </c>
      <c r="H855" s="104">
        <v>45107</v>
      </c>
      <c r="I855" s="94">
        <v>38.884</v>
      </c>
      <c r="J855" s="94">
        <v>50.942999999999998</v>
      </c>
      <c r="K855" s="94">
        <v>2.2189999999999999</v>
      </c>
      <c r="L855" s="94">
        <v>32.430999999999997</v>
      </c>
      <c r="M855" s="94">
        <v>0</v>
      </c>
      <c r="N855" s="94">
        <v>1.0999999999999999E-2</v>
      </c>
      <c r="O855" s="94">
        <v>0.97499999999999998</v>
      </c>
      <c r="P855" s="94">
        <v>0</v>
      </c>
      <c r="Q855" s="94">
        <v>0</v>
      </c>
      <c r="R855" s="94">
        <v>0</v>
      </c>
      <c r="S855" s="94">
        <v>0</v>
      </c>
      <c r="T855" s="94">
        <v>0</v>
      </c>
      <c r="U855" s="94">
        <v>0</v>
      </c>
      <c r="V855" s="94">
        <v>0</v>
      </c>
      <c r="W855" s="94">
        <v>0</v>
      </c>
      <c r="X855" s="94">
        <v>0</v>
      </c>
      <c r="Y855" s="94">
        <v>0</v>
      </c>
      <c r="Z855" s="94"/>
      <c r="AA855" s="9"/>
      <c r="AB855" s="17"/>
      <c r="AC855" s="9"/>
      <c r="AD855" s="9"/>
      <c r="AE855" s="18"/>
      <c r="AF855" s="8"/>
      <c r="AG855" t="str">
        <f>VLOOKUP(OfficeForms.Table[[#This Row],[Nama Proyek]],'Nama Proyek'!$D$2:$G$40,4,0)</f>
        <v>-0.88562397,119.85928375</v>
      </c>
      <c r="AH855" s="5"/>
      <c r="AI855" s="5"/>
      <c r="AJ855" s="5"/>
      <c r="AK855" s="5" t="s">
        <v>1914</v>
      </c>
    </row>
    <row r="856" spans="1:37" ht="15" hidden="1" customHeight="1">
      <c r="A856" s="31">
        <v>485</v>
      </c>
      <c r="B856" s="110">
        <v>45104</v>
      </c>
      <c r="C856" s="28">
        <f>B856</f>
        <v>45104</v>
      </c>
      <c r="D856" s="8" t="s">
        <v>37</v>
      </c>
      <c r="E856" s="8" t="s">
        <v>64</v>
      </c>
      <c r="F856" s="5" t="str">
        <f>E856</f>
        <v>Nizar Zulkarnain</v>
      </c>
      <c r="G856" s="19" t="s">
        <v>65</v>
      </c>
      <c r="H856" s="105"/>
      <c r="I856" s="95">
        <v>0</v>
      </c>
      <c r="J856" s="95">
        <v>0</v>
      </c>
      <c r="K856" s="95">
        <v>0</v>
      </c>
      <c r="L856" s="95">
        <v>0</v>
      </c>
      <c r="M856" s="95">
        <v>0</v>
      </c>
      <c r="N856" s="95">
        <v>0</v>
      </c>
      <c r="O856" s="95">
        <v>0</v>
      </c>
      <c r="P856" s="95">
        <v>0</v>
      </c>
      <c r="Q856" s="95">
        <v>0</v>
      </c>
      <c r="R856" s="95">
        <v>0</v>
      </c>
      <c r="S856" s="95">
        <v>0</v>
      </c>
      <c r="T856" s="95">
        <v>0</v>
      </c>
      <c r="U856" s="95">
        <v>0</v>
      </c>
      <c r="V856" s="95">
        <v>0</v>
      </c>
      <c r="W856" s="95">
        <v>0</v>
      </c>
      <c r="X856" s="95">
        <v>0</v>
      </c>
      <c r="Y856" s="95">
        <v>0</v>
      </c>
      <c r="Z856" s="95"/>
      <c r="AA856" s="8"/>
      <c r="AB856" s="8"/>
      <c r="AC856" s="8"/>
      <c r="AD856" s="8"/>
      <c r="AE856" s="11">
        <v>44932</v>
      </c>
      <c r="AF856" s="46" t="s">
        <v>1915</v>
      </c>
      <c r="AG856" t="str">
        <f>VLOOKUP(OfficeForms.Table[[#This Row],[Nama Proyek]],'Nama Proyek'!$D$2:$G$29,4,0)</f>
        <v>-6.35008011,107.02324233</v>
      </c>
      <c r="AH856" s="5"/>
      <c r="AI856" s="5"/>
      <c r="AJ856" s="5"/>
      <c r="AK856" s="5" t="s">
        <v>1916</v>
      </c>
    </row>
    <row r="857" spans="1:37" ht="15" hidden="1" customHeight="1">
      <c r="A857" s="30">
        <v>879</v>
      </c>
      <c r="B857" s="110">
        <v>45104</v>
      </c>
      <c r="C857" s="28">
        <f>B857</f>
        <v>45104</v>
      </c>
      <c r="D857" s="8" t="s">
        <v>37</v>
      </c>
      <c r="E857" s="8" t="s">
        <v>734</v>
      </c>
      <c r="F857" s="5" t="str">
        <f>E857</f>
        <v>Aldian Winata</v>
      </c>
      <c r="G857" s="8" t="s">
        <v>735</v>
      </c>
      <c r="H857" s="105"/>
      <c r="I857" s="95">
        <v>0</v>
      </c>
      <c r="J857" s="95">
        <v>0</v>
      </c>
      <c r="K857" s="95">
        <v>0</v>
      </c>
      <c r="L857" s="95">
        <v>0</v>
      </c>
      <c r="M857" s="95">
        <v>0</v>
      </c>
      <c r="N857" s="95">
        <v>0</v>
      </c>
      <c r="O857" s="95">
        <v>0</v>
      </c>
      <c r="P857" s="95">
        <v>0</v>
      </c>
      <c r="Q857" s="95">
        <v>0</v>
      </c>
      <c r="R857" s="95">
        <v>0</v>
      </c>
      <c r="S857" s="95">
        <v>0</v>
      </c>
      <c r="T857" s="95">
        <v>0</v>
      </c>
      <c r="U857" s="95">
        <v>0</v>
      </c>
      <c r="V857" s="95">
        <v>0</v>
      </c>
      <c r="W857" s="95">
        <v>0</v>
      </c>
      <c r="X857" s="95">
        <v>0</v>
      </c>
      <c r="Y857" s="95">
        <v>0</v>
      </c>
      <c r="Z857" s="95"/>
      <c r="AA857" s="8" t="s">
        <v>1917</v>
      </c>
      <c r="AB857" s="8" t="s">
        <v>1918</v>
      </c>
      <c r="AC857" s="8"/>
      <c r="AD857" s="8"/>
      <c r="AE857" s="16"/>
      <c r="AF857" s="9" t="s">
        <v>1919</v>
      </c>
      <c r="AG857" t="str">
        <f>VLOOKUP(OfficeForms.Table[[#This Row],[Nama Proyek]],'Nama Proyek'!$D$2:$G$40,4,0)</f>
        <v>-0.88562397,119.85928375</v>
      </c>
      <c r="AH857" s="5"/>
      <c r="AI857" s="5"/>
      <c r="AJ857" s="5"/>
      <c r="AK857" s="5" t="s">
        <v>1920</v>
      </c>
    </row>
    <row r="858" spans="1:37" ht="15" hidden="1" customHeight="1">
      <c r="A858">
        <v>880</v>
      </c>
      <c r="B858" s="111">
        <v>45104</v>
      </c>
      <c r="C858" s="29">
        <f>B858</f>
        <v>45104</v>
      </c>
      <c r="D858" s="9" t="s">
        <v>37</v>
      </c>
      <c r="E858" s="9" t="s">
        <v>734</v>
      </c>
      <c r="F858" s="5" t="str">
        <f>E858</f>
        <v>Aldian Winata</v>
      </c>
      <c r="G858" s="9" t="s">
        <v>735</v>
      </c>
      <c r="H858" s="104"/>
      <c r="I858" s="94">
        <v>0</v>
      </c>
      <c r="J858" s="94">
        <v>0</v>
      </c>
      <c r="K858" s="94">
        <v>0</v>
      </c>
      <c r="L858" s="94">
        <v>0</v>
      </c>
      <c r="M858" s="94">
        <v>0</v>
      </c>
      <c r="N858" s="94">
        <v>0</v>
      </c>
      <c r="O858" s="94">
        <v>0</v>
      </c>
      <c r="P858" s="94">
        <v>0</v>
      </c>
      <c r="Q858" s="94">
        <v>0</v>
      </c>
      <c r="R858" s="94">
        <v>0</v>
      </c>
      <c r="S858" s="94">
        <v>0</v>
      </c>
      <c r="T858" s="94">
        <v>0</v>
      </c>
      <c r="U858" s="94">
        <v>0</v>
      </c>
      <c r="V858" s="94">
        <v>0</v>
      </c>
      <c r="W858" s="94">
        <v>0</v>
      </c>
      <c r="X858" s="94">
        <v>0</v>
      </c>
      <c r="Y858" s="94">
        <v>0</v>
      </c>
      <c r="Z858" s="94"/>
      <c r="AA858" s="9"/>
      <c r="AB858" s="9"/>
      <c r="AC858" s="9"/>
      <c r="AD858" s="9"/>
      <c r="AE858" s="12" t="s">
        <v>1921</v>
      </c>
      <c r="AF858" s="47" t="s">
        <v>1922</v>
      </c>
      <c r="AG858" t="str">
        <f>VLOOKUP(OfficeForms.Table[[#This Row],[Nama Proyek]],'Nama Proyek'!$D$2:$G$40,4,0)</f>
        <v>-0.88562397,119.85928375</v>
      </c>
      <c r="AH858" s="5"/>
      <c r="AI858" s="5"/>
      <c r="AJ858" s="5"/>
      <c r="AK858" s="5" t="s">
        <v>1923</v>
      </c>
    </row>
    <row r="859" spans="1:37" ht="15" hidden="1" customHeight="1">
      <c r="A859" s="50">
        <v>948</v>
      </c>
      <c r="B859" s="111">
        <v>45104</v>
      </c>
      <c r="C859" s="29">
        <f>B859</f>
        <v>45104</v>
      </c>
      <c r="D859" s="8" t="s">
        <v>37</v>
      </c>
      <c r="E859" s="8" t="s">
        <v>54</v>
      </c>
      <c r="F859" s="5" t="str">
        <f>E859</f>
        <v>Haryo Widiandoko</v>
      </c>
      <c r="G859" s="17" t="s">
        <v>55</v>
      </c>
      <c r="H859" s="102"/>
      <c r="I859" s="95">
        <v>0</v>
      </c>
      <c r="J859" s="95">
        <v>0</v>
      </c>
      <c r="K859" s="95">
        <v>0</v>
      </c>
      <c r="L859" s="95">
        <v>0</v>
      </c>
      <c r="M859" s="95">
        <v>0</v>
      </c>
      <c r="N859" s="95">
        <v>0</v>
      </c>
      <c r="O859" s="95">
        <v>0</v>
      </c>
      <c r="P859" s="95">
        <v>0</v>
      </c>
      <c r="Q859" s="95">
        <v>0</v>
      </c>
      <c r="R859" s="95">
        <v>0</v>
      </c>
      <c r="S859" s="95">
        <v>0</v>
      </c>
      <c r="T859" s="95">
        <v>0</v>
      </c>
      <c r="U859" s="95">
        <v>0</v>
      </c>
      <c r="V859" s="95">
        <v>0</v>
      </c>
      <c r="W859" s="95">
        <v>0</v>
      </c>
      <c r="X859" s="95">
        <v>0</v>
      </c>
      <c r="Y859" s="95">
        <v>0</v>
      </c>
      <c r="Z859" s="95"/>
      <c r="AA859" s="8" t="s">
        <v>1924</v>
      </c>
      <c r="AB859" s="8" t="s">
        <v>1924</v>
      </c>
      <c r="AC859" s="8" t="s">
        <v>1925</v>
      </c>
      <c r="AD859" s="8" t="s">
        <v>1925</v>
      </c>
      <c r="AE859" s="16"/>
      <c r="AF859" s="15"/>
      <c r="AG859" t="str">
        <f>VLOOKUP(OfficeForms.Table[[#This Row],[Nama Proyek]],'Nama Proyek'!$D$2:$G$29,4,0)</f>
        <v>-6.42873464,107.19897003</v>
      </c>
      <c r="AH859" s="5"/>
      <c r="AI859" s="5"/>
      <c r="AJ859" s="5"/>
      <c r="AK859" s="5" t="s">
        <v>1926</v>
      </c>
    </row>
    <row r="860" spans="1:37" ht="15" hidden="1" customHeight="1">
      <c r="A860" s="31">
        <v>985</v>
      </c>
      <c r="B860" s="110">
        <v>45104</v>
      </c>
      <c r="C860" s="28">
        <f>B860</f>
        <v>45104</v>
      </c>
      <c r="D860" s="8" t="s">
        <v>37</v>
      </c>
      <c r="E860" s="8" t="s">
        <v>54</v>
      </c>
      <c r="F860" s="5" t="str">
        <f>E860</f>
        <v>Haryo Widiandoko</v>
      </c>
      <c r="G860" s="42" t="s">
        <v>55</v>
      </c>
      <c r="H860" s="102"/>
      <c r="I860" s="95">
        <v>0</v>
      </c>
      <c r="J860" s="95">
        <v>0</v>
      </c>
      <c r="K860" s="95">
        <v>0</v>
      </c>
      <c r="L860" s="95">
        <v>0</v>
      </c>
      <c r="M860" s="95">
        <v>0</v>
      </c>
      <c r="N860" s="95">
        <v>0</v>
      </c>
      <c r="O860" s="95">
        <v>0</v>
      </c>
      <c r="P860" s="95">
        <v>0</v>
      </c>
      <c r="Q860" s="95">
        <v>0</v>
      </c>
      <c r="R860" s="95">
        <v>0</v>
      </c>
      <c r="S860" s="95">
        <v>0</v>
      </c>
      <c r="T860" s="95">
        <v>0</v>
      </c>
      <c r="U860" s="95">
        <v>0</v>
      </c>
      <c r="V860" s="95">
        <v>0</v>
      </c>
      <c r="W860" s="95">
        <v>0</v>
      </c>
      <c r="X860" s="95">
        <v>0</v>
      </c>
      <c r="Y860" s="95">
        <v>0</v>
      </c>
      <c r="Z860" s="95"/>
      <c r="AA860" s="8" t="s">
        <v>1924</v>
      </c>
      <c r="AB860" s="8" t="s">
        <v>1924</v>
      </c>
      <c r="AC860" s="8" t="s">
        <v>1927</v>
      </c>
      <c r="AD860" s="8" t="s">
        <v>1927</v>
      </c>
      <c r="AE860" s="16"/>
      <c r="AF860" s="9"/>
      <c r="AG860" t="str">
        <f>VLOOKUP(OfficeForms.Table[[#This Row],[Nama Proyek]],'Nama Proyek'!$D$2:$G$29,4,0)</f>
        <v>-6.42873464,107.19897003</v>
      </c>
      <c r="AH860" s="5"/>
      <c r="AI860" s="5"/>
      <c r="AJ860" s="5"/>
      <c r="AK860" s="5" t="s">
        <v>1928</v>
      </c>
    </row>
    <row r="861" spans="1:37" ht="15" hidden="1" customHeight="1">
      <c r="A861" s="30">
        <v>882</v>
      </c>
      <c r="B861" s="111">
        <v>45105</v>
      </c>
      <c r="C861" s="29">
        <f>B861</f>
        <v>45105</v>
      </c>
      <c r="D861" s="9" t="s">
        <v>37</v>
      </c>
      <c r="E861" s="9" t="s">
        <v>994</v>
      </c>
      <c r="F861" s="5" t="str">
        <f>E861</f>
        <v>Nenes Anggi Puspadi</v>
      </c>
      <c r="G861" s="39" t="s">
        <v>924</v>
      </c>
      <c r="H861" s="104">
        <v>45102</v>
      </c>
      <c r="I861" s="94">
        <v>53.87</v>
      </c>
      <c r="J861" s="94">
        <v>39.17</v>
      </c>
      <c r="K861" s="94">
        <v>4.43</v>
      </c>
      <c r="L861" s="94">
        <v>27.52</v>
      </c>
      <c r="M861" s="94">
        <v>0</v>
      </c>
      <c r="N861" s="94">
        <v>8.93</v>
      </c>
      <c r="O861" s="94">
        <v>7.85</v>
      </c>
      <c r="P861" s="94">
        <v>2.81</v>
      </c>
      <c r="Q861" s="94">
        <v>0</v>
      </c>
      <c r="R861" s="94">
        <v>0.47</v>
      </c>
      <c r="S861" s="94">
        <v>0</v>
      </c>
      <c r="T861" s="94">
        <v>0</v>
      </c>
      <c r="U861" s="94">
        <v>0</v>
      </c>
      <c r="V861" s="94">
        <v>0</v>
      </c>
      <c r="W861" s="94">
        <v>0</v>
      </c>
      <c r="X861" s="94">
        <v>0</v>
      </c>
      <c r="Y861" s="94">
        <v>0</v>
      </c>
      <c r="Z861" s="94"/>
      <c r="AA861" s="9"/>
      <c r="AB861" s="17"/>
      <c r="AC861" s="17"/>
      <c r="AD861" s="17"/>
      <c r="AE861" s="12"/>
      <c r="AF861" s="41" t="s">
        <v>1929</v>
      </c>
      <c r="AG861" t="str">
        <f>VLOOKUP(OfficeForms.Table[[#This Row],[Nama Proyek]],'Nama Proyek'!$D$2:$G$40,4,0)</f>
        <v>-3.25078511,134.87791156</v>
      </c>
      <c r="AH861" s="5"/>
      <c r="AI861" s="5"/>
      <c r="AJ861" s="5"/>
      <c r="AK861" s="5" t="s">
        <v>1930</v>
      </c>
    </row>
    <row r="862" spans="1:37" ht="15" hidden="1" customHeight="1">
      <c r="A862" s="31">
        <v>883</v>
      </c>
      <c r="B862" s="110">
        <v>45105</v>
      </c>
      <c r="C862" s="28">
        <f>B862</f>
        <v>45105</v>
      </c>
      <c r="D862" s="8" t="s">
        <v>37</v>
      </c>
      <c r="E862" s="8" t="s">
        <v>994</v>
      </c>
      <c r="F862" s="5" t="str">
        <f>E862</f>
        <v>Nenes Anggi Puspadi</v>
      </c>
      <c r="G862" s="23" t="s">
        <v>924</v>
      </c>
      <c r="H862" s="105"/>
      <c r="I862" s="95">
        <v>0</v>
      </c>
      <c r="J862" s="95">
        <v>0</v>
      </c>
      <c r="K862" s="95">
        <v>0</v>
      </c>
      <c r="L862" s="95">
        <v>0</v>
      </c>
      <c r="M862" s="95">
        <v>0</v>
      </c>
      <c r="N862" s="95">
        <v>0</v>
      </c>
      <c r="O862" s="95">
        <v>0</v>
      </c>
      <c r="P862" s="95">
        <v>0</v>
      </c>
      <c r="Q862" s="95">
        <v>0</v>
      </c>
      <c r="R862" s="95">
        <v>0</v>
      </c>
      <c r="S862" s="95">
        <v>0</v>
      </c>
      <c r="T862" s="95">
        <v>0</v>
      </c>
      <c r="U862" s="95">
        <v>0</v>
      </c>
      <c r="V862" s="95">
        <v>0</v>
      </c>
      <c r="W862" s="95">
        <v>0</v>
      </c>
      <c r="X862" s="95">
        <v>0</v>
      </c>
      <c r="Y862" s="95">
        <v>0</v>
      </c>
      <c r="Z862" s="95"/>
      <c r="AA862" s="8"/>
      <c r="AB862" s="8"/>
      <c r="AC862" s="8"/>
      <c r="AD862" s="8"/>
      <c r="AE862" s="11" t="s">
        <v>1931</v>
      </c>
      <c r="AF862" s="40" t="s">
        <v>1932</v>
      </c>
      <c r="AG862" t="str">
        <f>VLOOKUP(OfficeForms.Table[[#This Row],[Nama Proyek]],'Nama Proyek'!$D$2:$G$40,4,0)</f>
        <v>-3.25078511,134.87791156</v>
      </c>
      <c r="AH862" s="5"/>
      <c r="AI862" s="5"/>
      <c r="AJ862" s="5"/>
      <c r="AK862" s="5" t="s">
        <v>1933</v>
      </c>
    </row>
    <row r="863" spans="1:37" ht="15" hidden="1" customHeight="1">
      <c r="A863" s="50">
        <v>884</v>
      </c>
      <c r="B863" s="111">
        <v>45105</v>
      </c>
      <c r="C863" s="29">
        <f>B863</f>
        <v>45105</v>
      </c>
      <c r="D863" s="9" t="s">
        <v>37</v>
      </c>
      <c r="E863" s="9" t="s">
        <v>994</v>
      </c>
      <c r="F863" s="5" t="str">
        <f>E863</f>
        <v>Nenes Anggi Puspadi</v>
      </c>
      <c r="G863" s="23" t="s">
        <v>924</v>
      </c>
      <c r="H863" s="103"/>
      <c r="I863" s="94">
        <v>0</v>
      </c>
      <c r="J863" s="94">
        <v>0</v>
      </c>
      <c r="K863" s="94">
        <v>0</v>
      </c>
      <c r="L863" s="94">
        <v>0</v>
      </c>
      <c r="M863" s="94">
        <v>0</v>
      </c>
      <c r="N863" s="94">
        <v>0</v>
      </c>
      <c r="O863" s="94">
        <v>0</v>
      </c>
      <c r="P863" s="94">
        <v>0</v>
      </c>
      <c r="Q863" s="94">
        <v>0</v>
      </c>
      <c r="R863" s="94">
        <v>0</v>
      </c>
      <c r="S863" s="94">
        <v>0</v>
      </c>
      <c r="T863" s="94">
        <v>0</v>
      </c>
      <c r="U863" s="94">
        <v>0</v>
      </c>
      <c r="V863" s="94">
        <v>0</v>
      </c>
      <c r="W863" s="94">
        <v>0</v>
      </c>
      <c r="X863" s="94">
        <v>0</v>
      </c>
      <c r="Y863" s="94">
        <v>0</v>
      </c>
      <c r="Z863" s="94"/>
      <c r="AA863" s="9"/>
      <c r="AB863" s="9"/>
      <c r="AC863" s="9"/>
      <c r="AD863" s="9"/>
      <c r="AE863" s="12" t="s">
        <v>1931</v>
      </c>
      <c r="AF863" s="15" t="s">
        <v>1934</v>
      </c>
      <c r="AG863" t="str">
        <f>VLOOKUP(OfficeForms.Table[[#This Row],[Nama Proyek]],'Nama Proyek'!$D$2:$G$40,4,0)</f>
        <v>-3.25078511,134.87791156</v>
      </c>
      <c r="AH863" s="5"/>
      <c r="AI863" s="5"/>
      <c r="AJ863" s="5"/>
      <c r="AK863" s="5" t="s">
        <v>1935</v>
      </c>
    </row>
    <row r="864" spans="1:37" ht="15" hidden="1" customHeight="1">
      <c r="A864">
        <v>885</v>
      </c>
      <c r="B864" s="110">
        <v>45105</v>
      </c>
      <c r="C864" s="28">
        <f>B864</f>
        <v>45105</v>
      </c>
      <c r="D864" s="8" t="s">
        <v>37</v>
      </c>
      <c r="E864" s="8" t="s">
        <v>994</v>
      </c>
      <c r="F864" s="5" t="str">
        <f>E864</f>
        <v>Nenes Anggi Puspadi</v>
      </c>
      <c r="G864" s="23" t="s">
        <v>924</v>
      </c>
      <c r="H864" s="102"/>
      <c r="I864" s="95">
        <v>0</v>
      </c>
      <c r="J864" s="95">
        <v>0</v>
      </c>
      <c r="K864" s="95">
        <v>0</v>
      </c>
      <c r="L864" s="95">
        <v>0</v>
      </c>
      <c r="M864" s="95">
        <v>0</v>
      </c>
      <c r="N864" s="95">
        <v>0</v>
      </c>
      <c r="O864" s="95">
        <v>0</v>
      </c>
      <c r="P864" s="95">
        <v>0</v>
      </c>
      <c r="Q864" s="95">
        <v>0</v>
      </c>
      <c r="R864" s="95">
        <v>0</v>
      </c>
      <c r="S864" s="95">
        <v>0</v>
      </c>
      <c r="T864" s="95">
        <v>0</v>
      </c>
      <c r="U864" s="95">
        <v>0</v>
      </c>
      <c r="V864" s="95">
        <v>0</v>
      </c>
      <c r="W864" s="95">
        <v>0</v>
      </c>
      <c r="X864" s="95">
        <v>0</v>
      </c>
      <c r="Y864" s="95">
        <v>0</v>
      </c>
      <c r="Z864" s="95"/>
      <c r="AA864" s="8"/>
      <c r="AB864" s="8"/>
      <c r="AC864" s="8"/>
      <c r="AD864" s="8"/>
      <c r="AE864" s="16" t="s">
        <v>1931</v>
      </c>
      <c r="AF864" s="9"/>
      <c r="AG864" t="str">
        <f>VLOOKUP(OfficeForms.Table[[#This Row],[Nama Proyek]],'Nama Proyek'!$D$2:$G$40,4,0)</f>
        <v>-3.25078511,134.87791156</v>
      </c>
      <c r="AH864" s="5"/>
      <c r="AI864" s="5"/>
      <c r="AJ864" s="5"/>
      <c r="AK864" s="5" t="s">
        <v>1936</v>
      </c>
    </row>
    <row r="865" spans="1:37" ht="15" hidden="1" customHeight="1">
      <c r="A865" s="31">
        <v>886</v>
      </c>
      <c r="B865" s="111">
        <v>45105</v>
      </c>
      <c r="C865" s="29">
        <f>B865</f>
        <v>45105</v>
      </c>
      <c r="D865" s="9" t="s">
        <v>37</v>
      </c>
      <c r="E865" s="9" t="s">
        <v>994</v>
      </c>
      <c r="F865" s="5" t="str">
        <f>E865</f>
        <v>Nenes Anggi Puspadi</v>
      </c>
      <c r="G865" s="23" t="s">
        <v>924</v>
      </c>
      <c r="H865" s="104"/>
      <c r="I865" s="94">
        <v>0</v>
      </c>
      <c r="J865" s="94">
        <v>0</v>
      </c>
      <c r="K865" s="94">
        <v>0</v>
      </c>
      <c r="L865" s="94">
        <v>0</v>
      </c>
      <c r="M865" s="94">
        <v>0</v>
      </c>
      <c r="N865" s="94">
        <v>0</v>
      </c>
      <c r="O865" s="94">
        <v>0</v>
      </c>
      <c r="P865" s="94">
        <v>0</v>
      </c>
      <c r="Q865" s="94">
        <v>0</v>
      </c>
      <c r="R865" s="94">
        <v>0</v>
      </c>
      <c r="S865" s="94">
        <v>0</v>
      </c>
      <c r="T865" s="94">
        <v>0</v>
      </c>
      <c r="U865" s="94">
        <v>0</v>
      </c>
      <c r="V865" s="94">
        <v>0</v>
      </c>
      <c r="W865" s="94">
        <v>0</v>
      </c>
      <c r="X865" s="94">
        <v>0</v>
      </c>
      <c r="Y865" s="94">
        <v>0</v>
      </c>
      <c r="Z865" s="94"/>
      <c r="AA865" s="9"/>
      <c r="AB865" s="40" t="s">
        <v>1937</v>
      </c>
      <c r="AC865" s="9"/>
      <c r="AD865" s="9"/>
      <c r="AE865" s="12"/>
      <c r="AF865" s="8"/>
      <c r="AG865" t="str">
        <f>VLOOKUP(OfficeForms.Table[[#This Row],[Nama Proyek]],'Nama Proyek'!$D$2:$G$40,4,0)</f>
        <v>-3.25078511,134.87791156</v>
      </c>
      <c r="AH865" s="5"/>
      <c r="AI865" s="5"/>
      <c r="AJ865" s="5"/>
      <c r="AK865" s="5" t="s">
        <v>1938</v>
      </c>
    </row>
    <row r="866" spans="1:37" ht="15" hidden="1" customHeight="1">
      <c r="A866" s="50">
        <v>930</v>
      </c>
      <c r="B866" s="111">
        <v>45109</v>
      </c>
      <c r="C866" s="29">
        <f>B866</f>
        <v>45109</v>
      </c>
      <c r="D866" s="9" t="s">
        <v>37</v>
      </c>
      <c r="E866" s="9" t="s">
        <v>1109</v>
      </c>
      <c r="F866" s="5" t="str">
        <f>E866</f>
        <v>Anzalar Rahman</v>
      </c>
      <c r="G866" s="33" t="s">
        <v>714</v>
      </c>
      <c r="H866" s="104">
        <v>44961</v>
      </c>
      <c r="I866" s="94">
        <v>14.085000000000001</v>
      </c>
      <c r="J866" s="94">
        <v>14.847</v>
      </c>
      <c r="K866" s="94">
        <v>0</v>
      </c>
      <c r="L866" s="94">
        <v>0</v>
      </c>
      <c r="M866" s="94">
        <v>0</v>
      </c>
      <c r="N866" s="94">
        <v>0</v>
      </c>
      <c r="O866" s="94">
        <v>0</v>
      </c>
      <c r="P866" s="94">
        <v>0</v>
      </c>
      <c r="Q866" s="94">
        <v>0</v>
      </c>
      <c r="R866" s="94">
        <v>0</v>
      </c>
      <c r="S866" s="94">
        <v>0</v>
      </c>
      <c r="T866" s="94">
        <v>0</v>
      </c>
      <c r="U866" s="94">
        <v>0</v>
      </c>
      <c r="V866" s="94">
        <v>0</v>
      </c>
      <c r="W866" s="94">
        <v>0</v>
      </c>
      <c r="X866" s="94">
        <v>0</v>
      </c>
      <c r="Y866" s="94">
        <v>0</v>
      </c>
      <c r="Z866" s="94"/>
      <c r="AA866" s="9"/>
      <c r="AB866" s="9"/>
      <c r="AC866" s="9"/>
      <c r="AD866" s="9"/>
      <c r="AE866" s="12"/>
      <c r="AF866" s="19"/>
      <c r="AG866" t="str">
        <f>VLOOKUP(OfficeForms.Table[[#This Row],[Nama Proyek]],'Nama Proyek'!$D$2:$G$29,4,0)</f>
        <v>-0.95259625,116.71704453</v>
      </c>
      <c r="AH866" s="5"/>
      <c r="AI866" s="5"/>
      <c r="AJ866" s="5"/>
      <c r="AK866" s="5" t="s">
        <v>1939</v>
      </c>
    </row>
    <row r="867" spans="1:37" ht="15" hidden="1" customHeight="1">
      <c r="A867">
        <v>569</v>
      </c>
      <c r="B867" s="110">
        <v>45109</v>
      </c>
      <c r="C867" s="28">
        <f>B867</f>
        <v>45109</v>
      </c>
      <c r="D867" s="8" t="s">
        <v>37</v>
      </c>
      <c r="E867" s="8" t="s">
        <v>1109</v>
      </c>
      <c r="F867" s="5" t="str">
        <f>E867</f>
        <v>Anzalar Rahman</v>
      </c>
      <c r="G867" s="38" t="s">
        <v>714</v>
      </c>
      <c r="H867" s="105"/>
      <c r="I867" s="95">
        <v>0</v>
      </c>
      <c r="J867" s="95">
        <v>0</v>
      </c>
      <c r="K867" s="95">
        <v>0</v>
      </c>
      <c r="L867" s="95">
        <v>0</v>
      </c>
      <c r="M867" s="95">
        <v>0</v>
      </c>
      <c r="N867" s="95">
        <v>0</v>
      </c>
      <c r="O867" s="95">
        <v>0</v>
      </c>
      <c r="P867" s="95">
        <v>0</v>
      </c>
      <c r="Q867" s="95">
        <v>0</v>
      </c>
      <c r="R867" s="95">
        <v>0</v>
      </c>
      <c r="S867" s="95">
        <v>0</v>
      </c>
      <c r="T867" s="95">
        <v>0</v>
      </c>
      <c r="U867" s="95">
        <v>0</v>
      </c>
      <c r="V867" s="95">
        <v>0</v>
      </c>
      <c r="W867" s="95">
        <v>0</v>
      </c>
      <c r="X867" s="95">
        <v>0</v>
      </c>
      <c r="Y867" s="95">
        <v>0</v>
      </c>
      <c r="Z867" s="95"/>
      <c r="AA867" s="8" t="s">
        <v>1940</v>
      </c>
      <c r="AB867" s="8" t="s">
        <v>1941</v>
      </c>
      <c r="AC867" s="8" t="s">
        <v>1942</v>
      </c>
      <c r="AD867" s="8" t="s">
        <v>1943</v>
      </c>
      <c r="AE867" s="11"/>
      <c r="AF867" s="15"/>
      <c r="AG867" t="str">
        <f>VLOOKUP(OfficeForms.Table[[#This Row],[Nama Proyek]],'Nama Proyek'!$D$2:$G$29,4,0)</f>
        <v>-0.95259625,116.71704453</v>
      </c>
      <c r="AH867" s="5"/>
      <c r="AI867" s="5"/>
      <c r="AJ867" s="5"/>
      <c r="AK867" s="5" t="s">
        <v>1944</v>
      </c>
    </row>
    <row r="868" spans="1:37" ht="15" hidden="1" customHeight="1">
      <c r="A868" s="31">
        <v>380</v>
      </c>
      <c r="B868" s="111">
        <v>45111</v>
      </c>
      <c r="C868" s="29">
        <f>B868</f>
        <v>45111</v>
      </c>
      <c r="D868" s="9" t="s">
        <v>37</v>
      </c>
      <c r="E868" s="9" t="s">
        <v>75</v>
      </c>
      <c r="F868" s="5" t="str">
        <f>E868</f>
        <v>Banyu Purwita</v>
      </c>
      <c r="G868" s="54" t="s">
        <v>76</v>
      </c>
      <c r="H868" s="103">
        <v>45022</v>
      </c>
      <c r="I868" s="94">
        <v>44.558999999999997</v>
      </c>
      <c r="J868" s="94">
        <v>46.625</v>
      </c>
      <c r="K868" s="94">
        <v>0</v>
      </c>
      <c r="L868" s="94">
        <v>0</v>
      </c>
      <c r="M868" s="94">
        <v>2.0630000000000002</v>
      </c>
      <c r="N868" s="94">
        <v>0</v>
      </c>
      <c r="O868" s="94">
        <v>12.15</v>
      </c>
      <c r="P868" s="94">
        <v>0</v>
      </c>
      <c r="Q868" s="94">
        <v>2.0089999999999999</v>
      </c>
      <c r="R868" s="94">
        <v>0</v>
      </c>
      <c r="S868" s="94">
        <v>26.491</v>
      </c>
      <c r="T868" s="94">
        <v>0</v>
      </c>
      <c r="U868" s="94">
        <v>6.3E-2</v>
      </c>
      <c r="V868" s="94">
        <v>0</v>
      </c>
      <c r="W868" s="94">
        <v>0</v>
      </c>
      <c r="X868" s="94">
        <v>0</v>
      </c>
      <c r="Y868" s="94">
        <v>0</v>
      </c>
      <c r="Z868" s="94"/>
      <c r="AA868" s="9"/>
      <c r="AB868" s="9"/>
      <c r="AC868" s="9"/>
      <c r="AD868" s="9"/>
      <c r="AE868" s="18"/>
      <c r="AF868" s="8"/>
      <c r="AG868" t="str">
        <f>VLOOKUP(OfficeForms.Table[[#This Row],[Nama Proyek]],'Nama Proyek'!$D$2:$G$29,4,0)</f>
        <v>-2.95293103,104.75455094</v>
      </c>
      <c r="AH868" s="5"/>
      <c r="AI868" s="5"/>
      <c r="AJ868" s="5"/>
      <c r="AK868" s="5" t="s">
        <v>1945</v>
      </c>
    </row>
    <row r="869" spans="1:37" ht="15" hidden="1" customHeight="1">
      <c r="A869" s="31">
        <v>811</v>
      </c>
      <c r="B869" s="110">
        <v>45111</v>
      </c>
      <c r="C869" s="28">
        <f>B869</f>
        <v>45111</v>
      </c>
      <c r="D869" s="8" t="s">
        <v>37</v>
      </c>
      <c r="E869" s="8" t="s">
        <v>75</v>
      </c>
      <c r="F869" s="5" t="str">
        <f>E869</f>
        <v>Banyu Purwita</v>
      </c>
      <c r="G869" s="55" t="s">
        <v>76</v>
      </c>
      <c r="H869" s="105"/>
      <c r="I869" s="95">
        <v>0</v>
      </c>
      <c r="J869" s="95">
        <v>0</v>
      </c>
      <c r="K869" s="95">
        <v>0</v>
      </c>
      <c r="L869" s="95">
        <v>0</v>
      </c>
      <c r="M869" s="95">
        <v>0</v>
      </c>
      <c r="N869" s="95">
        <v>0</v>
      </c>
      <c r="O869" s="95">
        <v>0</v>
      </c>
      <c r="P869" s="95">
        <v>0</v>
      </c>
      <c r="Q869" s="95">
        <v>0</v>
      </c>
      <c r="R869" s="95">
        <v>0</v>
      </c>
      <c r="S869" s="95">
        <v>0</v>
      </c>
      <c r="T869" s="95">
        <v>0</v>
      </c>
      <c r="U869" s="95">
        <v>0</v>
      </c>
      <c r="V869" s="95">
        <v>0</v>
      </c>
      <c r="W869" s="95">
        <v>0</v>
      </c>
      <c r="X869" s="95">
        <v>0</v>
      </c>
      <c r="Y869" s="95">
        <v>0</v>
      </c>
      <c r="Z869" s="95"/>
      <c r="AA869" s="8"/>
      <c r="AB869" s="8"/>
      <c r="AC869" s="8"/>
      <c r="AD869" s="8"/>
      <c r="AE869" s="11">
        <v>45081</v>
      </c>
      <c r="AF869" s="9"/>
      <c r="AG869" t="str">
        <f>VLOOKUP(OfficeForms.Table[[#This Row],[Nama Proyek]],'Nama Proyek'!$D$2:$G$29,4,0)</f>
        <v>-2.95293103,104.75455094</v>
      </c>
      <c r="AH869" s="5"/>
      <c r="AI869" s="5"/>
      <c r="AJ869" s="5"/>
      <c r="AK869" s="5" t="s">
        <v>1946</v>
      </c>
    </row>
    <row r="870" spans="1:37" ht="15" hidden="1" customHeight="1">
      <c r="A870" s="31">
        <v>816</v>
      </c>
      <c r="B870" s="111">
        <v>45111</v>
      </c>
      <c r="C870" s="29">
        <f>B870</f>
        <v>45111</v>
      </c>
      <c r="D870" s="9" t="s">
        <v>37</v>
      </c>
      <c r="E870" s="9" t="s">
        <v>75</v>
      </c>
      <c r="F870" s="5" t="str">
        <f>E870</f>
        <v>Banyu Purwita</v>
      </c>
      <c r="G870" s="54" t="s">
        <v>76</v>
      </c>
      <c r="H870" s="103"/>
      <c r="I870" s="94">
        <v>0</v>
      </c>
      <c r="J870" s="94">
        <v>0</v>
      </c>
      <c r="K870" s="94">
        <v>0</v>
      </c>
      <c r="L870" s="94">
        <v>0</v>
      </c>
      <c r="M870" s="94">
        <v>0</v>
      </c>
      <c r="N870" s="94">
        <v>0</v>
      </c>
      <c r="O870" s="94">
        <v>0</v>
      </c>
      <c r="P870" s="94">
        <v>0</v>
      </c>
      <c r="Q870" s="94">
        <v>0</v>
      </c>
      <c r="R870" s="94">
        <v>0</v>
      </c>
      <c r="S870" s="94">
        <v>0</v>
      </c>
      <c r="T870" s="94">
        <v>0</v>
      </c>
      <c r="U870" s="94">
        <v>0</v>
      </c>
      <c r="V870" s="94">
        <v>0</v>
      </c>
      <c r="W870" s="94">
        <v>0</v>
      </c>
      <c r="X870" s="94">
        <v>0</v>
      </c>
      <c r="Y870" s="94">
        <v>0</v>
      </c>
      <c r="Z870" s="94"/>
      <c r="AA870" s="9" t="s">
        <v>1947</v>
      </c>
      <c r="AB870" s="9" t="s">
        <v>1948</v>
      </c>
      <c r="AC870" s="17" t="s">
        <v>1949</v>
      </c>
      <c r="AD870" s="17" t="s">
        <v>1949</v>
      </c>
      <c r="AE870" s="18"/>
      <c r="AF870" s="41" t="s">
        <v>1950</v>
      </c>
      <c r="AG870" t="str">
        <f>VLOOKUP(OfficeForms.Table[[#This Row],[Nama Proyek]],'Nama Proyek'!$D$2:$G$29,4,0)</f>
        <v>-2.95293103,104.75455094</v>
      </c>
      <c r="AH870" s="5"/>
      <c r="AI870" s="5"/>
      <c r="AJ870" s="5"/>
      <c r="AK870" s="5" t="s">
        <v>1951</v>
      </c>
    </row>
    <row r="871" spans="1:37" ht="15" hidden="1" customHeight="1">
      <c r="A871" s="50">
        <v>892</v>
      </c>
      <c r="B871" s="111">
        <v>45128</v>
      </c>
      <c r="C871" s="29">
        <f>B871</f>
        <v>45128</v>
      </c>
      <c r="D871" s="9" t="s">
        <v>37</v>
      </c>
      <c r="E871" s="9" t="s">
        <v>1952</v>
      </c>
      <c r="F871" s="5" t="s">
        <v>1952</v>
      </c>
      <c r="G871" s="33" t="s">
        <v>80</v>
      </c>
      <c r="H871" s="103"/>
      <c r="I871" s="94">
        <v>0</v>
      </c>
      <c r="J871" s="94">
        <v>0</v>
      </c>
      <c r="K871" s="94">
        <v>0</v>
      </c>
      <c r="L871" s="94">
        <v>0</v>
      </c>
      <c r="M871" s="94">
        <v>0</v>
      </c>
      <c r="N871" s="94">
        <v>0</v>
      </c>
      <c r="O871" s="94">
        <v>0</v>
      </c>
      <c r="P871" s="94">
        <v>0</v>
      </c>
      <c r="Q871" s="94">
        <v>0</v>
      </c>
      <c r="R871" s="94">
        <v>0</v>
      </c>
      <c r="S871" s="94">
        <v>0</v>
      </c>
      <c r="T871" s="94">
        <v>0</v>
      </c>
      <c r="U871" s="94">
        <v>0</v>
      </c>
      <c r="V871" s="94">
        <v>0</v>
      </c>
      <c r="W871" s="94">
        <v>0</v>
      </c>
      <c r="X871" s="94">
        <v>0</v>
      </c>
      <c r="Y871" s="94">
        <v>0</v>
      </c>
      <c r="Z871" s="94"/>
      <c r="AA871" s="9" t="s">
        <v>421</v>
      </c>
      <c r="AB871" s="20" t="s">
        <v>261</v>
      </c>
      <c r="AC871" s="9" t="s">
        <v>1953</v>
      </c>
      <c r="AD871" s="9" t="s">
        <v>1953</v>
      </c>
      <c r="AE871" s="12"/>
      <c r="AF871" s="42"/>
      <c r="AG871" t="str">
        <f>VLOOKUP(OfficeForms.Table[[#This Row],[Nama Proyek]],'Nama Proyek'!$D$2:$G$29,4,0)</f>
        <v>-7.82225167,113.29968319</v>
      </c>
      <c r="AH871" s="5"/>
      <c r="AI871" s="5"/>
      <c r="AJ871" s="5"/>
      <c r="AK871" s="5" t="s">
        <v>1954</v>
      </c>
    </row>
    <row r="872" spans="1:37" ht="15" hidden="1" customHeight="1">
      <c r="A872">
        <v>533</v>
      </c>
      <c r="B872" s="110">
        <v>45129</v>
      </c>
      <c r="C872" s="28">
        <f>B872</f>
        <v>45129</v>
      </c>
      <c r="D872" s="8" t="s">
        <v>37</v>
      </c>
      <c r="E872" s="8" t="s">
        <v>109</v>
      </c>
      <c r="F872" s="5" t="str">
        <f>E872</f>
        <v>Muhamad Saifudin Ashari</v>
      </c>
      <c r="G872" s="19" t="s">
        <v>39</v>
      </c>
      <c r="H872" s="102"/>
      <c r="I872" s="95">
        <v>0</v>
      </c>
      <c r="J872" s="95">
        <v>0</v>
      </c>
      <c r="K872" s="95">
        <v>0</v>
      </c>
      <c r="L872" s="95">
        <v>0</v>
      </c>
      <c r="M872" s="95">
        <v>0</v>
      </c>
      <c r="N872" s="95">
        <v>0</v>
      </c>
      <c r="O872" s="95">
        <v>0</v>
      </c>
      <c r="P872" s="95">
        <v>0</v>
      </c>
      <c r="Q872" s="95">
        <v>0</v>
      </c>
      <c r="R872" s="95">
        <v>0</v>
      </c>
      <c r="S872" s="95">
        <v>0</v>
      </c>
      <c r="T872" s="95">
        <v>0</v>
      </c>
      <c r="U872" s="95">
        <v>0</v>
      </c>
      <c r="V872" s="95">
        <v>0</v>
      </c>
      <c r="W872" s="95">
        <v>0</v>
      </c>
      <c r="X872" s="95">
        <v>0</v>
      </c>
      <c r="Y872" s="95">
        <v>0</v>
      </c>
      <c r="Z872" s="95"/>
      <c r="AA872" s="8"/>
      <c r="AB872" s="8"/>
      <c r="AC872" s="8"/>
      <c r="AD872" s="8"/>
      <c r="AE872" s="16">
        <v>45023</v>
      </c>
      <c r="AF872" s="9"/>
      <c r="AG872" t="str">
        <f>VLOOKUP(OfficeForms.Table[[#This Row],[Nama Proyek]],'Nama Proyek'!$D$2:$G$29,4,0)</f>
        <v>-6.80675464,106.785366</v>
      </c>
      <c r="AH872" s="5"/>
      <c r="AI872" s="5"/>
      <c r="AJ872" s="5"/>
      <c r="AK872" s="5" t="s">
        <v>1955</v>
      </c>
    </row>
    <row r="873" spans="1:37" ht="15" hidden="1" customHeight="1">
      <c r="A873" s="30">
        <v>534</v>
      </c>
      <c r="B873" s="111">
        <v>45129</v>
      </c>
      <c r="C873" s="29">
        <f>B873</f>
        <v>45129</v>
      </c>
      <c r="D873" s="9" t="s">
        <v>37</v>
      </c>
      <c r="E873" s="9" t="s">
        <v>109</v>
      </c>
      <c r="F873" s="5" t="str">
        <f>E873</f>
        <v>Muhamad Saifudin Ashari</v>
      </c>
      <c r="G873" s="17" t="s">
        <v>39</v>
      </c>
      <c r="H873" s="104"/>
      <c r="I873" s="94">
        <v>0</v>
      </c>
      <c r="J873" s="94">
        <v>0</v>
      </c>
      <c r="K873" s="94">
        <v>0</v>
      </c>
      <c r="L873" s="94">
        <v>0</v>
      </c>
      <c r="M873" s="94">
        <v>0</v>
      </c>
      <c r="N873" s="94">
        <v>0</v>
      </c>
      <c r="O873" s="94">
        <v>0</v>
      </c>
      <c r="P873" s="94">
        <v>0</v>
      </c>
      <c r="Q873" s="94">
        <v>0</v>
      </c>
      <c r="R873" s="94">
        <v>0</v>
      </c>
      <c r="S873" s="94">
        <v>0</v>
      </c>
      <c r="T873" s="94">
        <v>0</v>
      </c>
      <c r="U873" s="94">
        <v>0</v>
      </c>
      <c r="V873" s="94">
        <v>0</v>
      </c>
      <c r="W873" s="94">
        <v>0</v>
      </c>
      <c r="X873" s="94">
        <v>0</v>
      </c>
      <c r="Y873" s="94">
        <v>0</v>
      </c>
      <c r="Z873" s="94"/>
      <c r="AA873" s="9" t="s">
        <v>1956</v>
      </c>
      <c r="AB873" s="9" t="s">
        <v>1957</v>
      </c>
      <c r="AC873" s="9" t="s">
        <v>1958</v>
      </c>
      <c r="AD873" s="9" t="s">
        <v>1959</v>
      </c>
      <c r="AE873" s="12"/>
      <c r="AF873" s="19"/>
      <c r="AG873" t="str">
        <f>VLOOKUP(OfficeForms.Table[[#This Row],[Nama Proyek]],'Nama Proyek'!$D$2:$G$29,4,0)</f>
        <v>-6.80675464,106.785366</v>
      </c>
      <c r="AH873" s="5"/>
      <c r="AI873" s="5"/>
      <c r="AJ873" s="5"/>
      <c r="AK873" s="5" t="s">
        <v>1960</v>
      </c>
    </row>
    <row r="874" spans="1:37" ht="15" hidden="1" customHeight="1">
      <c r="A874" s="31">
        <v>1014</v>
      </c>
      <c r="B874" s="111">
        <v>45131</v>
      </c>
      <c r="C874" s="29">
        <f>B874</f>
        <v>45131</v>
      </c>
      <c r="D874" s="8" t="s">
        <v>37</v>
      </c>
      <c r="E874" s="8" t="s">
        <v>109</v>
      </c>
      <c r="F874" s="5" t="str">
        <f>E874</f>
        <v>Muhamad Saifudin Ashari</v>
      </c>
      <c r="G874" s="17" t="s">
        <v>39</v>
      </c>
      <c r="H874" s="102">
        <v>45130</v>
      </c>
      <c r="I874" s="95">
        <v>96.974000000000004</v>
      </c>
      <c r="J874" s="95">
        <v>99.730999999999995</v>
      </c>
      <c r="K874" s="95">
        <v>107.584</v>
      </c>
      <c r="L874" s="95">
        <v>100.358</v>
      </c>
      <c r="M874" s="95">
        <v>99.674999999999997</v>
      </c>
      <c r="N874" s="95">
        <v>99.628</v>
      </c>
      <c r="O874" s="95">
        <v>84.082999999999998</v>
      </c>
      <c r="P874" s="95">
        <v>96.41</v>
      </c>
      <c r="Q874" s="95">
        <v>93.602999999999994</v>
      </c>
      <c r="R874" s="95">
        <v>95.488</v>
      </c>
      <c r="S874" s="95">
        <v>99.457999999999998</v>
      </c>
      <c r="T874" s="95">
        <v>98.314999999999998</v>
      </c>
      <c r="U874" s="95">
        <v>87.546000000000006</v>
      </c>
      <c r="V874" s="95">
        <v>77.037999999999997</v>
      </c>
      <c r="W874" s="95">
        <v>96.394000000000005</v>
      </c>
      <c r="X874" s="95">
        <v>31.001000000000001</v>
      </c>
      <c r="Y874" s="95">
        <v>51.639000000000003</v>
      </c>
      <c r="Z874" s="95"/>
      <c r="AA874" s="8"/>
      <c r="AB874" s="8"/>
      <c r="AC874" s="8"/>
      <c r="AD874" s="8"/>
      <c r="AE874" s="11"/>
      <c r="AF874" s="43" t="s">
        <v>1961</v>
      </c>
      <c r="AG874" t="str">
        <f>VLOOKUP(OfficeForms.Table[[#This Row],[Nama Proyek]],'Nama Proyek'!$D$2:$G$29,4,0)</f>
        <v>-6.80675464,106.785366</v>
      </c>
      <c r="AH874" s="5"/>
      <c r="AI874" s="5"/>
      <c r="AJ874" s="5"/>
      <c r="AK874" s="5" t="s">
        <v>1962</v>
      </c>
    </row>
    <row r="875" spans="1:37" ht="15" hidden="1" customHeight="1">
      <c r="A875" s="30">
        <v>966</v>
      </c>
      <c r="B875" s="111">
        <v>45132</v>
      </c>
      <c r="C875" s="29">
        <f>B875</f>
        <v>45132</v>
      </c>
      <c r="D875" s="8" t="s">
        <v>37</v>
      </c>
      <c r="E875" s="8" t="s">
        <v>1109</v>
      </c>
      <c r="F875" s="5" t="str">
        <f>E875</f>
        <v>Anzalar Rahman</v>
      </c>
      <c r="G875" s="36" t="s">
        <v>714</v>
      </c>
      <c r="H875" s="102">
        <v>45130</v>
      </c>
      <c r="I875" s="95">
        <v>47.174999999999997</v>
      </c>
      <c r="J875" s="95">
        <v>44.726999999999997</v>
      </c>
      <c r="K875" s="95">
        <v>0</v>
      </c>
      <c r="L875" s="95">
        <v>0</v>
      </c>
      <c r="M875" s="95">
        <v>0</v>
      </c>
      <c r="N875" s="95">
        <v>0</v>
      </c>
      <c r="O875" s="95">
        <v>0</v>
      </c>
      <c r="P875" s="95">
        <v>0</v>
      </c>
      <c r="Q875" s="95">
        <v>0</v>
      </c>
      <c r="R875" s="95">
        <v>0</v>
      </c>
      <c r="S875" s="95">
        <v>0</v>
      </c>
      <c r="T875" s="95">
        <v>0</v>
      </c>
      <c r="U875" s="95">
        <v>0</v>
      </c>
      <c r="V875" s="95">
        <v>0</v>
      </c>
      <c r="W875" s="95">
        <v>0</v>
      </c>
      <c r="X875" s="95">
        <v>0</v>
      </c>
      <c r="Y875" s="95">
        <v>0</v>
      </c>
      <c r="Z875" s="95"/>
      <c r="AA875" s="8"/>
      <c r="AB875" s="8"/>
      <c r="AC875" s="8"/>
      <c r="AD875" s="8"/>
      <c r="AE875" s="11"/>
      <c r="AF875" s="8"/>
      <c r="AG875" t="str">
        <f>VLOOKUP(OfficeForms.Table[[#This Row],[Nama Proyek]],'Nama Proyek'!$D$2:$G$29,4,0)</f>
        <v>-0.95259625,116.71704453</v>
      </c>
      <c r="AH875" s="5"/>
      <c r="AI875" s="5"/>
      <c r="AJ875" s="5"/>
      <c r="AK875" s="5" t="s">
        <v>1963</v>
      </c>
    </row>
    <row r="876" spans="1:37" ht="15" hidden="1" customHeight="1">
      <c r="A876" s="50">
        <v>721</v>
      </c>
      <c r="B876" s="110">
        <v>45132</v>
      </c>
      <c r="C876" s="28">
        <f>B876</f>
        <v>45132</v>
      </c>
      <c r="D876" s="19" t="s">
        <v>37</v>
      </c>
      <c r="E876" s="19" t="s">
        <v>1109</v>
      </c>
      <c r="F876" s="5" t="str">
        <f>E876</f>
        <v>Anzalar Rahman</v>
      </c>
      <c r="G876" s="35" t="s">
        <v>714</v>
      </c>
      <c r="H876" s="101"/>
      <c r="I876" s="96">
        <v>0</v>
      </c>
      <c r="J876" s="96">
        <v>0</v>
      </c>
      <c r="K876" s="96">
        <v>0</v>
      </c>
      <c r="L876" s="96">
        <v>0</v>
      </c>
      <c r="M876" s="96">
        <v>0</v>
      </c>
      <c r="N876" s="96">
        <v>0</v>
      </c>
      <c r="O876" s="96">
        <v>0</v>
      </c>
      <c r="P876" s="96">
        <v>0</v>
      </c>
      <c r="Q876" s="96">
        <v>0</v>
      </c>
      <c r="R876" s="96">
        <v>0</v>
      </c>
      <c r="S876" s="96">
        <v>0</v>
      </c>
      <c r="T876" s="96">
        <v>0</v>
      </c>
      <c r="U876" s="96">
        <v>0</v>
      </c>
      <c r="V876" s="96">
        <v>0</v>
      </c>
      <c r="W876" s="96">
        <v>0</v>
      </c>
      <c r="X876" s="96">
        <v>0</v>
      </c>
      <c r="Y876" s="96">
        <v>0</v>
      </c>
      <c r="Z876" s="96"/>
      <c r="AA876" s="19" t="s">
        <v>1964</v>
      </c>
      <c r="AB876" s="19" t="s">
        <v>1965</v>
      </c>
      <c r="AC876" s="19" t="s">
        <v>1966</v>
      </c>
      <c r="AD876" s="19" t="s">
        <v>1967</v>
      </c>
      <c r="AE876" s="13"/>
      <c r="AF876" s="17"/>
      <c r="AG876" t="str">
        <f>VLOOKUP(OfficeForms.Table[[#This Row],[Nama Proyek]],'Nama Proyek'!$D$2:$G$29,4,0)</f>
        <v>-0.95259625,116.71704453</v>
      </c>
      <c r="AH876" s="5"/>
      <c r="AI876" s="5"/>
      <c r="AJ876" s="5"/>
      <c r="AK876" s="5" t="s">
        <v>1968</v>
      </c>
    </row>
    <row r="877" spans="1:37" ht="15" hidden="1" customHeight="1">
      <c r="A877" s="50">
        <v>800</v>
      </c>
      <c r="B877" s="111">
        <v>45132</v>
      </c>
      <c r="C877" s="29">
        <f>B877</f>
        <v>45132</v>
      </c>
      <c r="D877" s="9" t="s">
        <v>37</v>
      </c>
      <c r="E877" s="9" t="s">
        <v>1109</v>
      </c>
      <c r="F877" s="5" t="str">
        <f>E877</f>
        <v>Anzalar Rahman</v>
      </c>
      <c r="G877" s="36" t="s">
        <v>714</v>
      </c>
      <c r="H877" s="103"/>
      <c r="I877" s="94">
        <v>0</v>
      </c>
      <c r="J877" s="94">
        <v>0</v>
      </c>
      <c r="K877" s="94">
        <v>0</v>
      </c>
      <c r="L877" s="94">
        <v>0</v>
      </c>
      <c r="M877" s="94">
        <v>0</v>
      </c>
      <c r="N877" s="94">
        <v>0</v>
      </c>
      <c r="O877" s="94">
        <v>0</v>
      </c>
      <c r="P877" s="94">
        <v>0</v>
      </c>
      <c r="Q877" s="94">
        <v>0</v>
      </c>
      <c r="R877" s="94">
        <v>0</v>
      </c>
      <c r="S877" s="94">
        <v>0</v>
      </c>
      <c r="T877" s="94">
        <v>0</v>
      </c>
      <c r="U877" s="94">
        <v>0</v>
      </c>
      <c r="V877" s="94">
        <v>0</v>
      </c>
      <c r="W877" s="94">
        <v>0</v>
      </c>
      <c r="X877" s="94">
        <v>0</v>
      </c>
      <c r="Y877" s="94">
        <v>0</v>
      </c>
      <c r="Z877" s="94"/>
      <c r="AA877" s="9"/>
      <c r="AB877" s="9"/>
      <c r="AC877" s="17"/>
      <c r="AD877" s="17"/>
      <c r="AE877" s="18">
        <v>44927</v>
      </c>
      <c r="AF877" s="26" t="s">
        <v>1969</v>
      </c>
      <c r="AG877" t="str">
        <f>VLOOKUP(OfficeForms.Table[[#This Row],[Nama Proyek]],'Nama Proyek'!$D$2:$G$29,4,0)</f>
        <v>-0.95259625,116.71704453</v>
      </c>
      <c r="AH877" s="5"/>
      <c r="AI877" s="5"/>
      <c r="AJ877" s="5"/>
      <c r="AK877" s="5" t="s">
        <v>1970</v>
      </c>
    </row>
    <row r="878" spans="1:37" ht="15" hidden="1" customHeight="1">
      <c r="A878" s="31">
        <v>801</v>
      </c>
      <c r="B878" s="110">
        <v>45132</v>
      </c>
      <c r="C878" s="28">
        <f>B878</f>
        <v>45132</v>
      </c>
      <c r="D878" s="8" t="s">
        <v>37</v>
      </c>
      <c r="E878" s="8" t="s">
        <v>1109</v>
      </c>
      <c r="F878" s="5" t="str">
        <f>E878</f>
        <v>Anzalar Rahman</v>
      </c>
      <c r="G878" s="38" t="s">
        <v>714</v>
      </c>
      <c r="H878" s="102"/>
      <c r="I878" s="95">
        <v>0</v>
      </c>
      <c r="J878" s="95">
        <v>0</v>
      </c>
      <c r="K878" s="95">
        <v>0</v>
      </c>
      <c r="L878" s="95">
        <v>0</v>
      </c>
      <c r="M878" s="95">
        <v>0</v>
      </c>
      <c r="N878" s="95">
        <v>0</v>
      </c>
      <c r="O878" s="95">
        <v>0</v>
      </c>
      <c r="P878" s="95">
        <v>0</v>
      </c>
      <c r="Q878" s="95">
        <v>0</v>
      </c>
      <c r="R878" s="95">
        <v>0</v>
      </c>
      <c r="S878" s="95">
        <v>0</v>
      </c>
      <c r="T878" s="95">
        <v>0</v>
      </c>
      <c r="U878" s="95">
        <v>0</v>
      </c>
      <c r="V878" s="95">
        <v>0</v>
      </c>
      <c r="W878" s="95">
        <v>0</v>
      </c>
      <c r="X878" s="95">
        <v>0</v>
      </c>
      <c r="Y878" s="95">
        <v>0</v>
      </c>
      <c r="Z878" s="95"/>
      <c r="AA878" s="8"/>
      <c r="AB878" s="8"/>
      <c r="AC878" s="8"/>
      <c r="AD878" s="8"/>
      <c r="AE878" s="16">
        <v>44933</v>
      </c>
      <c r="AF878" s="17"/>
      <c r="AG878" t="str">
        <f>VLOOKUP(OfficeForms.Table[[#This Row],[Nama Proyek]],'Nama Proyek'!$D$2:$G$29,4,0)</f>
        <v>-0.95259625,116.71704453</v>
      </c>
      <c r="AH878" s="5"/>
      <c r="AI878" s="5"/>
      <c r="AJ878" s="5"/>
      <c r="AK878" s="5" t="s">
        <v>1971</v>
      </c>
    </row>
    <row r="879" spans="1:37" ht="15" hidden="1" customHeight="1">
      <c r="A879" s="30">
        <v>946</v>
      </c>
      <c r="B879" s="111">
        <v>45133</v>
      </c>
      <c r="C879" s="29">
        <f>B879</f>
        <v>45133</v>
      </c>
      <c r="D879" s="9" t="s">
        <v>37</v>
      </c>
      <c r="E879" s="9" t="s">
        <v>64</v>
      </c>
      <c r="F879" s="5" t="str">
        <f>E879</f>
        <v>Nizar Zulkarnain</v>
      </c>
      <c r="G879" s="9" t="s">
        <v>65</v>
      </c>
      <c r="H879" s="103">
        <v>45130</v>
      </c>
      <c r="I879" s="94">
        <v>79.087000000000003</v>
      </c>
      <c r="J879" s="94">
        <v>81.814999999999998</v>
      </c>
      <c r="K879" s="94">
        <v>72.394999999999996</v>
      </c>
      <c r="L879" s="94">
        <v>66.837999999999994</v>
      </c>
      <c r="M879" s="94">
        <v>84.004999999999995</v>
      </c>
      <c r="N879" s="94">
        <v>92.096000000000004</v>
      </c>
      <c r="O879" s="94">
        <v>72.222999999999999</v>
      </c>
      <c r="P879" s="94">
        <v>73.668999999999997</v>
      </c>
      <c r="Q879" s="94">
        <v>74.605999999999995</v>
      </c>
      <c r="R879" s="94">
        <v>62.584000000000003</v>
      </c>
      <c r="S879" s="94">
        <v>88.281999999999996</v>
      </c>
      <c r="T879" s="94">
        <v>90.212999999999994</v>
      </c>
      <c r="U879" s="94">
        <v>46.343000000000004</v>
      </c>
      <c r="V879" s="94">
        <v>22.587</v>
      </c>
      <c r="W879" s="94">
        <v>0</v>
      </c>
      <c r="X879" s="94">
        <v>98.36</v>
      </c>
      <c r="Y879" s="94">
        <v>41.485999999999997</v>
      </c>
      <c r="Z879" s="94"/>
      <c r="AA879" s="9"/>
      <c r="AB879" s="9"/>
      <c r="AC879" s="9"/>
      <c r="AD879" s="9"/>
      <c r="AE879" s="18"/>
      <c r="AF879" s="19"/>
      <c r="AG879" t="str">
        <f>VLOOKUP(OfficeForms.Table[[#This Row],[Nama Proyek]],'Nama Proyek'!$D$2:$G$29,4,0)</f>
        <v>-6.35008011,107.02324233</v>
      </c>
      <c r="AH879" s="5"/>
      <c r="AI879" s="5"/>
      <c r="AJ879" s="5"/>
      <c r="AK879" s="5" t="s">
        <v>1972</v>
      </c>
    </row>
    <row r="880" spans="1:37" ht="15" hidden="1" customHeight="1">
      <c r="A880" s="30">
        <v>900</v>
      </c>
      <c r="B880" s="111">
        <v>45133</v>
      </c>
      <c r="C880" s="29">
        <f>B880</f>
        <v>45133</v>
      </c>
      <c r="D880" s="8" t="s">
        <v>37</v>
      </c>
      <c r="E880" s="8" t="s">
        <v>47</v>
      </c>
      <c r="F880" s="5" t="str">
        <f>E880</f>
        <v>Basuki Rahmat Hakim</v>
      </c>
      <c r="G880" s="59" t="s">
        <v>48</v>
      </c>
      <c r="H880" s="105">
        <v>45133</v>
      </c>
      <c r="I880" s="95">
        <v>58.57</v>
      </c>
      <c r="J880" s="95">
        <v>64.64</v>
      </c>
      <c r="K880" s="95">
        <v>0</v>
      </c>
      <c r="L880" s="95">
        <v>56.582999999999998</v>
      </c>
      <c r="M880" s="95">
        <v>0</v>
      </c>
      <c r="N880" s="95">
        <v>0</v>
      </c>
      <c r="O880" s="95">
        <v>0</v>
      </c>
      <c r="P880" s="95">
        <v>0</v>
      </c>
      <c r="Q880" s="95">
        <v>0</v>
      </c>
      <c r="R880" s="95">
        <v>0.23100000000000001</v>
      </c>
      <c r="S880" s="95">
        <v>0</v>
      </c>
      <c r="T880" s="95">
        <v>0</v>
      </c>
      <c r="U880" s="95">
        <v>0</v>
      </c>
      <c r="V880" s="95">
        <v>0</v>
      </c>
      <c r="W880" s="95">
        <v>0</v>
      </c>
      <c r="X880" s="95">
        <v>0</v>
      </c>
      <c r="Y880" s="95">
        <v>0</v>
      </c>
      <c r="Z880" s="95"/>
      <c r="AA880" s="8"/>
      <c r="AB880" s="8"/>
      <c r="AC880" s="8"/>
      <c r="AD880" s="8"/>
      <c r="AE880" s="11"/>
      <c r="AF880" s="19"/>
      <c r="AG880" t="str">
        <f>VLOOKUP(OfficeForms.Table[[#This Row],[Nama Proyek]],'Nama Proyek'!$D$2:$G$29,4,0)</f>
        <v>3.76047575,115.89977678</v>
      </c>
      <c r="AH880" s="5"/>
      <c r="AI880" s="5"/>
      <c r="AJ880" s="5"/>
      <c r="AK880" s="5" t="s">
        <v>1973</v>
      </c>
    </row>
    <row r="881" spans="1:37" ht="15" hidden="1" customHeight="1">
      <c r="A881">
        <v>904</v>
      </c>
      <c r="B881" s="111">
        <v>45133</v>
      </c>
      <c r="C881" s="29">
        <f>B881</f>
        <v>45133</v>
      </c>
      <c r="D881" s="8" t="s">
        <v>37</v>
      </c>
      <c r="E881" s="8" t="s">
        <v>687</v>
      </c>
      <c r="F881" s="5" t="str">
        <f>E881</f>
        <v>Andri Julio Hermawan</v>
      </c>
      <c r="G881" s="22" t="s">
        <v>750</v>
      </c>
      <c r="H881" s="102">
        <v>45133</v>
      </c>
      <c r="I881" s="95">
        <v>35.627000000000002</v>
      </c>
      <c r="J881" s="95">
        <v>34.606000000000002</v>
      </c>
      <c r="K881" s="95">
        <v>0</v>
      </c>
      <c r="L881" s="95">
        <v>0</v>
      </c>
      <c r="M881" s="95">
        <v>16.798999999999999</v>
      </c>
      <c r="N881" s="95">
        <v>0</v>
      </c>
      <c r="O881" s="95">
        <v>0</v>
      </c>
      <c r="P881" s="95">
        <v>0</v>
      </c>
      <c r="Q881" s="95">
        <v>0</v>
      </c>
      <c r="R881" s="95">
        <v>0</v>
      </c>
      <c r="S881" s="95">
        <v>17.751999999999999</v>
      </c>
      <c r="T881" s="95">
        <v>0</v>
      </c>
      <c r="U881" s="95">
        <v>0</v>
      </c>
      <c r="V881" s="95">
        <v>0</v>
      </c>
      <c r="W881" s="95">
        <v>0</v>
      </c>
      <c r="X881" s="95">
        <v>0</v>
      </c>
      <c r="Y881" s="95">
        <v>0</v>
      </c>
      <c r="Z881" s="95"/>
      <c r="AA881" s="8"/>
      <c r="AB881" s="8"/>
      <c r="AC881" s="8"/>
      <c r="AD881" s="8"/>
      <c r="AE881" s="11"/>
      <c r="AF881" s="43" t="s">
        <v>1974</v>
      </c>
      <c r="AG881" t="str">
        <f>VLOOKUP(OfficeForms.Table[[#This Row],[Nama Proyek]],'Nama Proyek'!$D$2:$G$29,4,0)</f>
        <v>-1.10415341,116.73424356</v>
      </c>
      <c r="AH881" s="5"/>
      <c r="AI881" s="5"/>
      <c r="AJ881" s="5"/>
      <c r="AK881" s="5" t="s">
        <v>1975</v>
      </c>
    </row>
    <row r="882" spans="1:37" ht="15" hidden="1" customHeight="1">
      <c r="A882">
        <v>487</v>
      </c>
      <c r="B882" s="110">
        <v>45133</v>
      </c>
      <c r="C882" s="28">
        <f>B882</f>
        <v>45133</v>
      </c>
      <c r="D882" s="8" t="s">
        <v>37</v>
      </c>
      <c r="E882" s="8" t="s">
        <v>64</v>
      </c>
      <c r="F882" s="5" t="str">
        <f>E882</f>
        <v>Nizar Zulkarnain</v>
      </c>
      <c r="G882" s="42" t="s">
        <v>65</v>
      </c>
      <c r="H882" s="102"/>
      <c r="I882" s="95">
        <v>0</v>
      </c>
      <c r="J882" s="95">
        <v>0</v>
      </c>
      <c r="K882" s="95">
        <v>0</v>
      </c>
      <c r="L882" s="95">
        <v>0</v>
      </c>
      <c r="M882" s="95">
        <v>0</v>
      </c>
      <c r="N882" s="95">
        <v>0</v>
      </c>
      <c r="O882" s="95">
        <v>0</v>
      </c>
      <c r="P882" s="95">
        <v>0</v>
      </c>
      <c r="Q882" s="95">
        <v>0</v>
      </c>
      <c r="R882" s="95">
        <v>0</v>
      </c>
      <c r="S882" s="95">
        <v>0</v>
      </c>
      <c r="T882" s="95">
        <v>0</v>
      </c>
      <c r="U882" s="95">
        <v>0</v>
      </c>
      <c r="V882" s="95">
        <v>0</v>
      </c>
      <c r="W882" s="95">
        <v>0</v>
      </c>
      <c r="X882" s="95">
        <v>0</v>
      </c>
      <c r="Y882" s="95">
        <v>0</v>
      </c>
      <c r="Z882" s="95"/>
      <c r="AA882" s="8"/>
      <c r="AB882" s="8"/>
      <c r="AC882" s="8"/>
      <c r="AD882" s="8"/>
      <c r="AE882" s="11">
        <v>44992</v>
      </c>
      <c r="AF882" s="15"/>
      <c r="AG882" t="str">
        <f>VLOOKUP(OfficeForms.Table[[#This Row],[Nama Proyek]],'Nama Proyek'!$D$2:$G$29,4,0)</f>
        <v>-6.35008011,107.02324233</v>
      </c>
      <c r="AH882" s="5"/>
      <c r="AI882" s="5"/>
      <c r="AJ882" s="5"/>
      <c r="AK882" s="5" t="s">
        <v>1976</v>
      </c>
    </row>
    <row r="883" spans="1:37" ht="15" hidden="1" customHeight="1">
      <c r="A883" s="31">
        <v>495</v>
      </c>
      <c r="B883" s="110">
        <v>45133</v>
      </c>
      <c r="C883" s="28">
        <f>B883</f>
        <v>45133</v>
      </c>
      <c r="D883" s="19" t="s">
        <v>37</v>
      </c>
      <c r="E883" s="19" t="s">
        <v>64</v>
      </c>
      <c r="F883" s="5" t="str">
        <f>E883</f>
        <v>Nizar Zulkarnain</v>
      </c>
      <c r="G883" s="42" t="s">
        <v>65</v>
      </c>
      <c r="H883" s="106"/>
      <c r="I883" s="96">
        <v>0</v>
      </c>
      <c r="J883" s="96">
        <v>0</v>
      </c>
      <c r="K883" s="96">
        <v>0</v>
      </c>
      <c r="L883" s="96">
        <v>0</v>
      </c>
      <c r="M883" s="96">
        <v>0</v>
      </c>
      <c r="N883" s="96">
        <v>0</v>
      </c>
      <c r="O883" s="96">
        <v>0</v>
      </c>
      <c r="P883" s="96">
        <v>0</v>
      </c>
      <c r="Q883" s="96">
        <v>0</v>
      </c>
      <c r="R883" s="96">
        <v>0</v>
      </c>
      <c r="S883" s="96">
        <v>0</v>
      </c>
      <c r="T883" s="96">
        <v>0</v>
      </c>
      <c r="U883" s="96">
        <v>0</v>
      </c>
      <c r="V883" s="96">
        <v>0</v>
      </c>
      <c r="W883" s="96">
        <v>0</v>
      </c>
      <c r="X883" s="96">
        <v>0</v>
      </c>
      <c r="Y883" s="96">
        <v>0</v>
      </c>
      <c r="Z883" s="96"/>
      <c r="AA883" s="19" t="s">
        <v>1977</v>
      </c>
      <c r="AB883" s="19"/>
      <c r="AC883" s="19"/>
      <c r="AD883" s="19"/>
      <c r="AE883" s="24"/>
      <c r="AF883" s="9" t="s">
        <v>1978</v>
      </c>
      <c r="AG883" t="str">
        <f>VLOOKUP(OfficeForms.Table[[#This Row],[Nama Proyek]],'Nama Proyek'!$D$2:$G$29,4,0)</f>
        <v>-6.35008011,107.02324233</v>
      </c>
      <c r="AH883" s="5"/>
      <c r="AI883" s="5"/>
      <c r="AJ883" s="5"/>
      <c r="AK883" s="5" t="s">
        <v>1979</v>
      </c>
    </row>
    <row r="884" spans="1:37" ht="15" hidden="1" customHeight="1">
      <c r="A884" s="30">
        <v>902</v>
      </c>
      <c r="B884" s="111">
        <v>45133</v>
      </c>
      <c r="C884" s="29">
        <f>B884</f>
        <v>45133</v>
      </c>
      <c r="D884" s="8" t="s">
        <v>37</v>
      </c>
      <c r="E884" s="8" t="s">
        <v>47</v>
      </c>
      <c r="F884" s="5" t="str">
        <f>E884</f>
        <v>Basuki Rahmat Hakim</v>
      </c>
      <c r="G884" s="60" t="s">
        <v>48</v>
      </c>
      <c r="H884" s="105"/>
      <c r="I884" s="95">
        <v>0</v>
      </c>
      <c r="J884" s="95">
        <v>0</v>
      </c>
      <c r="K884" s="95">
        <v>0</v>
      </c>
      <c r="L884" s="95">
        <v>0</v>
      </c>
      <c r="M884" s="95">
        <v>0</v>
      </c>
      <c r="N884" s="95">
        <v>0</v>
      </c>
      <c r="O884" s="95">
        <v>0</v>
      </c>
      <c r="P884" s="95">
        <v>0</v>
      </c>
      <c r="Q884" s="95">
        <v>0</v>
      </c>
      <c r="R884" s="95">
        <v>0</v>
      </c>
      <c r="S884" s="95">
        <v>0</v>
      </c>
      <c r="T884" s="95">
        <v>0</v>
      </c>
      <c r="U884" s="95">
        <v>0</v>
      </c>
      <c r="V884" s="95">
        <v>0</v>
      </c>
      <c r="W884" s="95">
        <v>0</v>
      </c>
      <c r="X884" s="95">
        <v>0</v>
      </c>
      <c r="Y884" s="95">
        <v>0</v>
      </c>
      <c r="Z884" s="95"/>
      <c r="AA884" s="8"/>
      <c r="AB884" s="8"/>
      <c r="AC884" s="8"/>
      <c r="AD884" s="8"/>
      <c r="AE884" s="11" t="s">
        <v>1980</v>
      </c>
      <c r="AF884" s="42"/>
      <c r="AG884" t="str">
        <f>VLOOKUP(OfficeForms.Table[[#This Row],[Nama Proyek]],'Nama Proyek'!$D$2:$G$29,4,0)</f>
        <v>3.76047575,115.89977678</v>
      </c>
      <c r="AH884" s="5"/>
      <c r="AI884" s="5"/>
      <c r="AJ884" s="5"/>
      <c r="AK884" s="5" t="s">
        <v>1981</v>
      </c>
    </row>
    <row r="885" spans="1:37" ht="15" hidden="1" customHeight="1">
      <c r="A885" s="31">
        <v>903</v>
      </c>
      <c r="B885" s="110">
        <v>45133</v>
      </c>
      <c r="C885" s="28">
        <f>B885</f>
        <v>45133</v>
      </c>
      <c r="D885" s="19" t="s">
        <v>37</v>
      </c>
      <c r="E885" s="19" t="s">
        <v>47</v>
      </c>
      <c r="F885" s="5" t="str">
        <f>E885</f>
        <v>Basuki Rahmat Hakim</v>
      </c>
      <c r="G885" s="60" t="s">
        <v>48</v>
      </c>
      <c r="H885" s="106"/>
      <c r="I885" s="96">
        <v>0</v>
      </c>
      <c r="J885" s="96">
        <v>0</v>
      </c>
      <c r="K885" s="96">
        <v>0</v>
      </c>
      <c r="L885" s="96">
        <v>0</v>
      </c>
      <c r="M885" s="96">
        <v>0</v>
      </c>
      <c r="N885" s="96">
        <v>0</v>
      </c>
      <c r="O885" s="96">
        <v>0</v>
      </c>
      <c r="P885" s="96">
        <v>0</v>
      </c>
      <c r="Q885" s="96">
        <v>0</v>
      </c>
      <c r="R885" s="96">
        <v>0</v>
      </c>
      <c r="S885" s="96">
        <v>0</v>
      </c>
      <c r="T885" s="96">
        <v>0</v>
      </c>
      <c r="U885" s="96">
        <v>0</v>
      </c>
      <c r="V885" s="96">
        <v>0</v>
      </c>
      <c r="W885" s="96">
        <v>0</v>
      </c>
      <c r="X885" s="96">
        <v>0</v>
      </c>
      <c r="Y885" s="96">
        <v>0</v>
      </c>
      <c r="Z885" s="96"/>
      <c r="AA885" s="19" t="s">
        <v>1982</v>
      </c>
      <c r="AB885" s="19" t="s">
        <v>1983</v>
      </c>
      <c r="AC885" s="19" t="s">
        <v>1984</v>
      </c>
      <c r="AD885" s="19"/>
      <c r="AE885" s="24"/>
      <c r="AF885" s="15"/>
      <c r="AG885" t="str">
        <f>VLOOKUP(OfficeForms.Table[[#This Row],[Nama Proyek]],'Nama Proyek'!$D$2:$G$29,4,0)</f>
        <v>3.76047575,115.89977678</v>
      </c>
      <c r="AH885" s="5"/>
      <c r="AI885" s="5"/>
      <c r="AJ885" s="5"/>
      <c r="AK885" s="5" t="s">
        <v>1985</v>
      </c>
    </row>
    <row r="886" spans="1:37" ht="15" hidden="1" customHeight="1">
      <c r="A886" s="50">
        <v>905</v>
      </c>
      <c r="B886" s="110">
        <v>45133</v>
      </c>
      <c r="C886" s="28">
        <f>B886</f>
        <v>45133</v>
      </c>
      <c r="D886" s="19" t="s">
        <v>37</v>
      </c>
      <c r="E886" s="19" t="s">
        <v>687</v>
      </c>
      <c r="F886" s="5" t="str">
        <f>E886</f>
        <v>Andri Julio Hermawan</v>
      </c>
      <c r="G886" s="23" t="s">
        <v>750</v>
      </c>
      <c r="H886" s="101"/>
      <c r="I886" s="96">
        <v>0</v>
      </c>
      <c r="J886" s="96">
        <v>0</v>
      </c>
      <c r="K886" s="96">
        <v>0</v>
      </c>
      <c r="L886" s="96">
        <v>0</v>
      </c>
      <c r="M886" s="96">
        <v>0</v>
      </c>
      <c r="N886" s="96">
        <v>0</v>
      </c>
      <c r="O886" s="96">
        <v>0</v>
      </c>
      <c r="P886" s="96">
        <v>0</v>
      </c>
      <c r="Q886" s="96">
        <v>0</v>
      </c>
      <c r="R886" s="96">
        <v>0</v>
      </c>
      <c r="S886" s="96">
        <v>0</v>
      </c>
      <c r="T886" s="96">
        <v>0</v>
      </c>
      <c r="U886" s="96">
        <v>0</v>
      </c>
      <c r="V886" s="96">
        <v>0</v>
      </c>
      <c r="W886" s="96">
        <v>0</v>
      </c>
      <c r="X886" s="96">
        <v>0</v>
      </c>
      <c r="Y886" s="96">
        <v>0</v>
      </c>
      <c r="Z886" s="96"/>
      <c r="AA886" s="19"/>
      <c r="AB886" s="19"/>
      <c r="AC886" s="19"/>
      <c r="AD886" s="19"/>
      <c r="AE886" s="24" t="s">
        <v>1980</v>
      </c>
      <c r="AF886" s="41" t="s">
        <v>1986</v>
      </c>
      <c r="AG886" t="str">
        <f>VLOOKUP(OfficeForms.Table[[#This Row],[Nama Proyek]],'Nama Proyek'!$D$2:$G$29,4,0)</f>
        <v>-1.10415341,116.73424356</v>
      </c>
      <c r="AH886" s="5"/>
      <c r="AI886" s="5"/>
      <c r="AJ886" s="5"/>
      <c r="AK886" s="5" t="s">
        <v>1987</v>
      </c>
    </row>
    <row r="887" spans="1:37" ht="15" hidden="1" customHeight="1">
      <c r="A887">
        <v>508</v>
      </c>
      <c r="B887" s="111">
        <v>45135</v>
      </c>
      <c r="C887" s="29">
        <f>B887</f>
        <v>45135</v>
      </c>
      <c r="D887" s="9" t="s">
        <v>37</v>
      </c>
      <c r="E887" s="9" t="s">
        <v>64</v>
      </c>
      <c r="F887" s="5" t="str">
        <f>E887</f>
        <v>Nizar Zulkarnain</v>
      </c>
      <c r="G887" s="17" t="s">
        <v>65</v>
      </c>
      <c r="H887" s="104"/>
      <c r="I887" s="94">
        <v>0</v>
      </c>
      <c r="J887" s="94">
        <v>0</v>
      </c>
      <c r="K887" s="94">
        <v>0</v>
      </c>
      <c r="L887" s="94">
        <v>0</v>
      </c>
      <c r="M887" s="94">
        <v>0</v>
      </c>
      <c r="N887" s="94">
        <v>0</v>
      </c>
      <c r="O887" s="94">
        <v>0</v>
      </c>
      <c r="P887" s="94">
        <v>0</v>
      </c>
      <c r="Q887" s="94">
        <v>0</v>
      </c>
      <c r="R887" s="94">
        <v>0</v>
      </c>
      <c r="S887" s="94">
        <v>0</v>
      </c>
      <c r="T887" s="94">
        <v>0</v>
      </c>
      <c r="U887" s="94">
        <v>0</v>
      </c>
      <c r="V887" s="94">
        <v>0</v>
      </c>
      <c r="W887" s="94">
        <v>0</v>
      </c>
      <c r="X887" s="94">
        <v>0</v>
      </c>
      <c r="Y887" s="94">
        <v>0</v>
      </c>
      <c r="Z887" s="94"/>
      <c r="AA887" s="9"/>
      <c r="AB887" s="9"/>
      <c r="AC887" s="9" t="s">
        <v>1988</v>
      </c>
      <c r="AD887" s="9"/>
      <c r="AE887" s="12"/>
      <c r="AF887" s="25" t="s">
        <v>1989</v>
      </c>
      <c r="AG887" t="str">
        <f>VLOOKUP(OfficeForms.Table[[#This Row],[Nama Proyek]],'Nama Proyek'!$D$2:$G$29,4,0)</f>
        <v>-6.35008011,107.02324233</v>
      </c>
      <c r="AH887" s="5"/>
      <c r="AI887" s="5"/>
      <c r="AJ887" s="5"/>
      <c r="AK887" s="5" t="s">
        <v>1990</v>
      </c>
    </row>
    <row r="888" spans="1:37" ht="15" hidden="1" customHeight="1">
      <c r="A888" s="30">
        <v>986</v>
      </c>
      <c r="B888" s="111">
        <v>45135</v>
      </c>
      <c r="C888" s="29">
        <f>B888</f>
        <v>45135</v>
      </c>
      <c r="D888" s="9" t="s">
        <v>37</v>
      </c>
      <c r="E888" s="9" t="s">
        <v>54</v>
      </c>
      <c r="F888" s="5" t="str">
        <f>E888</f>
        <v>Haryo Widiandoko</v>
      </c>
      <c r="G888" s="17" t="s">
        <v>55</v>
      </c>
      <c r="H888" s="103"/>
      <c r="I888" s="94">
        <v>0</v>
      </c>
      <c r="J888" s="94">
        <v>0</v>
      </c>
      <c r="K888" s="94">
        <v>0</v>
      </c>
      <c r="L888" s="94">
        <v>0</v>
      </c>
      <c r="M888" s="94">
        <v>0</v>
      </c>
      <c r="N888" s="94">
        <v>0</v>
      </c>
      <c r="O888" s="94">
        <v>0</v>
      </c>
      <c r="P888" s="94">
        <v>0</v>
      </c>
      <c r="Q888" s="94">
        <v>0</v>
      </c>
      <c r="R888" s="94">
        <v>0</v>
      </c>
      <c r="S888" s="94">
        <v>0</v>
      </c>
      <c r="T888" s="94">
        <v>0</v>
      </c>
      <c r="U888" s="94">
        <v>0</v>
      </c>
      <c r="V888" s="94">
        <v>0</v>
      </c>
      <c r="W888" s="94">
        <v>0</v>
      </c>
      <c r="X888" s="94">
        <v>0</v>
      </c>
      <c r="Y888" s="94">
        <v>0</v>
      </c>
      <c r="Z888" s="94"/>
      <c r="AA888" s="9" t="s">
        <v>1991</v>
      </c>
      <c r="AB888" s="20" t="s">
        <v>1991</v>
      </c>
      <c r="AC888" s="9" t="s">
        <v>1992</v>
      </c>
      <c r="AD888" s="9" t="s">
        <v>1992</v>
      </c>
      <c r="AE888" s="12"/>
      <c r="AF888" s="19" t="s">
        <v>1993</v>
      </c>
      <c r="AG888" t="str">
        <f>VLOOKUP(OfficeForms.Table[[#This Row],[Nama Proyek]],'Nama Proyek'!$D$2:$G$29,4,0)</f>
        <v>-6.42873464,107.19897003</v>
      </c>
      <c r="AH888" s="5"/>
      <c r="AI888" s="5"/>
      <c r="AJ888" s="5"/>
      <c r="AK888" s="5" t="s">
        <v>1994</v>
      </c>
    </row>
    <row r="889" spans="1:37" ht="15" hidden="1" customHeight="1">
      <c r="A889">
        <v>908</v>
      </c>
      <c r="B889" s="111">
        <v>45136</v>
      </c>
      <c r="C889" s="29">
        <f>B889</f>
        <v>45136</v>
      </c>
      <c r="D889" s="9" t="s">
        <v>37</v>
      </c>
      <c r="E889" s="9" t="s">
        <v>734</v>
      </c>
      <c r="F889" s="5" t="str">
        <f>E889</f>
        <v>Aldian Winata</v>
      </c>
      <c r="G889" s="17" t="s">
        <v>735</v>
      </c>
      <c r="H889" s="103">
        <v>45137</v>
      </c>
      <c r="I889" s="94">
        <v>40.362000000000002</v>
      </c>
      <c r="J889" s="94">
        <v>53.287999999999997</v>
      </c>
      <c r="K889" s="94">
        <v>2.2189999999999999</v>
      </c>
      <c r="L889" s="94">
        <v>32.640999999999998</v>
      </c>
      <c r="M889" s="94">
        <v>0</v>
      </c>
      <c r="N889" s="94">
        <v>1.0999999999999999E-2</v>
      </c>
      <c r="O889" s="94">
        <v>0.97499999999999998</v>
      </c>
      <c r="P889" s="94">
        <v>0</v>
      </c>
      <c r="Q889" s="94">
        <v>0</v>
      </c>
      <c r="R889" s="94">
        <v>0</v>
      </c>
      <c r="S889" s="94">
        <v>0</v>
      </c>
      <c r="T889" s="94">
        <v>0</v>
      </c>
      <c r="U889" s="94">
        <v>0</v>
      </c>
      <c r="V889" s="94">
        <v>0</v>
      </c>
      <c r="W889" s="94">
        <v>0</v>
      </c>
      <c r="X889" s="94">
        <v>0</v>
      </c>
      <c r="Y889" s="94">
        <v>0</v>
      </c>
      <c r="Z889" s="94"/>
      <c r="AA889" s="9"/>
      <c r="AB889" s="9"/>
      <c r="AC889" s="9"/>
      <c r="AD889" s="9"/>
      <c r="AE889" s="12"/>
      <c r="AF889" s="15"/>
      <c r="AG889" t="str">
        <f>VLOOKUP(OfficeForms.Table[[#This Row],[Nama Proyek]],'Nama Proyek'!$D$2:$G$40,4,0)</f>
        <v>-0.88562397,119.85928375</v>
      </c>
      <c r="AH889" s="5"/>
      <c r="AI889" s="5"/>
      <c r="AJ889" s="5"/>
      <c r="AK889" s="5" t="s">
        <v>1995</v>
      </c>
    </row>
    <row r="890" spans="1:37" ht="15" hidden="1" customHeight="1">
      <c r="A890">
        <v>890</v>
      </c>
      <c r="B890" s="111">
        <v>45136</v>
      </c>
      <c r="C890" s="29">
        <f>B890</f>
        <v>45136</v>
      </c>
      <c r="D890" s="9" t="s">
        <v>37</v>
      </c>
      <c r="E890" s="9" t="s">
        <v>734</v>
      </c>
      <c r="F890" s="5" t="str">
        <f>E890</f>
        <v>Aldian Winata</v>
      </c>
      <c r="G890" s="9" t="s">
        <v>735</v>
      </c>
      <c r="H890" s="104"/>
      <c r="I890" s="94">
        <v>0</v>
      </c>
      <c r="J890" s="94">
        <v>0</v>
      </c>
      <c r="K890" s="94">
        <v>0</v>
      </c>
      <c r="L890" s="94">
        <v>0</v>
      </c>
      <c r="M890" s="94">
        <v>0</v>
      </c>
      <c r="N890" s="94">
        <v>0</v>
      </c>
      <c r="O890" s="94">
        <v>0</v>
      </c>
      <c r="P890" s="94">
        <v>0</v>
      </c>
      <c r="Q890" s="94">
        <v>0</v>
      </c>
      <c r="R890" s="94">
        <v>0</v>
      </c>
      <c r="S890" s="94">
        <v>0</v>
      </c>
      <c r="T890" s="94">
        <v>0</v>
      </c>
      <c r="U890" s="94">
        <v>0</v>
      </c>
      <c r="V890" s="94">
        <v>0</v>
      </c>
      <c r="W890" s="94">
        <v>0</v>
      </c>
      <c r="X890" s="94">
        <v>0</v>
      </c>
      <c r="Y890" s="94">
        <v>0</v>
      </c>
      <c r="Z890" s="94"/>
      <c r="AA890" s="9"/>
      <c r="AB890" s="9"/>
      <c r="AC890" s="9"/>
      <c r="AD890" s="17"/>
      <c r="AE890" s="18" t="s">
        <v>1996</v>
      </c>
      <c r="AF890" s="41" t="s">
        <v>1997</v>
      </c>
      <c r="AG890" t="str">
        <f>VLOOKUP(OfficeForms.Table[[#This Row],[Nama Proyek]],'Nama Proyek'!$D$2:$G$40,4,0)</f>
        <v>-0.88562397,119.85928375</v>
      </c>
      <c r="AH890" s="5"/>
      <c r="AI890" s="5"/>
      <c r="AJ890" s="5"/>
      <c r="AK890" s="5" t="s">
        <v>1998</v>
      </c>
    </row>
    <row r="891" spans="1:37" ht="15" hidden="1" customHeight="1">
      <c r="A891" s="31">
        <v>909</v>
      </c>
      <c r="B891" s="110">
        <v>45136</v>
      </c>
      <c r="C891" s="28">
        <f>B891</f>
        <v>45136</v>
      </c>
      <c r="D891" s="8" t="s">
        <v>37</v>
      </c>
      <c r="E891" s="8" t="s">
        <v>734</v>
      </c>
      <c r="F891" s="5" t="str">
        <f>E891</f>
        <v>Aldian Winata</v>
      </c>
      <c r="G891" s="15" t="s">
        <v>735</v>
      </c>
      <c r="H891" s="105"/>
      <c r="I891" s="95">
        <v>0</v>
      </c>
      <c r="J891" s="95">
        <v>0</v>
      </c>
      <c r="K891" s="95">
        <v>0</v>
      </c>
      <c r="L891" s="95">
        <v>0</v>
      </c>
      <c r="M891" s="95">
        <v>0</v>
      </c>
      <c r="N891" s="95">
        <v>0</v>
      </c>
      <c r="O891" s="95">
        <v>0</v>
      </c>
      <c r="P891" s="95">
        <v>0</v>
      </c>
      <c r="Q891" s="95">
        <v>0</v>
      </c>
      <c r="R891" s="95">
        <v>0</v>
      </c>
      <c r="S891" s="95">
        <v>0</v>
      </c>
      <c r="T891" s="95">
        <v>0</v>
      </c>
      <c r="U891" s="95">
        <v>0</v>
      </c>
      <c r="V891" s="95">
        <v>0</v>
      </c>
      <c r="W891" s="95">
        <v>0</v>
      </c>
      <c r="X891" s="95">
        <v>0</v>
      </c>
      <c r="Y891" s="95">
        <v>0</v>
      </c>
      <c r="Z891" s="95"/>
      <c r="AA891" s="8" t="s">
        <v>1999</v>
      </c>
      <c r="AB891" s="8" t="s">
        <v>2000</v>
      </c>
      <c r="AC891" s="8" t="s">
        <v>2001</v>
      </c>
      <c r="AD891" s="8" t="s">
        <v>2002</v>
      </c>
      <c r="AE891" s="11"/>
      <c r="AF891" s="8"/>
      <c r="AG891" t="str">
        <f>VLOOKUP(OfficeForms.Table[[#This Row],[Nama Proyek]],'Nama Proyek'!$D$2:$G$40,4,0)</f>
        <v>-0.88562397,119.85928375</v>
      </c>
      <c r="AH891" s="5"/>
      <c r="AI891" s="5"/>
      <c r="AJ891" s="5"/>
      <c r="AK891" s="5" t="s">
        <v>2003</v>
      </c>
    </row>
    <row r="892" spans="1:37" ht="15" hidden="1" customHeight="1">
      <c r="A892" s="31">
        <v>911</v>
      </c>
      <c r="B892" s="110">
        <v>45136</v>
      </c>
      <c r="C892" s="28">
        <f>B892</f>
        <v>45136</v>
      </c>
      <c r="D892" s="8" t="s">
        <v>37</v>
      </c>
      <c r="E892" s="8" t="s">
        <v>278</v>
      </c>
      <c r="F892" s="5" t="str">
        <f>E892</f>
        <v>Teddy Pradana</v>
      </c>
      <c r="G892" s="52" t="s">
        <v>989</v>
      </c>
      <c r="H892" s="105"/>
      <c r="I892" s="95">
        <v>0</v>
      </c>
      <c r="J892" s="95">
        <v>0</v>
      </c>
      <c r="K892" s="95">
        <v>0</v>
      </c>
      <c r="L892" s="95">
        <v>0</v>
      </c>
      <c r="M892" s="95">
        <v>0</v>
      </c>
      <c r="N892" s="95">
        <v>0</v>
      </c>
      <c r="O892" s="95">
        <v>0</v>
      </c>
      <c r="P892" s="95">
        <v>0</v>
      </c>
      <c r="Q892" s="95">
        <v>0</v>
      </c>
      <c r="R892" s="95">
        <v>0</v>
      </c>
      <c r="S892" s="95">
        <v>0</v>
      </c>
      <c r="T892" s="95">
        <v>0</v>
      </c>
      <c r="U892" s="95">
        <v>0</v>
      </c>
      <c r="V892" s="95">
        <v>0</v>
      </c>
      <c r="W892" s="95">
        <v>0</v>
      </c>
      <c r="X892" s="95">
        <v>0</v>
      </c>
      <c r="Y892" s="95">
        <v>0</v>
      </c>
      <c r="Z892" s="95"/>
      <c r="AA892" s="8" t="s">
        <v>2004</v>
      </c>
      <c r="AB892" s="15"/>
      <c r="AC892" s="15" t="s">
        <v>2005</v>
      </c>
      <c r="AD892" s="15" t="s">
        <v>2006</v>
      </c>
      <c r="AE892" s="11"/>
      <c r="AF892" s="9"/>
      <c r="AG892" t="str">
        <f>VLOOKUP(OfficeForms.Table[[#This Row],[Nama Proyek]],'Nama Proyek'!$D$2:$G$29,4,0)</f>
        <v>-1.98399270,103.7135193</v>
      </c>
      <c r="AH892" s="5"/>
      <c r="AI892" s="5"/>
      <c r="AJ892" s="5"/>
      <c r="AK892" s="5" t="s">
        <v>2007</v>
      </c>
    </row>
    <row r="893" spans="1:37" ht="15" hidden="1" customHeight="1">
      <c r="A893" s="31">
        <v>520</v>
      </c>
      <c r="B893" s="111">
        <v>45137</v>
      </c>
      <c r="C893" s="29">
        <f>B893</f>
        <v>45137</v>
      </c>
      <c r="D893" s="8" t="s">
        <v>37</v>
      </c>
      <c r="E893" s="8" t="s">
        <v>75</v>
      </c>
      <c r="F893" s="5" t="str">
        <f>E893</f>
        <v>Banyu Purwita</v>
      </c>
      <c r="G893" s="37" t="s">
        <v>76</v>
      </c>
      <c r="H893" s="102">
        <v>45136</v>
      </c>
      <c r="I893" s="95">
        <v>63.325000000000003</v>
      </c>
      <c r="J893" s="95">
        <v>70.564999999999998</v>
      </c>
      <c r="K893" s="95">
        <v>0</v>
      </c>
      <c r="L893" s="95">
        <v>0</v>
      </c>
      <c r="M893" s="95">
        <v>6.18</v>
      </c>
      <c r="N893" s="95">
        <v>0</v>
      </c>
      <c r="O893" s="95">
        <v>12.262</v>
      </c>
      <c r="P893" s="95">
        <v>0</v>
      </c>
      <c r="Q893" s="95">
        <v>6.181</v>
      </c>
      <c r="R893" s="95">
        <v>0</v>
      </c>
      <c r="S893" s="95">
        <v>36.595999999999997</v>
      </c>
      <c r="T893" s="95">
        <v>0</v>
      </c>
      <c r="U893" s="95">
        <v>6.3E-2</v>
      </c>
      <c r="V893" s="95">
        <v>0</v>
      </c>
      <c r="W893" s="95">
        <v>0</v>
      </c>
      <c r="X893" s="95">
        <v>0</v>
      </c>
      <c r="Y893" s="95">
        <v>0</v>
      </c>
      <c r="Z893" s="95"/>
      <c r="AA893" s="8"/>
      <c r="AB893" s="8"/>
      <c r="AC893" s="8"/>
      <c r="AD893" s="8"/>
      <c r="AE893" s="11"/>
      <c r="AF893" s="42"/>
      <c r="AG893" t="str">
        <f>VLOOKUP(OfficeForms.Table[[#This Row],[Nama Proyek]],'Nama Proyek'!$D$2:$G$29,4,0)</f>
        <v>-2.95293103,104.75455094</v>
      </c>
      <c r="AH893" s="5"/>
      <c r="AI893" s="5"/>
      <c r="AJ893" s="5"/>
      <c r="AK893" s="5" t="s">
        <v>2008</v>
      </c>
    </row>
    <row r="894" spans="1:37" ht="15" hidden="1" customHeight="1">
      <c r="A894" s="50">
        <v>912</v>
      </c>
      <c r="B894" s="111">
        <v>45137</v>
      </c>
      <c r="C894" s="29">
        <f>B894</f>
        <v>45137</v>
      </c>
      <c r="D894" s="9" t="s">
        <v>37</v>
      </c>
      <c r="E894" s="9" t="s">
        <v>1830</v>
      </c>
      <c r="F894" s="5" t="str">
        <f>E894</f>
        <v>NENES ANGGI PUSPADI</v>
      </c>
      <c r="G894" s="23" t="s">
        <v>924</v>
      </c>
      <c r="H894" s="103">
        <v>45137</v>
      </c>
      <c r="I894" s="94">
        <v>63.85</v>
      </c>
      <c r="J894" s="94">
        <v>45.08</v>
      </c>
      <c r="K894" s="94">
        <v>1.08</v>
      </c>
      <c r="L894" s="94">
        <v>29.47</v>
      </c>
      <c r="M894" s="94">
        <v>0</v>
      </c>
      <c r="N894" s="94">
        <v>10.65</v>
      </c>
      <c r="O894" s="94">
        <v>11.88</v>
      </c>
      <c r="P894" s="94">
        <v>4.72</v>
      </c>
      <c r="Q894" s="94">
        <v>0</v>
      </c>
      <c r="R894" s="94">
        <v>0.5</v>
      </c>
      <c r="S894" s="94">
        <v>0</v>
      </c>
      <c r="T894" s="94">
        <v>0</v>
      </c>
      <c r="U894" s="94">
        <v>0</v>
      </c>
      <c r="V894" s="94">
        <v>0</v>
      </c>
      <c r="W894" s="94">
        <v>0</v>
      </c>
      <c r="X894" s="94">
        <v>0</v>
      </c>
      <c r="Y894" s="94">
        <v>0</v>
      </c>
      <c r="Z894" s="94"/>
      <c r="AA894" s="9"/>
      <c r="AB894" s="9"/>
      <c r="AC894" s="9"/>
      <c r="AD894" s="17"/>
      <c r="AE894" s="18"/>
      <c r="AF894" s="41" t="s">
        <v>2009</v>
      </c>
      <c r="AG894" t="str">
        <f>VLOOKUP(OfficeForms.Table[[#This Row],[Nama Proyek]],'Nama Proyek'!$D$2:$G$40,4,0)</f>
        <v>-3.25078511,134.87791156</v>
      </c>
      <c r="AH894" s="5"/>
      <c r="AI894" s="5"/>
      <c r="AJ894" s="5"/>
      <c r="AK894" s="5" t="s">
        <v>2010</v>
      </c>
    </row>
    <row r="895" spans="1:37" ht="15" hidden="1" customHeight="1">
      <c r="A895">
        <v>913</v>
      </c>
      <c r="B895" s="110">
        <v>45137</v>
      </c>
      <c r="C895" s="28">
        <f>B895</f>
        <v>45137</v>
      </c>
      <c r="D895" s="8" t="s">
        <v>37</v>
      </c>
      <c r="E895" s="8" t="s">
        <v>994</v>
      </c>
      <c r="F895" s="5" t="str">
        <f>E895</f>
        <v>Nenes Anggi Puspadi</v>
      </c>
      <c r="G895" s="23" t="s">
        <v>924</v>
      </c>
      <c r="H895" s="105"/>
      <c r="I895" s="95">
        <v>0</v>
      </c>
      <c r="J895" s="95">
        <v>0</v>
      </c>
      <c r="K895" s="95">
        <v>0</v>
      </c>
      <c r="L895" s="95">
        <v>0</v>
      </c>
      <c r="M895" s="95">
        <v>0</v>
      </c>
      <c r="N895" s="95">
        <v>0</v>
      </c>
      <c r="O895" s="95">
        <v>0</v>
      </c>
      <c r="P895" s="95">
        <v>0</v>
      </c>
      <c r="Q895" s="95">
        <v>0</v>
      </c>
      <c r="R895" s="95">
        <v>0</v>
      </c>
      <c r="S895" s="95">
        <v>0</v>
      </c>
      <c r="T895" s="95">
        <v>0</v>
      </c>
      <c r="U895" s="95">
        <v>0</v>
      </c>
      <c r="V895" s="95">
        <v>0</v>
      </c>
      <c r="W895" s="95">
        <v>0</v>
      </c>
      <c r="X895" s="95">
        <v>0</v>
      </c>
      <c r="Y895" s="95">
        <v>0</v>
      </c>
      <c r="Z895" s="95"/>
      <c r="AA895" s="8"/>
      <c r="AB895" s="8"/>
      <c r="AC895" s="8"/>
      <c r="AD895" s="8"/>
      <c r="AE895" s="11" t="s">
        <v>1277</v>
      </c>
      <c r="AF895" s="40" t="s">
        <v>2011</v>
      </c>
      <c r="AG895" t="str">
        <f>VLOOKUP(OfficeForms.Table[[#This Row],[Nama Proyek]],'Nama Proyek'!$D$2:$G$40,4,0)</f>
        <v>-3.25078511,134.87791156</v>
      </c>
      <c r="AH895" s="5"/>
      <c r="AI895" s="5"/>
      <c r="AJ895" s="5"/>
      <c r="AK895" s="5" t="s">
        <v>2012</v>
      </c>
    </row>
    <row r="896" spans="1:37" ht="15" hidden="1" customHeight="1">
      <c r="A896" s="31">
        <v>914</v>
      </c>
      <c r="B896" s="111">
        <v>45137</v>
      </c>
      <c r="C896" s="29">
        <f>B896</f>
        <v>45137</v>
      </c>
      <c r="D896" s="9" t="s">
        <v>37</v>
      </c>
      <c r="E896" s="9" t="s">
        <v>1830</v>
      </c>
      <c r="F896" s="5" t="str">
        <f>E896</f>
        <v>NENES ANGGI PUSPADI</v>
      </c>
      <c r="G896" s="23" t="s">
        <v>924</v>
      </c>
      <c r="H896" s="103"/>
      <c r="I896" s="94">
        <v>0</v>
      </c>
      <c r="J896" s="94">
        <v>0</v>
      </c>
      <c r="K896" s="94">
        <v>0</v>
      </c>
      <c r="L896" s="94">
        <v>0</v>
      </c>
      <c r="M896" s="94">
        <v>0</v>
      </c>
      <c r="N896" s="94">
        <v>0</v>
      </c>
      <c r="O896" s="94">
        <v>0</v>
      </c>
      <c r="P896" s="94">
        <v>0</v>
      </c>
      <c r="Q896" s="94">
        <v>0</v>
      </c>
      <c r="R896" s="94">
        <v>0</v>
      </c>
      <c r="S896" s="94">
        <v>0</v>
      </c>
      <c r="T896" s="94">
        <v>0</v>
      </c>
      <c r="U896" s="94">
        <v>0</v>
      </c>
      <c r="V896" s="94">
        <v>0</v>
      </c>
      <c r="W896" s="94">
        <v>0</v>
      </c>
      <c r="X896" s="94">
        <v>0</v>
      </c>
      <c r="Y896" s="94">
        <v>0</v>
      </c>
      <c r="Z896" s="94"/>
      <c r="AA896" s="9"/>
      <c r="AB896" s="9"/>
      <c r="AC896" s="9"/>
      <c r="AD896" s="9"/>
      <c r="AE896" s="12" t="s">
        <v>1277</v>
      </c>
      <c r="AF896" s="15" t="s">
        <v>2013</v>
      </c>
      <c r="AG896" t="str">
        <f>VLOOKUP(OfficeForms.Table[[#This Row],[Nama Proyek]],'Nama Proyek'!$D$2:$G$40,4,0)</f>
        <v>-3.25078511,134.87791156</v>
      </c>
      <c r="AH896" s="5"/>
      <c r="AI896" s="5"/>
      <c r="AJ896" s="5"/>
      <c r="AK896" s="5" t="s">
        <v>2014</v>
      </c>
    </row>
    <row r="897" spans="1:37" ht="15" hidden="1" customHeight="1">
      <c r="A897" s="30">
        <v>915</v>
      </c>
      <c r="B897" s="110">
        <v>45137</v>
      </c>
      <c r="C897" s="28">
        <f>B897</f>
        <v>45137</v>
      </c>
      <c r="D897" s="8" t="s">
        <v>37</v>
      </c>
      <c r="E897" s="8" t="s">
        <v>1830</v>
      </c>
      <c r="F897" s="5" t="str">
        <f>E897</f>
        <v>NENES ANGGI PUSPADI</v>
      </c>
      <c r="G897" s="39" t="s">
        <v>924</v>
      </c>
      <c r="H897" s="102"/>
      <c r="I897" s="95">
        <v>0</v>
      </c>
      <c r="J897" s="95">
        <v>0</v>
      </c>
      <c r="K897" s="95">
        <v>0</v>
      </c>
      <c r="L897" s="95">
        <v>0</v>
      </c>
      <c r="M897" s="95">
        <v>0</v>
      </c>
      <c r="N897" s="95">
        <v>0</v>
      </c>
      <c r="O897" s="95">
        <v>0</v>
      </c>
      <c r="P897" s="95">
        <v>0</v>
      </c>
      <c r="Q897" s="95">
        <v>0</v>
      </c>
      <c r="R897" s="95">
        <v>0</v>
      </c>
      <c r="S897" s="95">
        <v>0</v>
      </c>
      <c r="T897" s="95">
        <v>0</v>
      </c>
      <c r="U897" s="95">
        <v>0</v>
      </c>
      <c r="V897" s="95">
        <v>0</v>
      </c>
      <c r="W897" s="95">
        <v>0</v>
      </c>
      <c r="X897" s="95">
        <v>0</v>
      </c>
      <c r="Y897" s="95">
        <v>0</v>
      </c>
      <c r="Z897" s="95"/>
      <c r="AA897" s="8"/>
      <c r="AB897" s="8"/>
      <c r="AC897" s="8"/>
      <c r="AD897" s="8"/>
      <c r="AE897" s="16" t="s">
        <v>1277</v>
      </c>
      <c r="AF897" s="17"/>
      <c r="AG897" t="str">
        <f>VLOOKUP(OfficeForms.Table[[#This Row],[Nama Proyek]],'Nama Proyek'!$D$2:$G$40,4,0)</f>
        <v>-3.25078511,134.87791156</v>
      </c>
      <c r="AH897" s="5"/>
      <c r="AI897" s="5"/>
      <c r="AJ897" s="5"/>
      <c r="AK897" s="5" t="s">
        <v>2015</v>
      </c>
    </row>
    <row r="898" spans="1:37" ht="15" hidden="1" customHeight="1">
      <c r="A898" s="31">
        <v>916</v>
      </c>
      <c r="B898" s="111">
        <v>45137</v>
      </c>
      <c r="C898" s="29">
        <f>B898</f>
        <v>45137</v>
      </c>
      <c r="D898" s="9" t="s">
        <v>37</v>
      </c>
      <c r="E898" s="9" t="s">
        <v>1830</v>
      </c>
      <c r="F898" s="5" t="str">
        <f>E898</f>
        <v>NENES ANGGI PUSPADI</v>
      </c>
      <c r="G898" s="39" t="s">
        <v>924</v>
      </c>
      <c r="H898" s="104"/>
      <c r="I898" s="94">
        <v>0</v>
      </c>
      <c r="J898" s="94">
        <v>0</v>
      </c>
      <c r="K898" s="94">
        <v>0</v>
      </c>
      <c r="L898" s="94">
        <v>0</v>
      </c>
      <c r="M898" s="94">
        <v>0</v>
      </c>
      <c r="N898" s="94">
        <v>0</v>
      </c>
      <c r="O898" s="94">
        <v>0</v>
      </c>
      <c r="P898" s="94">
        <v>0</v>
      </c>
      <c r="Q898" s="94">
        <v>0</v>
      </c>
      <c r="R898" s="94">
        <v>0</v>
      </c>
      <c r="S898" s="94">
        <v>0</v>
      </c>
      <c r="T898" s="94">
        <v>0</v>
      </c>
      <c r="U898" s="94">
        <v>0</v>
      </c>
      <c r="V898" s="94">
        <v>0</v>
      </c>
      <c r="W898" s="94">
        <v>0</v>
      </c>
      <c r="X898" s="94">
        <v>0</v>
      </c>
      <c r="Y898" s="94">
        <v>0</v>
      </c>
      <c r="Z898" s="94"/>
      <c r="AA898" s="9" t="s">
        <v>1279</v>
      </c>
      <c r="AB898" s="40" t="s">
        <v>2016</v>
      </c>
      <c r="AC898" s="9"/>
      <c r="AD898" s="17"/>
      <c r="AE898" s="18"/>
      <c r="AF898" s="19"/>
      <c r="AG898" t="str">
        <f>VLOOKUP(OfficeForms.Table[[#This Row],[Nama Proyek]],'Nama Proyek'!$D$2:$G$40,4,0)</f>
        <v>-3.25078511,134.87791156</v>
      </c>
      <c r="AH898" s="5"/>
      <c r="AI898" s="5"/>
      <c r="AJ898" s="5"/>
      <c r="AK898" s="5" t="s">
        <v>2017</v>
      </c>
    </row>
    <row r="899" spans="1:37" ht="15" hidden="1" customHeight="1">
      <c r="A899" s="50">
        <v>943</v>
      </c>
      <c r="B899" s="110">
        <v>45137</v>
      </c>
      <c r="C899" s="28">
        <f>B899</f>
        <v>45137</v>
      </c>
      <c r="D899" s="19" t="s">
        <v>37</v>
      </c>
      <c r="E899" s="19" t="s">
        <v>75</v>
      </c>
      <c r="F899" s="5" t="str">
        <f>E899</f>
        <v>Banyu Purwita</v>
      </c>
      <c r="G899" s="55" t="s">
        <v>76</v>
      </c>
      <c r="H899" s="106"/>
      <c r="I899" s="96">
        <v>0</v>
      </c>
      <c r="J899" s="96">
        <v>0</v>
      </c>
      <c r="K899" s="96">
        <v>0</v>
      </c>
      <c r="L899" s="96">
        <v>0</v>
      </c>
      <c r="M899" s="96">
        <v>0</v>
      </c>
      <c r="N899" s="96">
        <v>0</v>
      </c>
      <c r="O899" s="96">
        <v>0</v>
      </c>
      <c r="P899" s="96">
        <v>0</v>
      </c>
      <c r="Q899" s="96">
        <v>0</v>
      </c>
      <c r="R899" s="96">
        <v>0</v>
      </c>
      <c r="S899" s="96">
        <v>0</v>
      </c>
      <c r="T899" s="96">
        <v>0</v>
      </c>
      <c r="U899" s="96">
        <v>0</v>
      </c>
      <c r="V899" s="96">
        <v>0</v>
      </c>
      <c r="W899" s="96">
        <v>0</v>
      </c>
      <c r="X899" s="96">
        <v>0</v>
      </c>
      <c r="Y899" s="96">
        <v>0</v>
      </c>
      <c r="Z899" s="96"/>
      <c r="AA899" s="19"/>
      <c r="AB899" s="19"/>
      <c r="AC899" s="19"/>
      <c r="AD899" s="19"/>
      <c r="AE899" s="13" t="s">
        <v>2018</v>
      </c>
      <c r="AF899" s="15"/>
      <c r="AG899" t="str">
        <f>VLOOKUP(OfficeForms.Table[[#This Row],[Nama Proyek]],'Nama Proyek'!$D$2:$G$29,4,0)</f>
        <v>-2.95293103,104.75455094</v>
      </c>
      <c r="AH899" s="5"/>
      <c r="AI899" s="5"/>
      <c r="AJ899" s="5"/>
      <c r="AK899" s="5" t="s">
        <v>2019</v>
      </c>
    </row>
    <row r="900" spans="1:37" ht="15" hidden="1" customHeight="1">
      <c r="A900">
        <v>944</v>
      </c>
      <c r="B900" s="111">
        <v>45137</v>
      </c>
      <c r="C900" s="29">
        <f>B900</f>
        <v>45137</v>
      </c>
      <c r="D900" s="8" t="s">
        <v>37</v>
      </c>
      <c r="E900" s="8" t="s">
        <v>75</v>
      </c>
      <c r="F900" s="5" t="str">
        <f>E900</f>
        <v>Banyu Purwita</v>
      </c>
      <c r="G900" s="54" t="s">
        <v>76</v>
      </c>
      <c r="H900" s="102"/>
      <c r="I900" s="95">
        <v>0</v>
      </c>
      <c r="J900" s="95">
        <v>0</v>
      </c>
      <c r="K900" s="95">
        <v>0</v>
      </c>
      <c r="L900" s="95">
        <v>0</v>
      </c>
      <c r="M900" s="95">
        <v>0</v>
      </c>
      <c r="N900" s="95">
        <v>0</v>
      </c>
      <c r="O900" s="95">
        <v>0</v>
      </c>
      <c r="P900" s="95">
        <v>0</v>
      </c>
      <c r="Q900" s="95">
        <v>0</v>
      </c>
      <c r="R900" s="95">
        <v>0</v>
      </c>
      <c r="S900" s="95">
        <v>0</v>
      </c>
      <c r="T900" s="95">
        <v>0</v>
      </c>
      <c r="U900" s="95">
        <v>0</v>
      </c>
      <c r="V900" s="95">
        <v>0</v>
      </c>
      <c r="W900" s="95">
        <v>0</v>
      </c>
      <c r="X900" s="95">
        <v>0</v>
      </c>
      <c r="Y900" s="95">
        <v>0</v>
      </c>
      <c r="Z900" s="95"/>
      <c r="AA900" s="8" t="s">
        <v>2020</v>
      </c>
      <c r="AB900" s="8" t="s">
        <v>2021</v>
      </c>
      <c r="AC900" s="8" t="s">
        <v>2022</v>
      </c>
      <c r="AD900" s="8" t="s">
        <v>2022</v>
      </c>
      <c r="AE900" s="16"/>
      <c r="AF900" s="8"/>
      <c r="AG900" t="str">
        <f>VLOOKUP(OfficeForms.Table[[#This Row],[Nama Proyek]],'Nama Proyek'!$D$2:$G$29,4,0)</f>
        <v>-2.95293103,104.75455094</v>
      </c>
      <c r="AH900" s="5"/>
      <c r="AI900" s="5"/>
      <c r="AJ900" s="5"/>
      <c r="AK900" s="5" t="s">
        <v>2023</v>
      </c>
    </row>
    <row r="901" spans="1:37" ht="15" hidden="1" customHeight="1">
      <c r="A901" s="31">
        <v>921</v>
      </c>
      <c r="B901" s="110">
        <v>45138</v>
      </c>
      <c r="C901" s="28">
        <f>B901</f>
        <v>45138</v>
      </c>
      <c r="D901" s="8" t="s">
        <v>37</v>
      </c>
      <c r="E901" s="8" t="s">
        <v>1282</v>
      </c>
      <c r="F901" s="5" t="s">
        <v>1282</v>
      </c>
      <c r="G901" s="52" t="s">
        <v>989</v>
      </c>
      <c r="H901" s="105">
        <v>45132</v>
      </c>
      <c r="I901" s="95">
        <v>2.3450000000000002</v>
      </c>
      <c r="J901" s="95">
        <v>2.2629999999999999</v>
      </c>
      <c r="K901" s="95">
        <v>76.394999999999996</v>
      </c>
      <c r="L901" s="95">
        <v>0</v>
      </c>
      <c r="M901" s="95">
        <v>1.0429999999999999</v>
      </c>
      <c r="N901" s="95">
        <v>0</v>
      </c>
      <c r="O901" s="95">
        <v>0</v>
      </c>
      <c r="P901" s="95">
        <v>0</v>
      </c>
      <c r="Q901" s="95">
        <v>0</v>
      </c>
      <c r="R901" s="95">
        <v>0</v>
      </c>
      <c r="S901" s="95">
        <v>0.156</v>
      </c>
      <c r="T901" s="95">
        <v>0</v>
      </c>
      <c r="U901" s="95">
        <v>0</v>
      </c>
      <c r="V901" s="95">
        <v>0</v>
      </c>
      <c r="W901" s="95">
        <v>0</v>
      </c>
      <c r="X901" s="95">
        <v>0</v>
      </c>
      <c r="Y901" s="95">
        <v>0</v>
      </c>
      <c r="Z901" s="95"/>
      <c r="AA901" s="8"/>
      <c r="AB901" s="8"/>
      <c r="AC901" s="8"/>
      <c r="AD901" s="8"/>
      <c r="AE901" s="11"/>
      <c r="AF901" s="17"/>
      <c r="AG901" t="str">
        <f>VLOOKUP(OfficeForms.Table[[#This Row],[Nama Proyek]],'Nama Proyek'!$D$2:$G$29,4,0)</f>
        <v>-1.98399270,103.7135193</v>
      </c>
      <c r="AH901" s="5"/>
      <c r="AI901" s="5"/>
      <c r="AJ901" s="5"/>
      <c r="AK901" s="5" t="s">
        <v>2024</v>
      </c>
    </row>
    <row r="902" spans="1:37" ht="15" hidden="1" customHeight="1">
      <c r="A902" s="30">
        <v>920</v>
      </c>
      <c r="B902" s="111">
        <v>45138</v>
      </c>
      <c r="C902" s="29">
        <f>B902</f>
        <v>45138</v>
      </c>
      <c r="D902" s="9" t="s">
        <v>37</v>
      </c>
      <c r="E902" s="9" t="s">
        <v>1282</v>
      </c>
      <c r="F902" s="5" t="s">
        <v>1282</v>
      </c>
      <c r="G902" s="10" t="s">
        <v>989</v>
      </c>
      <c r="H902" s="103"/>
      <c r="I902" s="94">
        <v>0</v>
      </c>
      <c r="J902" s="94">
        <v>0</v>
      </c>
      <c r="K902" s="94">
        <v>0</v>
      </c>
      <c r="L902" s="94">
        <v>0</v>
      </c>
      <c r="M902" s="94">
        <v>0</v>
      </c>
      <c r="N902" s="94">
        <v>0</v>
      </c>
      <c r="O902" s="94">
        <v>0</v>
      </c>
      <c r="P902" s="94">
        <v>0</v>
      </c>
      <c r="Q902" s="94">
        <v>0</v>
      </c>
      <c r="R902" s="94">
        <v>0</v>
      </c>
      <c r="S902" s="94">
        <v>0</v>
      </c>
      <c r="T902" s="94">
        <v>0</v>
      </c>
      <c r="U902" s="94">
        <v>0</v>
      </c>
      <c r="V902" s="94">
        <v>0</v>
      </c>
      <c r="W902" s="94">
        <v>0</v>
      </c>
      <c r="X902" s="94">
        <v>0</v>
      </c>
      <c r="Y902" s="94">
        <v>0</v>
      </c>
      <c r="Z902" s="94"/>
      <c r="AA902" s="9"/>
      <c r="AB902" s="17"/>
      <c r="AC902" s="9"/>
      <c r="AD902" s="9"/>
      <c r="AE902" s="18" t="s">
        <v>1996</v>
      </c>
      <c r="AF902" s="8"/>
      <c r="AG902" t="str">
        <f>VLOOKUP(OfficeForms.Table[[#This Row],[Nama Proyek]],'Nama Proyek'!$D$2:$G$29,4,0)</f>
        <v>-1.98399270,103.7135193</v>
      </c>
      <c r="AH902" s="5"/>
      <c r="AI902" s="5"/>
      <c r="AJ902" s="5"/>
      <c r="AK902" s="5" t="s">
        <v>2025</v>
      </c>
    </row>
    <row r="903" spans="1:37" ht="15" hidden="1" customHeight="1">
      <c r="A903" s="31">
        <v>922</v>
      </c>
      <c r="B903" s="111">
        <v>45138</v>
      </c>
      <c r="C903" s="29">
        <f>B903</f>
        <v>45138</v>
      </c>
      <c r="D903" s="9" t="s">
        <v>37</v>
      </c>
      <c r="E903" s="9" t="s">
        <v>687</v>
      </c>
      <c r="F903" s="5" t="str">
        <f>E903</f>
        <v>Andri Julio Hermawan</v>
      </c>
      <c r="G903" s="32" t="s">
        <v>750</v>
      </c>
      <c r="H903" s="104"/>
      <c r="I903" s="94">
        <v>0</v>
      </c>
      <c r="J903" s="94">
        <v>0</v>
      </c>
      <c r="K903" s="94">
        <v>0</v>
      </c>
      <c r="L903" s="94">
        <v>0</v>
      </c>
      <c r="M903" s="94">
        <v>0</v>
      </c>
      <c r="N903" s="94">
        <v>0</v>
      </c>
      <c r="O903" s="94">
        <v>0</v>
      </c>
      <c r="P903" s="94">
        <v>0</v>
      </c>
      <c r="Q903" s="94">
        <v>0</v>
      </c>
      <c r="R903" s="94">
        <v>0</v>
      </c>
      <c r="S903" s="94">
        <v>0</v>
      </c>
      <c r="T903" s="94">
        <v>0</v>
      </c>
      <c r="U903" s="94">
        <v>0</v>
      </c>
      <c r="V903" s="94">
        <v>0</v>
      </c>
      <c r="W903" s="94">
        <v>0</v>
      </c>
      <c r="X903" s="94">
        <v>0</v>
      </c>
      <c r="Y903" s="94">
        <v>0</v>
      </c>
      <c r="Z903" s="94"/>
      <c r="AA903" s="9" t="s">
        <v>2026</v>
      </c>
      <c r="AB903" s="9" t="s">
        <v>2027</v>
      </c>
      <c r="AC903" s="9" t="s">
        <v>2027</v>
      </c>
      <c r="AD903" s="9" t="s">
        <v>2027</v>
      </c>
      <c r="AE903" s="12"/>
      <c r="AF903" s="25" t="s">
        <v>2028</v>
      </c>
      <c r="AG903" t="str">
        <f>VLOOKUP(OfficeForms.Table[[#This Row],[Nama Proyek]],'Nama Proyek'!$D$2:$G$29,4,0)</f>
        <v>-1.10415341,116.73424356</v>
      </c>
      <c r="AH903" s="5"/>
      <c r="AI903" s="5"/>
      <c r="AJ903" s="5"/>
      <c r="AK903" s="5" t="s">
        <v>2029</v>
      </c>
    </row>
    <row r="904" spans="1:37" ht="15" hidden="1" customHeight="1">
      <c r="A904">
        <v>420</v>
      </c>
      <c r="B904" s="111">
        <v>45143</v>
      </c>
      <c r="C904" s="29">
        <f>B904</f>
        <v>45143</v>
      </c>
      <c r="D904" s="9" t="s">
        <v>37</v>
      </c>
      <c r="E904" s="9" t="s">
        <v>75</v>
      </c>
      <c r="F904" s="5" t="str">
        <f>E904</f>
        <v>Banyu Purwita</v>
      </c>
      <c r="G904" s="37" t="s">
        <v>76</v>
      </c>
      <c r="H904" s="103">
        <v>45050</v>
      </c>
      <c r="I904" s="94">
        <v>47.042999999999999</v>
      </c>
      <c r="J904" s="94">
        <v>49.722000000000001</v>
      </c>
      <c r="K904" s="94">
        <v>0</v>
      </c>
      <c r="L904" s="94">
        <v>0</v>
      </c>
      <c r="M904" s="94">
        <v>2.1219999999999999</v>
      </c>
      <c r="N904" s="94">
        <v>0</v>
      </c>
      <c r="O904" s="94">
        <v>12.15</v>
      </c>
      <c r="P904" s="94">
        <v>0</v>
      </c>
      <c r="Q904" s="94">
        <v>3.1720000000000002</v>
      </c>
      <c r="R904" s="94">
        <v>0</v>
      </c>
      <c r="S904" s="94">
        <v>27.696000000000002</v>
      </c>
      <c r="T904" s="94">
        <v>0</v>
      </c>
      <c r="U904" s="94">
        <v>6.3E-2</v>
      </c>
      <c r="V904" s="94">
        <v>0</v>
      </c>
      <c r="W904" s="94">
        <v>0</v>
      </c>
      <c r="X904" s="94">
        <v>0</v>
      </c>
      <c r="Y904" s="94">
        <v>0</v>
      </c>
      <c r="Z904" s="94"/>
      <c r="AA904" s="9"/>
      <c r="AB904" s="9"/>
      <c r="AC904" s="9"/>
      <c r="AD904" s="9"/>
      <c r="AE904" s="12"/>
      <c r="AF904" s="43" t="s">
        <v>2030</v>
      </c>
      <c r="AG904" t="str">
        <f>VLOOKUP(OfficeForms.Table[[#This Row],[Nama Proyek]],'Nama Proyek'!$D$2:$G$29,4,0)</f>
        <v>-2.95293103,104.75455094</v>
      </c>
      <c r="AH904" s="5"/>
      <c r="AI904" s="5"/>
      <c r="AJ904" s="5"/>
      <c r="AK904" s="5" t="s">
        <v>2031</v>
      </c>
    </row>
    <row r="905" spans="1:37" ht="15" hidden="1" customHeight="1">
      <c r="A905">
        <v>860</v>
      </c>
      <c r="B905" s="111">
        <v>45143</v>
      </c>
      <c r="C905" s="29">
        <f>B905</f>
        <v>45143</v>
      </c>
      <c r="D905" s="8" t="s">
        <v>37</v>
      </c>
      <c r="E905" s="8" t="s">
        <v>75</v>
      </c>
      <c r="F905" s="5" t="str">
        <f>E905</f>
        <v>Banyu Purwita</v>
      </c>
      <c r="G905" s="37" t="s">
        <v>76</v>
      </c>
      <c r="H905" s="102"/>
      <c r="I905" s="95">
        <v>0</v>
      </c>
      <c r="J905" s="95">
        <v>0</v>
      </c>
      <c r="K905" s="95">
        <v>0</v>
      </c>
      <c r="L905" s="95">
        <v>0</v>
      </c>
      <c r="M905" s="95">
        <v>0</v>
      </c>
      <c r="N905" s="95">
        <v>0</v>
      </c>
      <c r="O905" s="95">
        <v>0</v>
      </c>
      <c r="P905" s="95">
        <v>0</v>
      </c>
      <c r="Q905" s="95">
        <v>0</v>
      </c>
      <c r="R905" s="95">
        <v>0</v>
      </c>
      <c r="S905" s="95">
        <v>0</v>
      </c>
      <c r="T905" s="95">
        <v>0</v>
      </c>
      <c r="U905" s="95">
        <v>0</v>
      </c>
      <c r="V905" s="95">
        <v>0</v>
      </c>
      <c r="W905" s="95">
        <v>0</v>
      </c>
      <c r="X905" s="95">
        <v>0</v>
      </c>
      <c r="Y905" s="95">
        <v>0</v>
      </c>
      <c r="Z905" s="95"/>
      <c r="AA905" s="8"/>
      <c r="AB905" s="8"/>
      <c r="AC905" s="8"/>
      <c r="AD905" s="8"/>
      <c r="AE905" s="11">
        <v>45021</v>
      </c>
      <c r="AF905" s="8" t="s">
        <v>2032</v>
      </c>
      <c r="AG905" t="str">
        <f>VLOOKUP(OfficeForms.Table[[#This Row],[Nama Proyek]],'Nama Proyek'!$D$2:$G$29,4,0)</f>
        <v>-2.95293103,104.75455094</v>
      </c>
      <c r="AH905" s="5"/>
      <c r="AI905" s="5"/>
      <c r="AJ905" s="5"/>
      <c r="AK905" s="5" t="s">
        <v>2033</v>
      </c>
    </row>
    <row r="906" spans="1:37" ht="15" hidden="1" customHeight="1">
      <c r="A906" s="30">
        <v>956</v>
      </c>
      <c r="B906" s="111">
        <v>45160</v>
      </c>
      <c r="C906" s="29">
        <f>B906</f>
        <v>45160</v>
      </c>
      <c r="D906" s="8" t="s">
        <v>37</v>
      </c>
      <c r="E906" s="8" t="s">
        <v>64</v>
      </c>
      <c r="F906" s="5" t="str">
        <f>E906</f>
        <v>Nizar Zulkarnain</v>
      </c>
      <c r="G906" s="17" t="s">
        <v>65</v>
      </c>
      <c r="H906" s="102">
        <v>45158</v>
      </c>
      <c r="I906" s="95">
        <v>80.295000000000002</v>
      </c>
      <c r="J906" s="95">
        <v>87.712000000000003</v>
      </c>
      <c r="K906" s="95">
        <v>72.58</v>
      </c>
      <c r="L906" s="95">
        <v>66.83</v>
      </c>
      <c r="M906" s="95">
        <v>85.14</v>
      </c>
      <c r="N906" s="95">
        <v>92.31</v>
      </c>
      <c r="O906" s="95">
        <v>74.03</v>
      </c>
      <c r="P906" s="95">
        <v>73.92</v>
      </c>
      <c r="Q906" s="95">
        <v>75.010000000000005</v>
      </c>
      <c r="R906" s="95">
        <v>63.59</v>
      </c>
      <c r="S906" s="95">
        <v>89.56</v>
      </c>
      <c r="T906" s="95">
        <v>90.21</v>
      </c>
      <c r="U906" s="95">
        <v>48.39</v>
      </c>
      <c r="V906" s="95">
        <v>22.58</v>
      </c>
      <c r="W906" s="95">
        <v>0</v>
      </c>
      <c r="X906" s="95">
        <v>98.36</v>
      </c>
      <c r="Y906" s="95">
        <v>41.48</v>
      </c>
      <c r="Z906" s="95"/>
      <c r="AA906" s="8"/>
      <c r="AB906" s="8"/>
      <c r="AC906" s="8"/>
      <c r="AD906" s="8"/>
      <c r="AE906" s="11"/>
      <c r="AF906" s="15"/>
      <c r="AG906" t="str">
        <f>VLOOKUP(OfficeForms.Table[[#This Row],[Nama Proyek]],'Nama Proyek'!$D$2:$G$29,4,0)</f>
        <v>-6.35008011,107.02324233</v>
      </c>
      <c r="AH906" s="5"/>
      <c r="AI906" s="5"/>
      <c r="AJ906" s="5"/>
      <c r="AK906" s="5" t="s">
        <v>2034</v>
      </c>
    </row>
    <row r="907" spans="1:37" ht="15" hidden="1" customHeight="1">
      <c r="A907" s="31">
        <v>968</v>
      </c>
      <c r="B907" s="111">
        <v>45160</v>
      </c>
      <c r="C907" s="29">
        <f>B907</f>
        <v>45160</v>
      </c>
      <c r="D907" s="8" t="s">
        <v>37</v>
      </c>
      <c r="E907" s="8" t="s">
        <v>1109</v>
      </c>
      <c r="F907" s="5" t="str">
        <f>E907</f>
        <v>Anzalar Rahman</v>
      </c>
      <c r="G907" s="36" t="s">
        <v>714</v>
      </c>
      <c r="H907" s="102">
        <v>45158</v>
      </c>
      <c r="I907" s="95">
        <v>51.834000000000003</v>
      </c>
      <c r="J907" s="95">
        <v>49.267000000000003</v>
      </c>
      <c r="K907" s="95">
        <v>0</v>
      </c>
      <c r="L907" s="95">
        <v>0</v>
      </c>
      <c r="M907" s="95">
        <v>0</v>
      </c>
      <c r="N907" s="95">
        <v>0</v>
      </c>
      <c r="O907" s="95">
        <v>0</v>
      </c>
      <c r="P907" s="95">
        <v>0</v>
      </c>
      <c r="Q907" s="95">
        <v>0</v>
      </c>
      <c r="R907" s="95">
        <v>0</v>
      </c>
      <c r="S907" s="95">
        <v>0</v>
      </c>
      <c r="T907" s="95">
        <v>0</v>
      </c>
      <c r="U907" s="95">
        <v>0</v>
      </c>
      <c r="V907" s="95">
        <v>0</v>
      </c>
      <c r="W907" s="95">
        <v>0</v>
      </c>
      <c r="X907" s="95">
        <v>0</v>
      </c>
      <c r="Y907" s="95">
        <v>0</v>
      </c>
      <c r="Z907" s="95"/>
      <c r="AA907" s="8"/>
      <c r="AB907" s="8"/>
      <c r="AC907" s="15"/>
      <c r="AD907" s="15"/>
      <c r="AE907" s="16"/>
      <c r="AF907" s="19"/>
      <c r="AG907" t="str">
        <f>VLOOKUP(OfficeForms.Table[[#This Row],[Nama Proyek]],'Nama Proyek'!$D$2:$G$29,4,0)</f>
        <v>-0.95259625,116.71704453</v>
      </c>
      <c r="AH907" s="5"/>
      <c r="AI907" s="5"/>
      <c r="AJ907" s="5"/>
      <c r="AK907" s="5" t="s">
        <v>2035</v>
      </c>
    </row>
    <row r="908" spans="1:37" ht="15" hidden="1" customHeight="1">
      <c r="A908" s="31">
        <v>970</v>
      </c>
      <c r="B908" s="111">
        <v>45160</v>
      </c>
      <c r="C908" s="29">
        <f>B908</f>
        <v>45160</v>
      </c>
      <c r="D908" s="9" t="s">
        <v>37</v>
      </c>
      <c r="E908" s="9" t="s">
        <v>1109</v>
      </c>
      <c r="F908" s="5" t="str">
        <f>E908</f>
        <v>Anzalar Rahman</v>
      </c>
      <c r="G908" s="36" t="s">
        <v>714</v>
      </c>
      <c r="H908" s="104">
        <v>45158</v>
      </c>
      <c r="I908" s="94">
        <v>51.834000000000003</v>
      </c>
      <c r="J908" s="94">
        <v>49.267000000000003</v>
      </c>
      <c r="K908" s="94">
        <v>3.5999999999999997E-2</v>
      </c>
      <c r="L908" s="94">
        <v>19.376000000000001</v>
      </c>
      <c r="M908" s="94">
        <v>0</v>
      </c>
      <c r="N908" s="94">
        <v>30.096</v>
      </c>
      <c r="O908" s="94">
        <v>0</v>
      </c>
      <c r="P908" s="94">
        <v>0</v>
      </c>
      <c r="Q908" s="94">
        <v>0</v>
      </c>
      <c r="R908" s="94">
        <v>0</v>
      </c>
      <c r="S908" s="94">
        <v>0</v>
      </c>
      <c r="T908" s="94">
        <v>0</v>
      </c>
      <c r="U908" s="94">
        <v>0</v>
      </c>
      <c r="V908" s="94">
        <v>0</v>
      </c>
      <c r="W908" s="94">
        <v>0</v>
      </c>
      <c r="X908" s="94">
        <v>0</v>
      </c>
      <c r="Y908" s="94">
        <v>0</v>
      </c>
      <c r="Z908" s="94"/>
      <c r="AA908" s="9"/>
      <c r="AB908" s="9"/>
      <c r="AC908" s="9"/>
      <c r="AD908" s="9"/>
      <c r="AE908" s="12"/>
      <c r="AF908" s="19"/>
      <c r="AG908" t="str">
        <f>VLOOKUP(OfficeForms.Table[[#This Row],[Nama Proyek]],'Nama Proyek'!$D$2:$G$29,4,0)</f>
        <v>-0.95259625,116.71704453</v>
      </c>
      <c r="AH908" s="5"/>
      <c r="AI908" s="5"/>
      <c r="AJ908" s="5"/>
      <c r="AK908" s="5" t="s">
        <v>2036</v>
      </c>
    </row>
    <row r="909" spans="1:37" ht="15" hidden="1" customHeight="1">
      <c r="A909">
        <v>1019</v>
      </c>
      <c r="B909" s="110">
        <v>45160</v>
      </c>
      <c r="C909" s="28">
        <f>B909</f>
        <v>45160</v>
      </c>
      <c r="D909" s="19" t="s">
        <v>37</v>
      </c>
      <c r="E909" s="19" t="s">
        <v>109</v>
      </c>
      <c r="F909" s="5" t="str">
        <f>E909</f>
        <v>Muhamad Saifudin Ashari</v>
      </c>
      <c r="G909" s="42" t="s">
        <v>39</v>
      </c>
      <c r="H909" s="101">
        <v>45158</v>
      </c>
      <c r="I909" s="96">
        <v>97.537000000000006</v>
      </c>
      <c r="J909" s="96">
        <v>98.956000000000003</v>
      </c>
      <c r="K909" s="96">
        <v>100</v>
      </c>
      <c r="L909" s="96">
        <v>99.17</v>
      </c>
      <c r="M909" s="96">
        <v>99.774000000000001</v>
      </c>
      <c r="N909" s="96">
        <v>100</v>
      </c>
      <c r="O909" s="96">
        <v>86.775000000000006</v>
      </c>
      <c r="P909" s="96">
        <v>100</v>
      </c>
      <c r="Q909" s="96">
        <v>98.207999999999998</v>
      </c>
      <c r="R909" s="96">
        <v>98.353999999999999</v>
      </c>
      <c r="S909" s="96">
        <v>99.144000000000005</v>
      </c>
      <c r="T909" s="96">
        <v>100</v>
      </c>
      <c r="U909" s="96">
        <v>87.674000000000007</v>
      </c>
      <c r="V909" s="96">
        <v>79.509</v>
      </c>
      <c r="W909" s="96">
        <v>100</v>
      </c>
      <c r="X909" s="96">
        <v>31.001000000000001</v>
      </c>
      <c r="Y909" s="96">
        <v>59.18</v>
      </c>
      <c r="Z909" s="96"/>
      <c r="AA909" s="19"/>
      <c r="AB909" s="19"/>
      <c r="AC909" s="19"/>
      <c r="AD909" s="19"/>
      <c r="AE909" s="13"/>
      <c r="AF909" s="15" t="s">
        <v>2037</v>
      </c>
      <c r="AG909" t="str">
        <f>VLOOKUP(OfficeForms.Table[[#This Row],[Nama Proyek]],'Nama Proyek'!$D$2:$G$29,4,0)</f>
        <v>-6.80675464,106.785366</v>
      </c>
      <c r="AH909" s="5"/>
      <c r="AI909" s="5"/>
      <c r="AJ909" s="5"/>
      <c r="AK909" s="5" t="s">
        <v>2038</v>
      </c>
    </row>
    <row r="910" spans="1:37" ht="15" hidden="1" customHeight="1">
      <c r="A910" s="50">
        <v>626</v>
      </c>
      <c r="B910" s="111">
        <v>45160</v>
      </c>
      <c r="C910" s="29">
        <f>B910</f>
        <v>45160</v>
      </c>
      <c r="D910" s="8" t="s">
        <v>37</v>
      </c>
      <c r="E910" s="8" t="s">
        <v>109</v>
      </c>
      <c r="F910" s="5" t="str">
        <f>E910</f>
        <v>Muhamad Saifudin Ashari</v>
      </c>
      <c r="G910" s="17" t="s">
        <v>39</v>
      </c>
      <c r="H910" s="102"/>
      <c r="I910" s="95">
        <v>0</v>
      </c>
      <c r="J910" s="95">
        <v>0</v>
      </c>
      <c r="K910" s="95">
        <v>0</v>
      </c>
      <c r="L910" s="95">
        <v>0</v>
      </c>
      <c r="M910" s="95">
        <v>0</v>
      </c>
      <c r="N910" s="95">
        <v>0</v>
      </c>
      <c r="O910" s="95">
        <v>0</v>
      </c>
      <c r="P910" s="95">
        <v>0</v>
      </c>
      <c r="Q910" s="95">
        <v>0</v>
      </c>
      <c r="R910" s="95">
        <v>0</v>
      </c>
      <c r="S910" s="95">
        <v>0</v>
      </c>
      <c r="T910" s="95">
        <v>0</v>
      </c>
      <c r="U910" s="95">
        <v>0</v>
      </c>
      <c r="V910" s="95">
        <v>0</v>
      </c>
      <c r="W910" s="95">
        <v>0</v>
      </c>
      <c r="X910" s="95">
        <v>0</v>
      </c>
      <c r="Y910" s="95">
        <v>0</v>
      </c>
      <c r="Z910" s="95"/>
      <c r="AA910" s="8"/>
      <c r="AB910" s="8"/>
      <c r="AC910" s="8"/>
      <c r="AD910" s="8"/>
      <c r="AE910" s="16">
        <v>45024</v>
      </c>
      <c r="AF910" s="8"/>
      <c r="AG910" t="str">
        <f>VLOOKUP(OfficeForms.Table[[#This Row],[Nama Proyek]],'Nama Proyek'!$D$2:$G$29,4,0)</f>
        <v>-6.80675464,106.785366</v>
      </c>
      <c r="AH910" s="5"/>
      <c r="AI910" s="5"/>
      <c r="AJ910" s="5"/>
      <c r="AK910" s="5" t="s">
        <v>2039</v>
      </c>
    </row>
    <row r="911" spans="1:37" ht="15" hidden="1" customHeight="1">
      <c r="A911" s="31">
        <v>627</v>
      </c>
      <c r="B911" s="110">
        <v>45160</v>
      </c>
      <c r="C911" s="28">
        <f>B911</f>
        <v>45160</v>
      </c>
      <c r="D911" s="8" t="s">
        <v>37</v>
      </c>
      <c r="E911" s="8" t="s">
        <v>109</v>
      </c>
      <c r="F911" s="5" t="str">
        <f>E911</f>
        <v>Muhamad Saifudin Ashari</v>
      </c>
      <c r="G911" s="42" t="s">
        <v>39</v>
      </c>
      <c r="H911" s="102"/>
      <c r="I911" s="95">
        <v>0</v>
      </c>
      <c r="J911" s="95">
        <v>0</v>
      </c>
      <c r="K911" s="95">
        <v>0</v>
      </c>
      <c r="L911" s="95">
        <v>0</v>
      </c>
      <c r="M911" s="95">
        <v>0</v>
      </c>
      <c r="N911" s="95">
        <v>0</v>
      </c>
      <c r="O911" s="95">
        <v>0</v>
      </c>
      <c r="P911" s="95">
        <v>0</v>
      </c>
      <c r="Q911" s="95">
        <v>0</v>
      </c>
      <c r="R911" s="95">
        <v>0</v>
      </c>
      <c r="S911" s="95">
        <v>0</v>
      </c>
      <c r="T911" s="95">
        <v>0</v>
      </c>
      <c r="U911" s="95">
        <v>0</v>
      </c>
      <c r="V911" s="95">
        <v>0</v>
      </c>
      <c r="W911" s="95">
        <v>0</v>
      </c>
      <c r="X911" s="95">
        <v>0</v>
      </c>
      <c r="Y911" s="95">
        <v>0</v>
      </c>
      <c r="Z911" s="95"/>
      <c r="AA911" s="8" t="s">
        <v>2040</v>
      </c>
      <c r="AB911" s="63" t="s">
        <v>2041</v>
      </c>
      <c r="AC911" s="8" t="s">
        <v>2042</v>
      </c>
      <c r="AD911" s="8" t="s">
        <v>2043</v>
      </c>
      <c r="AE911" s="11"/>
      <c r="AF911" s="8" t="s">
        <v>2044</v>
      </c>
      <c r="AG911" t="str">
        <f>VLOOKUP(OfficeForms.Table[[#This Row],[Nama Proyek]],'Nama Proyek'!$D$2:$G$29,4,0)</f>
        <v>-6.80675464,106.785366</v>
      </c>
      <c r="AH911" s="5"/>
      <c r="AI911" s="5"/>
      <c r="AJ911" s="5"/>
      <c r="AK911" s="5" t="s">
        <v>2045</v>
      </c>
    </row>
    <row r="912" spans="1:37" ht="15" hidden="1" customHeight="1">
      <c r="A912" s="50">
        <v>802</v>
      </c>
      <c r="B912" s="111">
        <v>45160</v>
      </c>
      <c r="C912" s="29">
        <f>B912</f>
        <v>45160</v>
      </c>
      <c r="D912" s="9" t="s">
        <v>37</v>
      </c>
      <c r="E912" s="9" t="s">
        <v>1109</v>
      </c>
      <c r="F912" s="5" t="str">
        <f>E912</f>
        <v>Anzalar Rahman</v>
      </c>
      <c r="G912" s="36" t="s">
        <v>714</v>
      </c>
      <c r="H912" s="104"/>
      <c r="I912" s="94">
        <v>0</v>
      </c>
      <c r="J912" s="94">
        <v>0</v>
      </c>
      <c r="K912" s="94">
        <v>0</v>
      </c>
      <c r="L912" s="94">
        <v>0</v>
      </c>
      <c r="M912" s="94">
        <v>0</v>
      </c>
      <c r="N912" s="94">
        <v>0</v>
      </c>
      <c r="O912" s="94">
        <v>0</v>
      </c>
      <c r="P912" s="94">
        <v>0</v>
      </c>
      <c r="Q912" s="94">
        <v>0</v>
      </c>
      <c r="R912" s="94">
        <v>0</v>
      </c>
      <c r="S912" s="94">
        <v>0</v>
      </c>
      <c r="T912" s="94">
        <v>0</v>
      </c>
      <c r="U912" s="94">
        <v>0</v>
      </c>
      <c r="V912" s="94">
        <v>0</v>
      </c>
      <c r="W912" s="94">
        <v>0</v>
      </c>
      <c r="X912" s="94">
        <v>0</v>
      </c>
      <c r="Y912" s="94">
        <v>0</v>
      </c>
      <c r="Z912" s="94"/>
      <c r="AA912" s="9" t="s">
        <v>2046</v>
      </c>
      <c r="AB912" s="9" t="s">
        <v>2047</v>
      </c>
      <c r="AC912" s="9" t="s">
        <v>2048</v>
      </c>
      <c r="AD912" s="9" t="s">
        <v>2049</v>
      </c>
      <c r="AE912" s="12"/>
      <c r="AF912" s="15"/>
      <c r="AG912" t="str">
        <f>VLOOKUP(OfficeForms.Table[[#This Row],[Nama Proyek]],'Nama Proyek'!$D$2:$G$29,4,0)</f>
        <v>-0.95259625,116.71704453</v>
      </c>
      <c r="AH912" s="5"/>
      <c r="AI912" s="5"/>
      <c r="AJ912" s="5"/>
      <c r="AK912" s="5" t="s">
        <v>2050</v>
      </c>
    </row>
    <row r="913" spans="1:37" ht="15" hidden="1" customHeight="1">
      <c r="A913" s="50">
        <v>820</v>
      </c>
      <c r="B913" s="111">
        <v>45160</v>
      </c>
      <c r="C913" s="29">
        <f>B913</f>
        <v>45160</v>
      </c>
      <c r="D913" s="8" t="s">
        <v>37</v>
      </c>
      <c r="E913" s="8" t="s">
        <v>1109</v>
      </c>
      <c r="F913" s="5" t="str">
        <f>E913</f>
        <v>Anzalar Rahman</v>
      </c>
      <c r="G913" s="36" t="s">
        <v>714</v>
      </c>
      <c r="H913" s="102"/>
      <c r="I913" s="95">
        <v>0</v>
      </c>
      <c r="J913" s="95">
        <v>0</v>
      </c>
      <c r="K913" s="95">
        <v>0</v>
      </c>
      <c r="L913" s="95">
        <v>0</v>
      </c>
      <c r="M913" s="95">
        <v>0</v>
      </c>
      <c r="N913" s="95">
        <v>0</v>
      </c>
      <c r="O913" s="95">
        <v>0</v>
      </c>
      <c r="P913" s="95">
        <v>0</v>
      </c>
      <c r="Q913" s="95">
        <v>0</v>
      </c>
      <c r="R913" s="95">
        <v>0</v>
      </c>
      <c r="S913" s="95">
        <v>0</v>
      </c>
      <c r="T913" s="95">
        <v>0</v>
      </c>
      <c r="U913" s="95">
        <v>0</v>
      </c>
      <c r="V913" s="95">
        <v>0</v>
      </c>
      <c r="W913" s="95">
        <v>0</v>
      </c>
      <c r="X913" s="95">
        <v>0</v>
      </c>
      <c r="Y913" s="95">
        <v>0</v>
      </c>
      <c r="Z913" s="95"/>
      <c r="AA913" s="8"/>
      <c r="AB913" s="8"/>
      <c r="AC913" s="8"/>
      <c r="AD913" s="8"/>
      <c r="AE913" s="16" t="s">
        <v>2051</v>
      </c>
      <c r="AF913" s="19" t="s">
        <v>2052</v>
      </c>
      <c r="AG913" t="str">
        <f>VLOOKUP(OfficeForms.Table[[#This Row],[Nama Proyek]],'Nama Proyek'!$D$2:$G$29,4,0)</f>
        <v>-0.95259625,116.71704453</v>
      </c>
      <c r="AH913" s="5"/>
      <c r="AI913" s="5"/>
      <c r="AJ913" s="5"/>
      <c r="AK913" s="5" t="s">
        <v>2053</v>
      </c>
    </row>
    <row r="914" spans="1:37" ht="15" hidden="1" customHeight="1">
      <c r="A914" s="31">
        <v>821</v>
      </c>
      <c r="B914" s="110">
        <v>45160</v>
      </c>
      <c r="C914" s="28">
        <f>B914</f>
        <v>45160</v>
      </c>
      <c r="D914" s="19" t="s">
        <v>37</v>
      </c>
      <c r="E914" s="19" t="s">
        <v>1109</v>
      </c>
      <c r="F914" s="5" t="str">
        <f>E914</f>
        <v>Anzalar Rahman</v>
      </c>
      <c r="G914" s="38" t="s">
        <v>714</v>
      </c>
      <c r="H914" s="106"/>
      <c r="I914" s="96">
        <v>0</v>
      </c>
      <c r="J914" s="96">
        <v>0</v>
      </c>
      <c r="K914" s="96">
        <v>0</v>
      </c>
      <c r="L914" s="96">
        <v>0</v>
      </c>
      <c r="M914" s="96">
        <v>0</v>
      </c>
      <c r="N914" s="96">
        <v>0</v>
      </c>
      <c r="O914" s="96">
        <v>0</v>
      </c>
      <c r="P914" s="96">
        <v>0</v>
      </c>
      <c r="Q914" s="96">
        <v>0</v>
      </c>
      <c r="R914" s="96">
        <v>0</v>
      </c>
      <c r="S914" s="96">
        <v>0</v>
      </c>
      <c r="T914" s="96">
        <v>0</v>
      </c>
      <c r="U914" s="96">
        <v>0</v>
      </c>
      <c r="V914" s="96">
        <v>0</v>
      </c>
      <c r="W914" s="96">
        <v>0</v>
      </c>
      <c r="X914" s="96">
        <v>0</v>
      </c>
      <c r="Y914" s="96">
        <v>0</v>
      </c>
      <c r="Z914" s="96"/>
      <c r="AA914" s="19"/>
      <c r="AB914" s="19"/>
      <c r="AC914" s="19"/>
      <c r="AD914" s="19"/>
      <c r="AE914" s="13" t="s">
        <v>2051</v>
      </c>
      <c r="AF914" s="8"/>
      <c r="AG914" t="str">
        <f>VLOOKUP(OfficeForms.Table[[#This Row],[Nama Proyek]],'Nama Proyek'!$D$2:$G$29,4,0)</f>
        <v>-0.95259625,116.71704453</v>
      </c>
      <c r="AH914" s="5"/>
      <c r="AI914" s="5"/>
      <c r="AJ914" s="5"/>
      <c r="AK914" s="5" t="s">
        <v>2054</v>
      </c>
    </row>
    <row r="915" spans="1:37" ht="15" hidden="1" customHeight="1">
      <c r="A915" s="30">
        <v>521</v>
      </c>
      <c r="B915" s="110">
        <v>45166</v>
      </c>
      <c r="C915" s="28">
        <f>B915</f>
        <v>45166</v>
      </c>
      <c r="D915" s="19" t="s">
        <v>37</v>
      </c>
      <c r="E915" s="19" t="s">
        <v>75</v>
      </c>
      <c r="F915" s="5" t="str">
        <f>E915</f>
        <v>Banyu Purwita</v>
      </c>
      <c r="G915" s="34" t="s">
        <v>76</v>
      </c>
      <c r="H915" s="101">
        <v>45164</v>
      </c>
      <c r="I915" s="96">
        <v>61.981000000000002</v>
      </c>
      <c r="J915" s="96">
        <v>61.838000000000001</v>
      </c>
      <c r="K915" s="96">
        <v>0</v>
      </c>
      <c r="L915" s="96">
        <v>0</v>
      </c>
      <c r="M915" s="96">
        <v>6.4329999999999998</v>
      </c>
      <c r="N915" s="96">
        <v>0</v>
      </c>
      <c r="O915" s="96">
        <v>11.276</v>
      </c>
      <c r="P915" s="96">
        <v>0</v>
      </c>
      <c r="Q915" s="96">
        <v>5.6210000000000004</v>
      </c>
      <c r="R915" s="96">
        <v>0</v>
      </c>
      <c r="S915" s="96">
        <v>36.54</v>
      </c>
      <c r="T915" s="96">
        <v>0</v>
      </c>
      <c r="U915" s="96">
        <v>6.3E-2</v>
      </c>
      <c r="V915" s="96">
        <v>0</v>
      </c>
      <c r="W915" s="96">
        <v>0</v>
      </c>
      <c r="X915" s="96">
        <v>0</v>
      </c>
      <c r="Y915" s="96">
        <v>0</v>
      </c>
      <c r="Z915" s="96"/>
      <c r="AA915" s="19"/>
      <c r="AB915" s="42"/>
      <c r="AC915" s="42"/>
      <c r="AD915" s="19"/>
      <c r="AE915" s="13"/>
      <c r="AF915" s="8"/>
      <c r="AG915" t="str">
        <f>VLOOKUP(OfficeForms.Table[[#This Row],[Nama Proyek]],'Nama Proyek'!$D$2:$G$29,4,0)</f>
        <v>-2.95293103,104.75455094</v>
      </c>
      <c r="AH915" s="5"/>
      <c r="AI915" s="5"/>
      <c r="AJ915" s="5"/>
      <c r="AK915" s="5" t="s">
        <v>2055</v>
      </c>
    </row>
    <row r="916" spans="1:37" ht="15" hidden="1" customHeight="1">
      <c r="A916" s="30">
        <v>938</v>
      </c>
      <c r="B916" s="111">
        <v>45166</v>
      </c>
      <c r="C916" s="29">
        <f>B916</f>
        <v>45166</v>
      </c>
      <c r="D916" s="9" t="s">
        <v>37</v>
      </c>
      <c r="E916" s="9" t="s">
        <v>994</v>
      </c>
      <c r="F916" s="5" t="s">
        <v>994</v>
      </c>
      <c r="G916" s="23" t="s">
        <v>924</v>
      </c>
      <c r="H916" s="104">
        <v>45166</v>
      </c>
      <c r="I916" s="94">
        <v>74.25</v>
      </c>
      <c r="J916" s="94">
        <v>50.45</v>
      </c>
      <c r="K916" s="94">
        <v>4.8499999999999996</v>
      </c>
      <c r="L916" s="94">
        <v>32.64</v>
      </c>
      <c r="M916" s="94">
        <v>0</v>
      </c>
      <c r="N916" s="94">
        <v>12.31</v>
      </c>
      <c r="O916" s="94">
        <v>15.58</v>
      </c>
      <c r="P916" s="94">
        <v>5.64</v>
      </c>
      <c r="Q916" s="94">
        <v>0</v>
      </c>
      <c r="R916" s="94">
        <v>0.64</v>
      </c>
      <c r="S916" s="94">
        <v>0</v>
      </c>
      <c r="T916" s="94">
        <v>0</v>
      </c>
      <c r="U916" s="94">
        <v>0</v>
      </c>
      <c r="V916" s="94">
        <v>0</v>
      </c>
      <c r="W916" s="94">
        <v>0</v>
      </c>
      <c r="X916" s="94">
        <v>0</v>
      </c>
      <c r="Y916" s="94">
        <v>0</v>
      </c>
      <c r="Z916" s="94"/>
      <c r="AA916" s="9"/>
      <c r="AB916" s="9"/>
      <c r="AC916" s="9"/>
      <c r="AD916" s="9"/>
      <c r="AE916" s="12"/>
      <c r="AF916" s="41" t="s">
        <v>2056</v>
      </c>
      <c r="AG916" t="str">
        <f>VLOOKUP(OfficeForms.Table[[#This Row],[Nama Proyek]],'Nama Proyek'!$D$2:$G$40,4,0)</f>
        <v>-3.25078511,134.87791156</v>
      </c>
      <c r="AH916" s="5"/>
      <c r="AI916" s="5"/>
      <c r="AJ916" s="5"/>
      <c r="AK916" s="5" t="s">
        <v>2057</v>
      </c>
    </row>
    <row r="917" spans="1:37" ht="15" hidden="1" customHeight="1">
      <c r="A917">
        <v>525</v>
      </c>
      <c r="B917" s="110">
        <v>45166</v>
      </c>
      <c r="C917" s="28">
        <f>B917</f>
        <v>45166</v>
      </c>
      <c r="D917" s="8" t="s">
        <v>37</v>
      </c>
      <c r="E917" s="8" t="s">
        <v>64</v>
      </c>
      <c r="F917" s="5" t="str">
        <f>E917</f>
        <v>Nizar Zulkarnain</v>
      </c>
      <c r="G917" s="42" t="s">
        <v>65</v>
      </c>
      <c r="H917" s="102"/>
      <c r="I917" s="95">
        <v>0</v>
      </c>
      <c r="J917" s="95">
        <v>0</v>
      </c>
      <c r="K917" s="95">
        <v>0</v>
      </c>
      <c r="L917" s="95">
        <v>0</v>
      </c>
      <c r="M917" s="95">
        <v>0</v>
      </c>
      <c r="N917" s="95">
        <v>0</v>
      </c>
      <c r="O917" s="95">
        <v>0</v>
      </c>
      <c r="P917" s="95">
        <v>0</v>
      </c>
      <c r="Q917" s="95">
        <v>0</v>
      </c>
      <c r="R917" s="95">
        <v>0</v>
      </c>
      <c r="S917" s="95">
        <v>0</v>
      </c>
      <c r="T917" s="95">
        <v>0</v>
      </c>
      <c r="U917" s="95">
        <v>0</v>
      </c>
      <c r="V917" s="95">
        <v>0</v>
      </c>
      <c r="W917" s="95">
        <v>0</v>
      </c>
      <c r="X917" s="95">
        <v>0</v>
      </c>
      <c r="Y917" s="95">
        <v>0</v>
      </c>
      <c r="Z917" s="95"/>
      <c r="AA917" s="8" t="s">
        <v>2058</v>
      </c>
      <c r="AB917" s="8"/>
      <c r="AC917" s="8"/>
      <c r="AD917" s="8"/>
      <c r="AE917" s="11"/>
      <c r="AF917" s="8" t="s">
        <v>2059</v>
      </c>
      <c r="AG917" t="str">
        <f>VLOOKUP(OfficeForms.Table[[#This Row],[Nama Proyek]],'Nama Proyek'!$D$2:$G$29,4,0)</f>
        <v>-6.35008011,107.02324233</v>
      </c>
      <c r="AH917" s="5"/>
      <c r="AI917" s="5"/>
      <c r="AJ917" s="5"/>
      <c r="AK917" s="5" t="s">
        <v>2060</v>
      </c>
    </row>
    <row r="918" spans="1:37" ht="15" hidden="1" customHeight="1">
      <c r="A918">
        <v>939</v>
      </c>
      <c r="B918" s="110">
        <v>45166</v>
      </c>
      <c r="C918" s="28">
        <f>B918</f>
        <v>45166</v>
      </c>
      <c r="D918" s="8" t="s">
        <v>37</v>
      </c>
      <c r="E918" s="8" t="s">
        <v>994</v>
      </c>
      <c r="F918" s="5" t="s">
        <v>994</v>
      </c>
      <c r="G918" s="23" t="s">
        <v>924</v>
      </c>
      <c r="H918" s="102"/>
      <c r="I918" s="95">
        <v>0</v>
      </c>
      <c r="J918" s="95">
        <v>0</v>
      </c>
      <c r="K918" s="95">
        <v>0</v>
      </c>
      <c r="L918" s="95">
        <v>0</v>
      </c>
      <c r="M918" s="95">
        <v>0</v>
      </c>
      <c r="N918" s="95">
        <v>0</v>
      </c>
      <c r="O918" s="95">
        <v>0</v>
      </c>
      <c r="P918" s="95">
        <v>0</v>
      </c>
      <c r="Q918" s="95">
        <v>0</v>
      </c>
      <c r="R918" s="95">
        <v>0</v>
      </c>
      <c r="S918" s="95">
        <v>0</v>
      </c>
      <c r="T918" s="95">
        <v>0</v>
      </c>
      <c r="U918" s="95">
        <v>0</v>
      </c>
      <c r="V918" s="95">
        <v>0</v>
      </c>
      <c r="W918" s="95">
        <v>0</v>
      </c>
      <c r="X918" s="95">
        <v>0</v>
      </c>
      <c r="Y918" s="95">
        <v>0</v>
      </c>
      <c r="Z918" s="95"/>
      <c r="AA918" s="8"/>
      <c r="AB918" s="8"/>
      <c r="AC918" s="15"/>
      <c r="AD918" s="15"/>
      <c r="AE918" s="11" t="s">
        <v>2061</v>
      </c>
      <c r="AF918" s="17" t="s">
        <v>2013</v>
      </c>
      <c r="AG918" t="str">
        <f>VLOOKUP(OfficeForms.Table[[#This Row],[Nama Proyek]],'Nama Proyek'!$D$2:$G$40,4,0)</f>
        <v>-3.25078511,134.87791156</v>
      </c>
      <c r="AH918" s="5"/>
      <c r="AI918" s="5"/>
      <c r="AJ918" s="5"/>
      <c r="AK918" s="5" t="s">
        <v>2062</v>
      </c>
    </row>
    <row r="919" spans="1:37" ht="15" hidden="1" customHeight="1">
      <c r="A919" s="30">
        <v>940</v>
      </c>
      <c r="B919" s="111">
        <v>45166</v>
      </c>
      <c r="C919" s="29">
        <f>B919</f>
        <v>45166</v>
      </c>
      <c r="D919" s="9" t="s">
        <v>37</v>
      </c>
      <c r="E919" s="9" t="s">
        <v>994</v>
      </c>
      <c r="F919" s="5" t="s">
        <v>994</v>
      </c>
      <c r="G919" s="23" t="s">
        <v>924</v>
      </c>
      <c r="H919" s="103"/>
      <c r="I919" s="94">
        <v>0</v>
      </c>
      <c r="J919" s="94">
        <v>0</v>
      </c>
      <c r="K919" s="94">
        <v>0</v>
      </c>
      <c r="L919" s="94">
        <v>0</v>
      </c>
      <c r="M919" s="94">
        <v>0</v>
      </c>
      <c r="N919" s="94">
        <v>0</v>
      </c>
      <c r="O919" s="94">
        <v>0</v>
      </c>
      <c r="P919" s="94">
        <v>0</v>
      </c>
      <c r="Q919" s="94">
        <v>0</v>
      </c>
      <c r="R919" s="94">
        <v>0</v>
      </c>
      <c r="S919" s="94">
        <v>0</v>
      </c>
      <c r="T919" s="94">
        <v>0</v>
      </c>
      <c r="U919" s="94">
        <v>0</v>
      </c>
      <c r="V919" s="94">
        <v>0</v>
      </c>
      <c r="W919" s="94">
        <v>0</v>
      </c>
      <c r="X919" s="94">
        <v>0</v>
      </c>
      <c r="Y919" s="94">
        <v>0</v>
      </c>
      <c r="Z919" s="94"/>
      <c r="AA919" s="9"/>
      <c r="AB919" s="9"/>
      <c r="AC919" s="9"/>
      <c r="AD919" s="9"/>
      <c r="AE919" s="18" t="s">
        <v>2061</v>
      </c>
      <c r="AF919" s="8"/>
      <c r="AG919" t="str">
        <f>VLOOKUP(OfficeForms.Table[[#This Row],[Nama Proyek]],'Nama Proyek'!$D$2:$G$40,4,0)</f>
        <v>-3.25078511,134.87791156</v>
      </c>
      <c r="AH919" s="5"/>
      <c r="AI919" s="5"/>
      <c r="AJ919" s="5"/>
      <c r="AK919" s="5" t="s">
        <v>2063</v>
      </c>
    </row>
    <row r="920" spans="1:37" ht="15" hidden="1" customHeight="1">
      <c r="A920" s="31">
        <v>941</v>
      </c>
      <c r="B920" s="110">
        <v>45166</v>
      </c>
      <c r="C920" s="28">
        <f>B920</f>
        <v>45166</v>
      </c>
      <c r="D920" s="8" t="s">
        <v>37</v>
      </c>
      <c r="E920" s="8" t="s">
        <v>994</v>
      </c>
      <c r="F920" s="5" t="s">
        <v>994</v>
      </c>
      <c r="G920" s="23" t="s">
        <v>924</v>
      </c>
      <c r="H920" s="102"/>
      <c r="I920" s="95">
        <v>0</v>
      </c>
      <c r="J920" s="95">
        <v>0</v>
      </c>
      <c r="K920" s="95">
        <v>0</v>
      </c>
      <c r="L920" s="95">
        <v>0</v>
      </c>
      <c r="M920" s="95">
        <v>0</v>
      </c>
      <c r="N920" s="95">
        <v>0</v>
      </c>
      <c r="O920" s="95">
        <v>0</v>
      </c>
      <c r="P920" s="95">
        <v>0</v>
      </c>
      <c r="Q920" s="95">
        <v>0</v>
      </c>
      <c r="R920" s="95">
        <v>0</v>
      </c>
      <c r="S920" s="95">
        <v>0</v>
      </c>
      <c r="T920" s="95">
        <v>0</v>
      </c>
      <c r="U920" s="95">
        <v>0</v>
      </c>
      <c r="V920" s="95">
        <v>0</v>
      </c>
      <c r="W920" s="95">
        <v>0</v>
      </c>
      <c r="X920" s="95">
        <v>0</v>
      </c>
      <c r="Y920" s="95">
        <v>0</v>
      </c>
      <c r="Z920" s="95"/>
      <c r="AA920" s="8" t="s">
        <v>2064</v>
      </c>
      <c r="AB920" s="41" t="s">
        <v>2065</v>
      </c>
      <c r="AC920" s="8"/>
      <c r="AD920" s="8"/>
      <c r="AE920" s="11"/>
      <c r="AF920" s="41" t="s">
        <v>2066</v>
      </c>
      <c r="AG920" t="str">
        <f>VLOOKUP(OfficeForms.Table[[#This Row],[Nama Proyek]],'Nama Proyek'!$D$2:$G$40,4,0)</f>
        <v>-3.25078511,134.87791156</v>
      </c>
      <c r="AH920" s="5"/>
      <c r="AI920" s="5"/>
      <c r="AJ920" s="5"/>
      <c r="AK920" s="5" t="s">
        <v>2067</v>
      </c>
    </row>
    <row r="921" spans="1:37" ht="15" hidden="1" customHeight="1">
      <c r="A921" s="30">
        <v>961</v>
      </c>
      <c r="B921" s="110">
        <v>45166</v>
      </c>
      <c r="C921" s="28">
        <f>B921</f>
        <v>45166</v>
      </c>
      <c r="D921" s="8" t="s">
        <v>37</v>
      </c>
      <c r="E921" s="8" t="s">
        <v>75</v>
      </c>
      <c r="F921" s="5" t="str">
        <f>E921</f>
        <v>Banyu Purwita</v>
      </c>
      <c r="G921" s="34" t="s">
        <v>76</v>
      </c>
      <c r="H921" s="102"/>
      <c r="I921" s="95">
        <v>0</v>
      </c>
      <c r="J921" s="95">
        <v>0</v>
      </c>
      <c r="K921" s="95">
        <v>0</v>
      </c>
      <c r="L921" s="95">
        <v>0</v>
      </c>
      <c r="M921" s="95">
        <v>0</v>
      </c>
      <c r="N921" s="95">
        <v>0</v>
      </c>
      <c r="O921" s="95">
        <v>0</v>
      </c>
      <c r="P921" s="95">
        <v>0</v>
      </c>
      <c r="Q921" s="95">
        <v>0</v>
      </c>
      <c r="R921" s="95">
        <v>0</v>
      </c>
      <c r="S921" s="95">
        <v>0</v>
      </c>
      <c r="T921" s="95">
        <v>0</v>
      </c>
      <c r="U921" s="95">
        <v>0</v>
      </c>
      <c r="V921" s="95">
        <v>0</v>
      </c>
      <c r="W921" s="95">
        <v>0</v>
      </c>
      <c r="X921" s="95">
        <v>0</v>
      </c>
      <c r="Y921" s="95">
        <v>0</v>
      </c>
      <c r="Z921" s="95"/>
      <c r="AA921" s="8"/>
      <c r="AB921" s="8"/>
      <c r="AC921" s="8"/>
      <c r="AD921" s="8"/>
      <c r="AE921" s="11" t="s">
        <v>2068</v>
      </c>
      <c r="AF921" s="9"/>
      <c r="AG921" t="str">
        <f>VLOOKUP(OfficeForms.Table[[#This Row],[Nama Proyek]],'Nama Proyek'!$D$2:$G$29,4,0)</f>
        <v>-2.95293103,104.75455094</v>
      </c>
      <c r="AH921" s="5"/>
      <c r="AI921" s="5"/>
      <c r="AJ921" s="5"/>
      <c r="AK921" s="5" t="s">
        <v>2069</v>
      </c>
    </row>
    <row r="922" spans="1:37" ht="15" hidden="1" customHeight="1">
      <c r="A922" s="50">
        <v>1038</v>
      </c>
      <c r="B922" s="111">
        <v>45166</v>
      </c>
      <c r="C922" s="29">
        <f>B922</f>
        <v>45166</v>
      </c>
      <c r="D922" s="9" t="s">
        <v>37</v>
      </c>
      <c r="E922" s="9" t="s">
        <v>75</v>
      </c>
      <c r="F922" s="5" t="str">
        <f>E922</f>
        <v>Banyu Purwita</v>
      </c>
      <c r="G922" s="54" t="s">
        <v>76</v>
      </c>
      <c r="H922" s="104"/>
      <c r="I922" s="94">
        <v>0</v>
      </c>
      <c r="J922" s="94">
        <v>0</v>
      </c>
      <c r="K922" s="94">
        <v>0</v>
      </c>
      <c r="L922" s="94">
        <v>0</v>
      </c>
      <c r="M922" s="94">
        <v>0</v>
      </c>
      <c r="N922" s="94">
        <v>0</v>
      </c>
      <c r="O922" s="94">
        <v>0</v>
      </c>
      <c r="P922" s="94">
        <v>0</v>
      </c>
      <c r="Q922" s="94">
        <v>0</v>
      </c>
      <c r="R922" s="94">
        <v>0</v>
      </c>
      <c r="S922" s="94">
        <v>0</v>
      </c>
      <c r="T922" s="94">
        <v>0</v>
      </c>
      <c r="U922" s="94">
        <v>0</v>
      </c>
      <c r="V922" s="94">
        <v>0</v>
      </c>
      <c r="W922" s="94">
        <v>0</v>
      </c>
      <c r="X922" s="94">
        <v>0</v>
      </c>
      <c r="Y922" s="94">
        <v>0</v>
      </c>
      <c r="Z922" s="94"/>
      <c r="AA922" s="9" t="s">
        <v>2070</v>
      </c>
      <c r="AB922" s="9" t="s">
        <v>2071</v>
      </c>
      <c r="AC922" s="9" t="s">
        <v>2072</v>
      </c>
      <c r="AD922" s="9" t="s">
        <v>2072</v>
      </c>
      <c r="AE922" s="12"/>
      <c r="AF922" s="8"/>
      <c r="AG922" t="str">
        <f>VLOOKUP(OfficeForms.Table[[#This Row],[Nama Proyek]],'Nama Proyek'!$D$2:$G$29,4,0)</f>
        <v>-2.95293103,104.75455094</v>
      </c>
      <c r="AH922" s="5"/>
      <c r="AI922" s="5"/>
      <c r="AJ922" s="5"/>
      <c r="AK922" s="5" t="s">
        <v>2073</v>
      </c>
    </row>
    <row r="923" spans="1:37" ht="15" hidden="1" customHeight="1">
      <c r="A923" s="50">
        <v>969</v>
      </c>
      <c r="B923" s="110">
        <v>45167</v>
      </c>
      <c r="C923" s="28">
        <f>B923</f>
        <v>45167</v>
      </c>
      <c r="D923" s="19" t="s">
        <v>37</v>
      </c>
      <c r="E923" s="19" t="s">
        <v>64</v>
      </c>
      <c r="F923" s="5" t="str">
        <f>E923</f>
        <v>Nizar Zulkarnain</v>
      </c>
      <c r="G923" s="19" t="s">
        <v>65</v>
      </c>
      <c r="H923" s="106">
        <v>45165</v>
      </c>
      <c r="I923" s="96">
        <v>80.584999999999994</v>
      </c>
      <c r="J923" s="96">
        <v>89.438999999999993</v>
      </c>
      <c r="K923" s="96">
        <v>72.58</v>
      </c>
      <c r="L923" s="96">
        <v>66.83</v>
      </c>
      <c r="M923" s="96">
        <v>85.98</v>
      </c>
      <c r="N923" s="96">
        <v>92.36</v>
      </c>
      <c r="O923" s="96">
        <v>74.239999999999995</v>
      </c>
      <c r="P923" s="96">
        <v>73.92</v>
      </c>
      <c r="Q923" s="96">
        <v>75.010000000000005</v>
      </c>
      <c r="R923" s="96">
        <v>63.86</v>
      </c>
      <c r="S923" s="96">
        <v>89.69</v>
      </c>
      <c r="T923" s="96">
        <v>90.21</v>
      </c>
      <c r="U923" s="96">
        <v>48.48</v>
      </c>
      <c r="V923" s="96">
        <v>22.61</v>
      </c>
      <c r="W923" s="96">
        <v>0</v>
      </c>
      <c r="X923" s="96">
        <v>98.36</v>
      </c>
      <c r="Y923" s="96">
        <v>41.48</v>
      </c>
      <c r="Z923" s="96"/>
      <c r="AA923" s="19"/>
      <c r="AB923" s="19"/>
      <c r="AC923" s="19"/>
      <c r="AD923" s="19"/>
      <c r="AE923" s="13"/>
      <c r="AF923" s="17"/>
      <c r="AG923" t="str">
        <f>VLOOKUP(OfficeForms.Table[[#This Row],[Nama Proyek]],'Nama Proyek'!$D$2:$G$29,4,0)</f>
        <v>-6.35008011,107.02324233</v>
      </c>
      <c r="AH923" s="5"/>
      <c r="AI923" s="5"/>
      <c r="AJ923" s="5"/>
      <c r="AK923" s="5" t="s">
        <v>2074</v>
      </c>
    </row>
    <row r="924" spans="1:37" ht="15" hidden="1" customHeight="1">
      <c r="A924" s="30">
        <v>526</v>
      </c>
      <c r="B924" s="111">
        <v>45167</v>
      </c>
      <c r="C924" s="29">
        <f>B924</f>
        <v>45167</v>
      </c>
      <c r="D924" s="8" t="s">
        <v>37</v>
      </c>
      <c r="E924" s="8" t="s">
        <v>64</v>
      </c>
      <c r="F924" s="5" t="str">
        <f>E924</f>
        <v>Nizar Zulkarnain</v>
      </c>
      <c r="G924" s="9" t="s">
        <v>65</v>
      </c>
      <c r="H924" s="105"/>
      <c r="I924" s="95">
        <v>0</v>
      </c>
      <c r="J924" s="95">
        <v>0</v>
      </c>
      <c r="K924" s="95">
        <v>0</v>
      </c>
      <c r="L924" s="95">
        <v>0</v>
      </c>
      <c r="M924" s="95">
        <v>0</v>
      </c>
      <c r="N924" s="95">
        <v>0</v>
      </c>
      <c r="O924" s="95">
        <v>0</v>
      </c>
      <c r="P924" s="95">
        <v>0</v>
      </c>
      <c r="Q924" s="95">
        <v>0</v>
      </c>
      <c r="R924" s="95">
        <v>0</v>
      </c>
      <c r="S924" s="95">
        <v>0</v>
      </c>
      <c r="T924" s="95">
        <v>0</v>
      </c>
      <c r="U924" s="95">
        <v>0</v>
      </c>
      <c r="V924" s="95">
        <v>0</v>
      </c>
      <c r="W924" s="95">
        <v>0</v>
      </c>
      <c r="X924" s="95">
        <v>0</v>
      </c>
      <c r="Y924" s="95">
        <v>0</v>
      </c>
      <c r="Z924" s="95"/>
      <c r="AA924" s="8"/>
      <c r="AB924" s="8"/>
      <c r="AC924" s="8"/>
      <c r="AD924" s="8"/>
      <c r="AE924" s="16">
        <v>44934</v>
      </c>
      <c r="AF924" s="19"/>
      <c r="AG924" t="str">
        <f>VLOOKUP(OfficeForms.Table[[#This Row],[Nama Proyek]],'Nama Proyek'!$D$2:$G$29,4,0)</f>
        <v>-6.35008011,107.02324233</v>
      </c>
      <c r="AH924" s="5"/>
      <c r="AI924" s="5"/>
      <c r="AJ924" s="5"/>
      <c r="AK924" s="5" t="s">
        <v>2075</v>
      </c>
    </row>
    <row r="925" spans="1:37" ht="15" hidden="1" customHeight="1">
      <c r="A925" s="30">
        <v>296</v>
      </c>
      <c r="B925" s="111">
        <v>45168</v>
      </c>
      <c r="C925" s="29">
        <f>B925</f>
        <v>45168</v>
      </c>
      <c r="D925" s="8" t="s">
        <v>37</v>
      </c>
      <c r="E925" s="8" t="s">
        <v>54</v>
      </c>
      <c r="F925" s="5" t="str">
        <f>E925</f>
        <v>Haryo Widiandoko</v>
      </c>
      <c r="G925" s="9" t="s">
        <v>55</v>
      </c>
      <c r="H925" s="105">
        <v>45163</v>
      </c>
      <c r="I925" s="95">
        <v>87.65</v>
      </c>
      <c r="J925" s="95">
        <v>90.06</v>
      </c>
      <c r="K925" s="95">
        <v>0.13800000000000001</v>
      </c>
      <c r="L925" s="95">
        <v>0.252</v>
      </c>
      <c r="M925" s="95">
        <v>29.247</v>
      </c>
      <c r="N925" s="95">
        <v>2.1709999999999998</v>
      </c>
      <c r="O925" s="95">
        <v>2.7120000000000002</v>
      </c>
      <c r="P925" s="95">
        <v>5.2999999999999999E-2</v>
      </c>
      <c r="Q925" s="95">
        <v>0.68799999999999994</v>
      </c>
      <c r="R925" s="95">
        <v>11.021000000000001</v>
      </c>
      <c r="S925" s="95">
        <v>32.304000000000002</v>
      </c>
      <c r="T925" s="95">
        <v>0.82499999999999996</v>
      </c>
      <c r="U925" s="95">
        <v>1.966</v>
      </c>
      <c r="V925" s="95">
        <v>0.19500000000000001</v>
      </c>
      <c r="W925" s="95">
        <v>0.313</v>
      </c>
      <c r="X925" s="95">
        <v>0.84699999999999998</v>
      </c>
      <c r="Y925" s="95">
        <v>0</v>
      </c>
      <c r="Z925" s="95"/>
      <c r="AA925" s="8"/>
      <c r="AB925" s="15"/>
      <c r="AC925" s="15"/>
      <c r="AD925" s="15"/>
      <c r="AE925" s="11"/>
      <c r="AF925" s="8"/>
      <c r="AG925" t="str">
        <f>VLOOKUP(OfficeForms.Table[[#This Row],[Nama Proyek]],'Nama Proyek'!$D$2:$G$29,4,0)</f>
        <v>-6.42873464,107.19897003</v>
      </c>
      <c r="AH925" s="5"/>
      <c r="AI925" s="5"/>
      <c r="AJ925" s="5"/>
      <c r="AK925" s="5" t="s">
        <v>2076</v>
      </c>
    </row>
    <row r="926" spans="1:37" ht="15" hidden="1" customHeight="1">
      <c r="A926" s="31">
        <v>949</v>
      </c>
      <c r="B926" s="110">
        <v>45168</v>
      </c>
      <c r="C926" s="28">
        <f>B926</f>
        <v>45168</v>
      </c>
      <c r="D926" s="8" t="s">
        <v>37</v>
      </c>
      <c r="E926" s="8" t="s">
        <v>734</v>
      </c>
      <c r="F926" s="5" t="str">
        <f>E926</f>
        <v>Aldian Winata</v>
      </c>
      <c r="G926" s="15" t="s">
        <v>735</v>
      </c>
      <c r="H926" s="105">
        <v>45169</v>
      </c>
      <c r="I926" s="95">
        <v>42.962000000000003</v>
      </c>
      <c r="J926" s="95">
        <v>56.722000000000001</v>
      </c>
      <c r="K926" s="95">
        <v>2.2189999999999999</v>
      </c>
      <c r="L926" s="95">
        <v>3.8940000000000001</v>
      </c>
      <c r="M926" s="95">
        <v>0</v>
      </c>
      <c r="N926" s="95">
        <v>4.1000000000000002E-2</v>
      </c>
      <c r="O926" s="95">
        <v>1.1040000000000001</v>
      </c>
      <c r="P926" s="95">
        <v>2.7E-2</v>
      </c>
      <c r="Q926" s="95">
        <v>0</v>
      </c>
      <c r="R926" s="95">
        <v>0</v>
      </c>
      <c r="S926" s="95">
        <v>0</v>
      </c>
      <c r="T926" s="95">
        <v>0</v>
      </c>
      <c r="U926" s="95">
        <v>0</v>
      </c>
      <c r="V926" s="95">
        <v>0</v>
      </c>
      <c r="W926" s="95">
        <v>0</v>
      </c>
      <c r="X926" s="95">
        <v>0</v>
      </c>
      <c r="Y926" s="95">
        <v>0</v>
      </c>
      <c r="Z926" s="95"/>
      <c r="AA926" s="8"/>
      <c r="AB926" s="8"/>
      <c r="AC926" s="8"/>
      <c r="AD926" s="8"/>
      <c r="AE926" s="11"/>
      <c r="AF926" s="9"/>
      <c r="AG926" t="str">
        <f>VLOOKUP(OfficeForms.Table[[#This Row],[Nama Proyek]],'Nama Proyek'!$D$2:$G$40,4,0)</f>
        <v>-0.88562397,119.85928375</v>
      </c>
      <c r="AH926" s="5"/>
      <c r="AI926" s="5"/>
      <c r="AJ926" s="5"/>
      <c r="AK926" s="5" t="s">
        <v>2077</v>
      </c>
    </row>
    <row r="927" spans="1:37" ht="15" hidden="1" customHeight="1">
      <c r="A927">
        <v>950</v>
      </c>
      <c r="B927" s="111">
        <v>45168</v>
      </c>
      <c r="C927" s="29">
        <f>B927</f>
        <v>45168</v>
      </c>
      <c r="D927" s="9" t="s">
        <v>37</v>
      </c>
      <c r="E927" s="9" t="s">
        <v>734</v>
      </c>
      <c r="F927" s="5" t="str">
        <f>E927</f>
        <v>Aldian Winata</v>
      </c>
      <c r="G927" s="17" t="s">
        <v>735</v>
      </c>
      <c r="H927" s="104"/>
      <c r="I927" s="94">
        <v>0</v>
      </c>
      <c r="J927" s="94">
        <v>0</v>
      </c>
      <c r="K927" s="94">
        <v>0</v>
      </c>
      <c r="L927" s="94">
        <v>0</v>
      </c>
      <c r="M927" s="94">
        <v>0</v>
      </c>
      <c r="N927" s="94">
        <v>0</v>
      </c>
      <c r="O927" s="94">
        <v>0</v>
      </c>
      <c r="P927" s="94">
        <v>0</v>
      </c>
      <c r="Q927" s="94">
        <v>0</v>
      </c>
      <c r="R927" s="94">
        <v>0</v>
      </c>
      <c r="S927" s="94">
        <v>0</v>
      </c>
      <c r="T927" s="94">
        <v>0</v>
      </c>
      <c r="U927" s="94">
        <v>0</v>
      </c>
      <c r="V927" s="94">
        <v>0</v>
      </c>
      <c r="W927" s="94">
        <v>0</v>
      </c>
      <c r="X927" s="94">
        <v>0</v>
      </c>
      <c r="Y927" s="94">
        <v>0</v>
      </c>
      <c r="Z927" s="94"/>
      <c r="AA927" s="9" t="s">
        <v>2078</v>
      </c>
      <c r="AB927" s="9" t="s">
        <v>2079</v>
      </c>
      <c r="AC927" s="9"/>
      <c r="AD927" s="9"/>
      <c r="AE927" s="12"/>
      <c r="AF927" s="8" t="s">
        <v>2080</v>
      </c>
      <c r="AG927" t="str">
        <f>VLOOKUP(OfficeForms.Table[[#This Row],[Nama Proyek]],'Nama Proyek'!$D$2:$G$40,4,0)</f>
        <v>-0.88562397,119.85928375</v>
      </c>
      <c r="AH927" s="5"/>
      <c r="AI927" s="5"/>
      <c r="AJ927" s="5"/>
      <c r="AK927" s="5" t="s">
        <v>2081</v>
      </c>
    </row>
    <row r="928" spans="1:37" ht="15" hidden="1" customHeight="1">
      <c r="A928" s="50">
        <v>951</v>
      </c>
      <c r="B928" s="110">
        <v>45168</v>
      </c>
      <c r="C928" s="28">
        <f>B928</f>
        <v>45168</v>
      </c>
      <c r="D928" s="8" t="s">
        <v>37</v>
      </c>
      <c r="E928" s="8" t="s">
        <v>734</v>
      </c>
      <c r="F928" s="5" t="str">
        <f>E928</f>
        <v>Aldian Winata</v>
      </c>
      <c r="G928" s="8" t="s">
        <v>735</v>
      </c>
      <c r="H928" s="105"/>
      <c r="I928" s="95">
        <v>0</v>
      </c>
      <c r="J928" s="95">
        <v>0</v>
      </c>
      <c r="K928" s="95">
        <v>0</v>
      </c>
      <c r="L928" s="95">
        <v>0</v>
      </c>
      <c r="M928" s="95">
        <v>0</v>
      </c>
      <c r="N928" s="95">
        <v>0</v>
      </c>
      <c r="O928" s="95">
        <v>0</v>
      </c>
      <c r="P928" s="95">
        <v>0</v>
      </c>
      <c r="Q928" s="95">
        <v>0</v>
      </c>
      <c r="R928" s="95">
        <v>0</v>
      </c>
      <c r="S928" s="95">
        <v>0</v>
      </c>
      <c r="T928" s="95">
        <v>0</v>
      </c>
      <c r="U928" s="95">
        <v>0</v>
      </c>
      <c r="V928" s="95">
        <v>0</v>
      </c>
      <c r="W928" s="95">
        <v>0</v>
      </c>
      <c r="X928" s="95">
        <v>0</v>
      </c>
      <c r="Y928" s="95">
        <v>0</v>
      </c>
      <c r="Z928" s="95"/>
      <c r="AA928" s="8"/>
      <c r="AB928" s="8"/>
      <c r="AC928" s="8"/>
      <c r="AD928" s="8"/>
      <c r="AE928" s="11" t="s">
        <v>2082</v>
      </c>
      <c r="AF928" s="9"/>
      <c r="AG928" t="str">
        <f>VLOOKUP(OfficeForms.Table[[#This Row],[Nama Proyek]],'Nama Proyek'!$D$2:$G$40,4,0)</f>
        <v>-0.88562397,119.85928375</v>
      </c>
      <c r="AH928" s="5"/>
      <c r="AI928" s="5"/>
      <c r="AJ928" s="5"/>
      <c r="AK928" s="5" t="s">
        <v>2083</v>
      </c>
    </row>
    <row r="929" spans="1:37" ht="15" hidden="1" customHeight="1">
      <c r="A929" s="31">
        <v>988</v>
      </c>
      <c r="B929" s="111">
        <v>45168</v>
      </c>
      <c r="C929" s="29">
        <f>B929</f>
        <v>45168</v>
      </c>
      <c r="D929" s="9" t="s">
        <v>37</v>
      </c>
      <c r="E929" s="9" t="s">
        <v>54</v>
      </c>
      <c r="F929" s="5" t="str">
        <f>E929</f>
        <v>Haryo Widiandoko</v>
      </c>
      <c r="G929" s="17" t="s">
        <v>55</v>
      </c>
      <c r="H929" s="104"/>
      <c r="I929" s="94">
        <v>0</v>
      </c>
      <c r="J929" s="94">
        <v>0</v>
      </c>
      <c r="K929" s="94">
        <v>0</v>
      </c>
      <c r="L929" s="94">
        <v>0</v>
      </c>
      <c r="M929" s="94">
        <v>0</v>
      </c>
      <c r="N929" s="94">
        <v>0</v>
      </c>
      <c r="O929" s="94">
        <v>0</v>
      </c>
      <c r="P929" s="94">
        <v>0</v>
      </c>
      <c r="Q929" s="94">
        <v>0</v>
      </c>
      <c r="R929" s="94">
        <v>0</v>
      </c>
      <c r="S929" s="94">
        <v>0</v>
      </c>
      <c r="T929" s="94">
        <v>0</v>
      </c>
      <c r="U929" s="94">
        <v>0</v>
      </c>
      <c r="V929" s="94">
        <v>0</v>
      </c>
      <c r="W929" s="94">
        <v>0</v>
      </c>
      <c r="X929" s="94">
        <v>0</v>
      </c>
      <c r="Y929" s="94">
        <v>0</v>
      </c>
      <c r="Z929" s="94"/>
      <c r="AA929" s="9" t="s">
        <v>2084</v>
      </c>
      <c r="AB929" s="9" t="s">
        <v>2084</v>
      </c>
      <c r="AC929" s="9"/>
      <c r="AD929" s="9"/>
      <c r="AE929" s="12"/>
      <c r="AF929" s="8"/>
      <c r="AG929" t="str">
        <f>VLOOKUP(OfficeForms.Table[[#This Row],[Nama Proyek]],'Nama Proyek'!$D$2:$G$29,4,0)</f>
        <v>-6.42873464,107.19897003</v>
      </c>
      <c r="AH929" s="5"/>
      <c r="AI929" s="5"/>
      <c r="AJ929" s="5"/>
      <c r="AK929" s="5" t="s">
        <v>2085</v>
      </c>
    </row>
    <row r="930" spans="1:37" ht="15" hidden="1" customHeight="1">
      <c r="A930" s="30">
        <v>953</v>
      </c>
      <c r="B930" s="110">
        <v>45169</v>
      </c>
      <c r="C930" s="28">
        <f>B930</f>
        <v>45169</v>
      </c>
      <c r="D930" s="8" t="s">
        <v>37</v>
      </c>
      <c r="E930" s="8" t="s">
        <v>687</v>
      </c>
      <c r="F930" s="5" t="str">
        <f>E930</f>
        <v>Andri Julio Hermawan</v>
      </c>
      <c r="G930" s="23" t="s">
        <v>750</v>
      </c>
      <c r="H930" s="102">
        <v>45169</v>
      </c>
      <c r="I930" s="95">
        <v>45.411999999999999</v>
      </c>
      <c r="J930" s="95">
        <v>45.209000000000003</v>
      </c>
      <c r="K930" s="95">
        <v>0</v>
      </c>
      <c r="L930" s="95">
        <v>0</v>
      </c>
      <c r="M930" s="95">
        <v>17.765000000000001</v>
      </c>
      <c r="N930" s="95">
        <v>0</v>
      </c>
      <c r="O930" s="95">
        <v>0.31</v>
      </c>
      <c r="P930" s="95">
        <v>0</v>
      </c>
      <c r="Q930" s="95">
        <v>0</v>
      </c>
      <c r="R930" s="95">
        <v>0</v>
      </c>
      <c r="S930" s="95">
        <v>26.262</v>
      </c>
      <c r="T930" s="95">
        <v>0</v>
      </c>
      <c r="U930" s="95">
        <v>0</v>
      </c>
      <c r="V930" s="95">
        <v>0</v>
      </c>
      <c r="W930" s="95">
        <v>0</v>
      </c>
      <c r="X930" s="95">
        <v>0</v>
      </c>
      <c r="Y930" s="95">
        <v>0</v>
      </c>
      <c r="Z930" s="95"/>
      <c r="AA930" s="8"/>
      <c r="AB930" s="8"/>
      <c r="AC930" s="8"/>
      <c r="AD930" s="8"/>
      <c r="AE930" s="11"/>
      <c r="AF930" s="9" t="s">
        <v>2086</v>
      </c>
      <c r="AG930" t="str">
        <f>VLOOKUP(OfficeForms.Table[[#This Row],[Nama Proyek]],'Nama Proyek'!$D$2:$G$29,4,0)</f>
        <v>-1.10415341,116.73424356</v>
      </c>
      <c r="AH930" s="5"/>
      <c r="AI930" s="5"/>
      <c r="AJ930" s="5"/>
      <c r="AK930" s="5" t="s">
        <v>2087</v>
      </c>
    </row>
    <row r="931" spans="1:37" ht="15" hidden="1" customHeight="1">
      <c r="A931" s="31">
        <v>952</v>
      </c>
      <c r="B931" s="111">
        <v>45169</v>
      </c>
      <c r="C931" s="29">
        <f>B931</f>
        <v>45169</v>
      </c>
      <c r="D931" s="9" t="s">
        <v>37</v>
      </c>
      <c r="E931" s="9" t="s">
        <v>2088</v>
      </c>
      <c r="F931" s="5" t="str">
        <f>E931</f>
        <v>Aldian WInata</v>
      </c>
      <c r="G931" s="17" t="s">
        <v>735</v>
      </c>
      <c r="H931" s="103"/>
      <c r="I931" s="94">
        <v>0</v>
      </c>
      <c r="J931" s="94">
        <v>0</v>
      </c>
      <c r="K931" s="94">
        <v>0</v>
      </c>
      <c r="L931" s="94">
        <v>0</v>
      </c>
      <c r="M931" s="94">
        <v>0</v>
      </c>
      <c r="N931" s="94">
        <v>0</v>
      </c>
      <c r="O931" s="94">
        <v>0</v>
      </c>
      <c r="P931" s="94">
        <v>0</v>
      </c>
      <c r="Q931" s="94">
        <v>0</v>
      </c>
      <c r="R931" s="94">
        <v>0</v>
      </c>
      <c r="S931" s="94">
        <v>0</v>
      </c>
      <c r="T931" s="94">
        <v>0</v>
      </c>
      <c r="U931" s="94">
        <v>0</v>
      </c>
      <c r="V931" s="94">
        <v>0</v>
      </c>
      <c r="W931" s="94">
        <v>0</v>
      </c>
      <c r="X931" s="94">
        <v>0</v>
      </c>
      <c r="Y931" s="94">
        <v>0</v>
      </c>
      <c r="Z931" s="94"/>
      <c r="AA931" s="9" t="s">
        <v>2078</v>
      </c>
      <c r="AB931" s="9" t="s">
        <v>2079</v>
      </c>
      <c r="AC931" s="9" t="s">
        <v>2089</v>
      </c>
      <c r="AD931" s="9" t="s">
        <v>2090</v>
      </c>
      <c r="AE931" s="12"/>
      <c r="AF931" s="15"/>
      <c r="AG931" t="str">
        <f>VLOOKUP(OfficeForms.Table[[#This Row],[Nama Proyek]],'Nama Proyek'!$D$2:$G$40,4,0)</f>
        <v>-0.88562397,119.85928375</v>
      </c>
      <c r="AH931" s="5"/>
      <c r="AI931" s="5"/>
      <c r="AJ931" s="5"/>
      <c r="AK931" s="5" t="s">
        <v>2091</v>
      </c>
    </row>
    <row r="932" spans="1:37" ht="15" hidden="1" customHeight="1">
      <c r="A932">
        <v>954</v>
      </c>
      <c r="B932" s="111">
        <v>45169</v>
      </c>
      <c r="C932" s="29">
        <f>B932</f>
        <v>45169</v>
      </c>
      <c r="D932" s="9" t="s">
        <v>37</v>
      </c>
      <c r="E932" s="9" t="s">
        <v>687</v>
      </c>
      <c r="F932" s="5" t="str">
        <f>E932</f>
        <v>Andri Julio Hermawan</v>
      </c>
      <c r="G932" s="32" t="s">
        <v>750</v>
      </c>
      <c r="H932" s="103"/>
      <c r="I932" s="94">
        <v>0</v>
      </c>
      <c r="J932" s="94">
        <v>0</v>
      </c>
      <c r="K932" s="94">
        <v>0</v>
      </c>
      <c r="L932" s="94">
        <v>0</v>
      </c>
      <c r="M932" s="94">
        <v>0</v>
      </c>
      <c r="N932" s="94">
        <v>0</v>
      </c>
      <c r="O932" s="94">
        <v>0</v>
      </c>
      <c r="P932" s="94">
        <v>0</v>
      </c>
      <c r="Q932" s="94">
        <v>0</v>
      </c>
      <c r="R932" s="94">
        <v>0</v>
      </c>
      <c r="S932" s="94">
        <v>0</v>
      </c>
      <c r="T932" s="94">
        <v>0</v>
      </c>
      <c r="U932" s="94">
        <v>0</v>
      </c>
      <c r="V932" s="94">
        <v>0</v>
      </c>
      <c r="W932" s="94">
        <v>0</v>
      </c>
      <c r="X932" s="94">
        <v>0</v>
      </c>
      <c r="Y932" s="94">
        <v>0</v>
      </c>
      <c r="Z932" s="94"/>
      <c r="AA932" s="9"/>
      <c r="AB932" s="9"/>
      <c r="AC932" s="17"/>
      <c r="AD932" s="17"/>
      <c r="AE932" s="18" t="s">
        <v>2092</v>
      </c>
      <c r="AF932" s="8"/>
      <c r="AG932" t="str">
        <f>VLOOKUP(OfficeForms.Table[[#This Row],[Nama Proyek]],'Nama Proyek'!$D$2:$G$29,4,0)</f>
        <v>-1.10415341,116.73424356</v>
      </c>
      <c r="AH932" s="5"/>
      <c r="AI932" s="5"/>
      <c r="AJ932" s="5"/>
      <c r="AK932" s="5" t="s">
        <v>2093</v>
      </c>
    </row>
    <row r="933" spans="1:37" ht="15" hidden="1" customHeight="1">
      <c r="A933">
        <v>955</v>
      </c>
      <c r="B933" s="110">
        <v>45169</v>
      </c>
      <c r="C933" s="28">
        <f>B933</f>
        <v>45169</v>
      </c>
      <c r="D933" s="8" t="s">
        <v>37</v>
      </c>
      <c r="E933" s="8" t="s">
        <v>687</v>
      </c>
      <c r="F933" s="5" t="str">
        <f>E933</f>
        <v>Andri Julio Hermawan</v>
      </c>
      <c r="G933" s="23" t="s">
        <v>750</v>
      </c>
      <c r="H933" s="105"/>
      <c r="I933" s="95">
        <v>0</v>
      </c>
      <c r="J933" s="95">
        <v>0</v>
      </c>
      <c r="K933" s="95">
        <v>0</v>
      </c>
      <c r="L933" s="95">
        <v>0</v>
      </c>
      <c r="M933" s="95">
        <v>0</v>
      </c>
      <c r="N933" s="95">
        <v>0</v>
      </c>
      <c r="O933" s="95">
        <v>0</v>
      </c>
      <c r="P933" s="95">
        <v>0</v>
      </c>
      <c r="Q933" s="95">
        <v>0</v>
      </c>
      <c r="R933" s="95">
        <v>0</v>
      </c>
      <c r="S933" s="95">
        <v>0</v>
      </c>
      <c r="T933" s="95">
        <v>0</v>
      </c>
      <c r="U933" s="95">
        <v>0</v>
      </c>
      <c r="V933" s="95">
        <v>0</v>
      </c>
      <c r="W933" s="95">
        <v>0</v>
      </c>
      <c r="X933" s="95">
        <v>0</v>
      </c>
      <c r="Y933" s="95">
        <v>0</v>
      </c>
      <c r="Z933" s="95"/>
      <c r="AA933" s="8" t="s">
        <v>2094</v>
      </c>
      <c r="AB933" s="8" t="s">
        <v>2095</v>
      </c>
      <c r="AC933" s="8" t="s">
        <v>2096</v>
      </c>
      <c r="AD933" s="8" t="s">
        <v>2096</v>
      </c>
      <c r="AE933" s="11"/>
      <c r="AF933" s="8"/>
      <c r="AG933" t="str">
        <f>VLOOKUP(OfficeForms.Table[[#This Row],[Nama Proyek]],'Nama Proyek'!$D$2:$G$29,4,0)</f>
        <v>-1.10415341,116.73424356</v>
      </c>
      <c r="AH933" s="5"/>
      <c r="AI933" s="5"/>
      <c r="AJ933" s="5"/>
      <c r="AK933" s="5" t="s">
        <v>2097</v>
      </c>
    </row>
    <row r="934" spans="1:37" ht="15" hidden="1" customHeight="1">
      <c r="A934" s="30">
        <v>616</v>
      </c>
      <c r="B934" s="111">
        <v>45171</v>
      </c>
      <c r="C934" s="29">
        <f>B934</f>
        <v>45171</v>
      </c>
      <c r="D934" s="9" t="s">
        <v>37</v>
      </c>
      <c r="E934" s="9" t="s">
        <v>79</v>
      </c>
      <c r="F934" s="5" t="str">
        <f>E934</f>
        <v>Fajar Sodiq Febriansyah</v>
      </c>
      <c r="G934" s="36" t="s">
        <v>80</v>
      </c>
      <c r="H934" s="103"/>
      <c r="I934" s="94">
        <v>0</v>
      </c>
      <c r="J934" s="94">
        <v>0</v>
      </c>
      <c r="K934" s="94">
        <v>0</v>
      </c>
      <c r="L934" s="94">
        <v>0</v>
      </c>
      <c r="M934" s="94">
        <v>0</v>
      </c>
      <c r="N934" s="94">
        <v>0</v>
      </c>
      <c r="O934" s="94">
        <v>0</v>
      </c>
      <c r="P934" s="94">
        <v>0</v>
      </c>
      <c r="Q934" s="94">
        <v>0</v>
      </c>
      <c r="R934" s="94">
        <v>0</v>
      </c>
      <c r="S934" s="94">
        <v>0</v>
      </c>
      <c r="T934" s="94">
        <v>0</v>
      </c>
      <c r="U934" s="94">
        <v>0</v>
      </c>
      <c r="V934" s="94">
        <v>0</v>
      </c>
      <c r="W934" s="94">
        <v>0</v>
      </c>
      <c r="X934" s="94">
        <v>0</v>
      </c>
      <c r="Y934" s="94">
        <v>0</v>
      </c>
      <c r="Z934" s="94"/>
      <c r="AA934" s="9" t="s">
        <v>261</v>
      </c>
      <c r="AB934" s="9" t="s">
        <v>421</v>
      </c>
      <c r="AC934" s="9" t="s">
        <v>2098</v>
      </c>
      <c r="AD934" s="9" t="s">
        <v>2098</v>
      </c>
      <c r="AE934" s="12"/>
      <c r="AF934" s="42"/>
      <c r="AG934" t="str">
        <f>VLOOKUP(OfficeForms.Table[[#This Row],[Nama Proyek]],'Nama Proyek'!$D$2:$G$29,4,0)</f>
        <v>-7.82225167,113.29968319</v>
      </c>
      <c r="AH934" s="5"/>
      <c r="AI934" s="5"/>
      <c r="AJ934" s="5"/>
      <c r="AK934" s="5" t="s">
        <v>2099</v>
      </c>
    </row>
    <row r="935" spans="1:37" ht="15" hidden="1" customHeight="1">
      <c r="A935" s="50">
        <v>933</v>
      </c>
      <c r="B935" s="110">
        <v>45172</v>
      </c>
      <c r="C935" s="28">
        <f>B935</f>
        <v>45172</v>
      </c>
      <c r="D935" s="8" t="s">
        <v>37</v>
      </c>
      <c r="E935" s="8" t="s">
        <v>109</v>
      </c>
      <c r="F935" s="5" t="str">
        <f>E935</f>
        <v>Muhamad Saifudin Ashari</v>
      </c>
      <c r="G935" s="42" t="s">
        <v>39</v>
      </c>
      <c r="H935" s="102">
        <v>44990</v>
      </c>
      <c r="I935" s="95">
        <v>93.221000000000004</v>
      </c>
      <c r="J935" s="95">
        <v>100</v>
      </c>
      <c r="K935" s="95">
        <v>98.978999999999999</v>
      </c>
      <c r="L935" s="95">
        <v>87.861999999999995</v>
      </c>
      <c r="M935" s="95">
        <v>97.728999999999999</v>
      </c>
      <c r="N935" s="95">
        <v>99.04</v>
      </c>
      <c r="O935" s="95">
        <v>76.218999999999994</v>
      </c>
      <c r="P935" s="95">
        <v>90.665000000000006</v>
      </c>
      <c r="Q935" s="95">
        <v>93.165000000000006</v>
      </c>
      <c r="R935" s="95">
        <v>90.311000000000007</v>
      </c>
      <c r="S935" s="95">
        <v>98.501000000000005</v>
      </c>
      <c r="T935" s="95">
        <v>97.052000000000007</v>
      </c>
      <c r="U935" s="95">
        <v>72.504000000000005</v>
      </c>
      <c r="V935" s="95">
        <v>28.545999999999999</v>
      </c>
      <c r="W935" s="95">
        <v>7.3220000000000001</v>
      </c>
      <c r="X935" s="95">
        <v>31.001000000000001</v>
      </c>
      <c r="Y935" s="95">
        <v>7.2249999999999996</v>
      </c>
      <c r="Z935" s="95"/>
      <c r="AA935" s="8"/>
      <c r="AB935" s="8"/>
      <c r="AC935" s="8"/>
      <c r="AD935" s="8"/>
      <c r="AE935" s="16"/>
      <c r="AF935" s="9"/>
      <c r="AG935" t="str">
        <f>VLOOKUP(OfficeForms.Table[[#This Row],[Nama Proyek]],'Nama Proyek'!$D$2:$G$29,4,0)</f>
        <v>-6.80675464,106.785366</v>
      </c>
      <c r="AH935" s="5"/>
      <c r="AI935" s="5"/>
      <c r="AJ935" s="5"/>
      <c r="AK935" s="5" t="s">
        <v>2100</v>
      </c>
    </row>
    <row r="936" spans="1:37" ht="15" hidden="1" customHeight="1">
      <c r="A936" s="50">
        <v>314</v>
      </c>
      <c r="B936" s="111">
        <v>45172</v>
      </c>
      <c r="C936" s="29">
        <f>B936</f>
        <v>45172</v>
      </c>
      <c r="D936" s="9" t="s">
        <v>37</v>
      </c>
      <c r="E936" s="9" t="s">
        <v>75</v>
      </c>
      <c r="F936" s="5" t="str">
        <f>E936</f>
        <v>Banyu Purwita</v>
      </c>
      <c r="G936" s="54" t="s">
        <v>76</v>
      </c>
      <c r="H936" s="104">
        <v>44994</v>
      </c>
      <c r="I936" s="94">
        <v>42.366999999999997</v>
      </c>
      <c r="J936" s="94">
        <v>43.143000000000001</v>
      </c>
      <c r="K936" s="94">
        <v>0</v>
      </c>
      <c r="L936" s="94">
        <v>0</v>
      </c>
      <c r="M936" s="94">
        <v>1.2</v>
      </c>
      <c r="N936" s="94">
        <v>0</v>
      </c>
      <c r="O936" s="94">
        <v>11.962</v>
      </c>
      <c r="P936" s="94">
        <v>0</v>
      </c>
      <c r="Q936" s="94">
        <v>1.855</v>
      </c>
      <c r="R936" s="94">
        <v>0</v>
      </c>
      <c r="S936" s="94">
        <v>25.530999999999999</v>
      </c>
      <c r="T936" s="94">
        <v>0</v>
      </c>
      <c r="U936" s="94">
        <v>6.3E-2</v>
      </c>
      <c r="V936" s="94">
        <v>0</v>
      </c>
      <c r="W936" s="94">
        <v>0</v>
      </c>
      <c r="X936" s="94">
        <v>0</v>
      </c>
      <c r="Y936" s="94">
        <v>0</v>
      </c>
      <c r="Z936" s="94"/>
      <c r="AA936" s="9"/>
      <c r="AB936" s="9"/>
      <c r="AC936" s="9"/>
      <c r="AD936" s="9"/>
      <c r="AE936" s="12"/>
      <c r="AF936" s="8"/>
      <c r="AG936" t="str">
        <f>VLOOKUP(OfficeForms.Table[[#This Row],[Nama Proyek]],'Nama Proyek'!$D$2:$G$29,4,0)</f>
        <v>-2.95293103,104.75455094</v>
      </c>
      <c r="AH936" s="5"/>
      <c r="AI936" s="5"/>
      <c r="AJ936" s="5"/>
      <c r="AK936" s="5" t="s">
        <v>2101</v>
      </c>
    </row>
    <row r="937" spans="1:37" ht="15" hidden="1" customHeight="1">
      <c r="A937" s="31">
        <v>765</v>
      </c>
      <c r="B937" s="110">
        <v>45172</v>
      </c>
      <c r="C937" s="28">
        <f>B937</f>
        <v>45172</v>
      </c>
      <c r="D937" s="8" t="s">
        <v>37</v>
      </c>
      <c r="E937" s="8" t="s">
        <v>75</v>
      </c>
      <c r="F937" s="5" t="str">
        <f>E937</f>
        <v>Banyu Purwita</v>
      </c>
      <c r="G937" s="55" t="s">
        <v>76</v>
      </c>
      <c r="H937" s="105"/>
      <c r="I937" s="95">
        <v>0</v>
      </c>
      <c r="J937" s="95">
        <v>0</v>
      </c>
      <c r="K937" s="95">
        <v>0</v>
      </c>
      <c r="L937" s="95">
        <v>0</v>
      </c>
      <c r="M937" s="95">
        <v>0</v>
      </c>
      <c r="N937" s="95">
        <v>0</v>
      </c>
      <c r="O937" s="95">
        <v>0</v>
      </c>
      <c r="P937" s="95">
        <v>0</v>
      </c>
      <c r="Q937" s="95">
        <v>0</v>
      </c>
      <c r="R937" s="95">
        <v>0</v>
      </c>
      <c r="S937" s="95">
        <v>0</v>
      </c>
      <c r="T937" s="95">
        <v>0</v>
      </c>
      <c r="U937" s="95">
        <v>0</v>
      </c>
      <c r="V937" s="95">
        <v>0</v>
      </c>
      <c r="W937" s="95">
        <v>0</v>
      </c>
      <c r="X937" s="95">
        <v>0</v>
      </c>
      <c r="Y937" s="95">
        <v>0</v>
      </c>
      <c r="Z937" s="95"/>
      <c r="AA937" s="8"/>
      <c r="AB937" s="15"/>
      <c r="AC937" s="15"/>
      <c r="AD937" s="15"/>
      <c r="AE937" s="11">
        <v>45172</v>
      </c>
      <c r="AF937" s="9"/>
      <c r="AG937" t="str">
        <f>VLOOKUP(OfficeForms.Table[[#This Row],[Nama Proyek]],'Nama Proyek'!$D$2:$G$29,4,0)</f>
        <v>-2.95293103,104.75455094</v>
      </c>
      <c r="AH937" s="5"/>
      <c r="AI937" s="5"/>
      <c r="AJ937" s="5"/>
      <c r="AK937" s="5" t="s">
        <v>2102</v>
      </c>
    </row>
    <row r="938" spans="1:37" ht="15" hidden="1" customHeight="1">
      <c r="A938" s="31">
        <v>766</v>
      </c>
      <c r="B938" s="111">
        <v>45172</v>
      </c>
      <c r="C938" s="29">
        <f>B938</f>
        <v>45172</v>
      </c>
      <c r="D938" s="9" t="s">
        <v>37</v>
      </c>
      <c r="E938" s="9" t="s">
        <v>75</v>
      </c>
      <c r="F938" s="5" t="str">
        <f>E938</f>
        <v>Banyu Purwita</v>
      </c>
      <c r="G938" s="54" t="s">
        <v>76</v>
      </c>
      <c r="H938" s="104"/>
      <c r="I938" s="94">
        <v>0</v>
      </c>
      <c r="J938" s="94">
        <v>0</v>
      </c>
      <c r="K938" s="94">
        <v>0</v>
      </c>
      <c r="L938" s="94">
        <v>0</v>
      </c>
      <c r="M938" s="94">
        <v>0</v>
      </c>
      <c r="N938" s="94">
        <v>0</v>
      </c>
      <c r="O938" s="94">
        <v>0</v>
      </c>
      <c r="P938" s="94">
        <v>0</v>
      </c>
      <c r="Q938" s="94">
        <v>0</v>
      </c>
      <c r="R938" s="94">
        <v>0</v>
      </c>
      <c r="S938" s="94">
        <v>0</v>
      </c>
      <c r="T938" s="94">
        <v>0</v>
      </c>
      <c r="U938" s="94">
        <v>0</v>
      </c>
      <c r="V938" s="94">
        <v>0</v>
      </c>
      <c r="W938" s="94">
        <v>0</v>
      </c>
      <c r="X938" s="94">
        <v>0</v>
      </c>
      <c r="Y938" s="94">
        <v>0</v>
      </c>
      <c r="Z938" s="94"/>
      <c r="AA938" s="9" t="s">
        <v>2103</v>
      </c>
      <c r="AB938" s="9" t="s">
        <v>2103</v>
      </c>
      <c r="AC938" s="9" t="s">
        <v>2103</v>
      </c>
      <c r="AD938" s="9" t="s">
        <v>2103</v>
      </c>
      <c r="AE938" s="12"/>
      <c r="AF938" s="8"/>
      <c r="AG938" t="str">
        <f>VLOOKUP(OfficeForms.Table[[#This Row],[Nama Proyek]],'Nama Proyek'!$D$2:$G$29,4,0)</f>
        <v>-2.95293103,104.75455094</v>
      </c>
      <c r="AH938" s="5"/>
      <c r="AI938" s="5"/>
      <c r="AJ938" s="5"/>
      <c r="AK938" s="5" t="s">
        <v>2104</v>
      </c>
    </row>
    <row r="939" spans="1:37" ht="15" hidden="1" customHeight="1">
      <c r="A939" s="30">
        <v>1007</v>
      </c>
      <c r="B939" s="110">
        <v>45191</v>
      </c>
      <c r="C939" s="28">
        <f>B939</f>
        <v>45191</v>
      </c>
      <c r="D939" s="19" t="s">
        <v>37</v>
      </c>
      <c r="E939" s="19" t="s">
        <v>1109</v>
      </c>
      <c r="F939" s="5" t="str">
        <f>E939</f>
        <v>Anzalar Rahman</v>
      </c>
      <c r="G939" s="38" t="s">
        <v>714</v>
      </c>
      <c r="H939" s="101">
        <v>45186</v>
      </c>
      <c r="I939" s="96">
        <v>55.683999999999997</v>
      </c>
      <c r="J939" s="96">
        <v>55.145000000000003</v>
      </c>
      <c r="K939" s="96">
        <v>4.1000000000000002E-2</v>
      </c>
      <c r="L939" s="96">
        <v>21.097999999999999</v>
      </c>
      <c r="M939" s="96">
        <v>0</v>
      </c>
      <c r="N939" s="96">
        <v>0.53300000000000003</v>
      </c>
      <c r="O939" s="96">
        <v>0</v>
      </c>
      <c r="P939" s="96">
        <v>31.672999999999998</v>
      </c>
      <c r="Q939" s="96">
        <v>0</v>
      </c>
      <c r="R939" s="96">
        <v>0</v>
      </c>
      <c r="S939" s="96">
        <v>0</v>
      </c>
      <c r="T939" s="96">
        <v>0</v>
      </c>
      <c r="U939" s="96">
        <v>0</v>
      </c>
      <c r="V939" s="96">
        <v>0</v>
      </c>
      <c r="W939" s="96">
        <v>0</v>
      </c>
      <c r="X939" s="96">
        <v>0</v>
      </c>
      <c r="Y939" s="96">
        <v>0</v>
      </c>
      <c r="Z939" s="96"/>
      <c r="AA939" s="19"/>
      <c r="AB939" s="19"/>
      <c r="AC939" s="42"/>
      <c r="AD939" s="42"/>
      <c r="AE939" s="13"/>
      <c r="AF939" s="8" t="s">
        <v>2105</v>
      </c>
      <c r="AG939" t="str">
        <f>VLOOKUP(OfficeForms.Table[[#This Row],[Nama Proyek]],'Nama Proyek'!$D$2:$G$29,4,0)</f>
        <v>-0.95259625,116.71704453</v>
      </c>
      <c r="AH939" s="5"/>
      <c r="AI939" s="5"/>
      <c r="AJ939" s="5"/>
      <c r="AK939" s="5" t="s">
        <v>2106</v>
      </c>
    </row>
    <row r="940" spans="1:37" ht="15" hidden="1" customHeight="1">
      <c r="A940">
        <v>822</v>
      </c>
      <c r="B940" s="111">
        <v>45191</v>
      </c>
      <c r="C940" s="29">
        <f>B940</f>
        <v>45191</v>
      </c>
      <c r="D940" s="8" t="s">
        <v>37</v>
      </c>
      <c r="E940" s="8" t="s">
        <v>1109</v>
      </c>
      <c r="F940" s="5" t="str">
        <f>E940</f>
        <v>Anzalar Rahman</v>
      </c>
      <c r="G940" s="33" t="s">
        <v>714</v>
      </c>
      <c r="H940" s="105"/>
      <c r="I940" s="95">
        <v>0</v>
      </c>
      <c r="J940" s="95">
        <v>0</v>
      </c>
      <c r="K940" s="95">
        <v>0</v>
      </c>
      <c r="L940" s="95">
        <v>0</v>
      </c>
      <c r="M940" s="95">
        <v>0</v>
      </c>
      <c r="N940" s="95">
        <v>0</v>
      </c>
      <c r="O940" s="95">
        <v>0</v>
      </c>
      <c r="P940" s="95">
        <v>0</v>
      </c>
      <c r="Q940" s="95">
        <v>0</v>
      </c>
      <c r="R940" s="95">
        <v>0</v>
      </c>
      <c r="S940" s="95">
        <v>0</v>
      </c>
      <c r="T940" s="95">
        <v>0</v>
      </c>
      <c r="U940" s="95">
        <v>0</v>
      </c>
      <c r="V940" s="95">
        <v>0</v>
      </c>
      <c r="W940" s="95">
        <v>0</v>
      </c>
      <c r="X940" s="95">
        <v>0</v>
      </c>
      <c r="Y940" s="95">
        <v>0</v>
      </c>
      <c r="Z940" s="95"/>
      <c r="AA940" s="8" t="s">
        <v>2107</v>
      </c>
      <c r="AB940" s="8" t="s">
        <v>2108</v>
      </c>
      <c r="AC940" s="8" t="s">
        <v>2109</v>
      </c>
      <c r="AD940" s="8" t="s">
        <v>2110</v>
      </c>
      <c r="AE940" s="11"/>
      <c r="AF940" s="43" t="s">
        <v>919</v>
      </c>
      <c r="AG940" t="str">
        <f>VLOOKUP(OfficeForms.Table[[#This Row],[Nama Proyek]],'Nama Proyek'!$D$2:$G$29,4,0)</f>
        <v>-0.95259625,116.71704453</v>
      </c>
      <c r="AH940" s="5"/>
      <c r="AI940" s="5"/>
      <c r="AJ940" s="5"/>
      <c r="AK940" s="5" t="s">
        <v>2111</v>
      </c>
    </row>
    <row r="941" spans="1:37" ht="15" hidden="1" customHeight="1">
      <c r="A941" s="50">
        <v>823</v>
      </c>
      <c r="B941" s="110">
        <v>45191</v>
      </c>
      <c r="C941" s="28">
        <f>B941</f>
        <v>45191</v>
      </c>
      <c r="D941" s="19" t="s">
        <v>37</v>
      </c>
      <c r="E941" s="19" t="s">
        <v>1109</v>
      </c>
      <c r="F941" s="5" t="str">
        <f>E941</f>
        <v>Anzalar Rahman</v>
      </c>
      <c r="G941" s="38" t="s">
        <v>714</v>
      </c>
      <c r="H941" s="101"/>
      <c r="I941" s="96">
        <v>0</v>
      </c>
      <c r="J941" s="96">
        <v>0</v>
      </c>
      <c r="K941" s="96">
        <v>0</v>
      </c>
      <c r="L941" s="96">
        <v>0</v>
      </c>
      <c r="M941" s="96">
        <v>0</v>
      </c>
      <c r="N941" s="96">
        <v>0</v>
      </c>
      <c r="O941" s="96">
        <v>0</v>
      </c>
      <c r="P941" s="96">
        <v>0</v>
      </c>
      <c r="Q941" s="96">
        <v>0</v>
      </c>
      <c r="R941" s="96">
        <v>0</v>
      </c>
      <c r="S941" s="96">
        <v>0</v>
      </c>
      <c r="T941" s="96">
        <v>0</v>
      </c>
      <c r="U941" s="96">
        <v>0</v>
      </c>
      <c r="V941" s="96">
        <v>0</v>
      </c>
      <c r="W941" s="96">
        <v>0</v>
      </c>
      <c r="X941" s="96">
        <v>0</v>
      </c>
      <c r="Y941" s="96">
        <v>0</v>
      </c>
      <c r="Z941" s="96"/>
      <c r="AA941" s="19"/>
      <c r="AB941" s="19"/>
      <c r="AC941" s="42"/>
      <c r="AD941" s="42"/>
      <c r="AE941" s="24">
        <v>44927</v>
      </c>
      <c r="AF941" s="40" t="s">
        <v>2112</v>
      </c>
      <c r="AG941" t="str">
        <f>VLOOKUP(OfficeForms.Table[[#This Row],[Nama Proyek]],'Nama Proyek'!$D$2:$G$29,4,0)</f>
        <v>-0.95259625,116.71704453</v>
      </c>
      <c r="AH941" s="5"/>
      <c r="AI941" s="5"/>
      <c r="AJ941" s="5"/>
      <c r="AK941" s="5" t="s">
        <v>2113</v>
      </c>
    </row>
    <row r="942" spans="1:37" ht="15" hidden="1" customHeight="1">
      <c r="A942" s="31">
        <v>1039</v>
      </c>
      <c r="B942" s="110">
        <v>45198</v>
      </c>
      <c r="C942" s="28">
        <f>B942</f>
        <v>45198</v>
      </c>
      <c r="D942" s="8" t="s">
        <v>37</v>
      </c>
      <c r="E942" s="8" t="s">
        <v>75</v>
      </c>
      <c r="F942" s="5" t="str">
        <f>E942</f>
        <v>Banyu Purwita</v>
      </c>
      <c r="G942" s="55" t="s">
        <v>76</v>
      </c>
      <c r="H942" s="102"/>
      <c r="I942" s="95">
        <v>0</v>
      </c>
      <c r="J942" s="95">
        <v>0</v>
      </c>
      <c r="K942" s="95">
        <v>0</v>
      </c>
      <c r="L942" s="95">
        <v>0</v>
      </c>
      <c r="M942" s="95">
        <v>0</v>
      </c>
      <c r="N942" s="95">
        <v>0</v>
      </c>
      <c r="O942" s="95">
        <v>0</v>
      </c>
      <c r="P942" s="95">
        <v>0</v>
      </c>
      <c r="Q942" s="95">
        <v>0</v>
      </c>
      <c r="R942" s="95">
        <v>0</v>
      </c>
      <c r="S942" s="95">
        <v>0</v>
      </c>
      <c r="T942" s="95">
        <v>0</v>
      </c>
      <c r="U942" s="95">
        <v>0</v>
      </c>
      <c r="V942" s="95">
        <v>0</v>
      </c>
      <c r="W942" s="95">
        <v>0</v>
      </c>
      <c r="X942" s="95">
        <v>0</v>
      </c>
      <c r="Y942" s="95">
        <v>0</v>
      </c>
      <c r="Z942" s="95"/>
      <c r="AA942" s="8" t="s">
        <v>2114</v>
      </c>
      <c r="AB942" s="8" t="s">
        <v>2115</v>
      </c>
      <c r="AC942" s="8" t="s">
        <v>2116</v>
      </c>
      <c r="AD942" s="8" t="s">
        <v>2116</v>
      </c>
      <c r="AE942" s="11"/>
      <c r="AF942" s="15"/>
      <c r="AG942" t="str">
        <f>VLOOKUP(OfficeForms.Table[[#This Row],[Nama Proyek]],'Nama Proyek'!$D$2:$G$29,4,0)</f>
        <v>-2.95293103,104.75455094</v>
      </c>
      <c r="AH942" s="5"/>
      <c r="AI942" s="5"/>
      <c r="AJ942" s="5"/>
      <c r="AK942" s="5" t="s">
        <v>2117</v>
      </c>
    </row>
    <row r="943" spans="1:37" ht="15" hidden="1" customHeight="1">
      <c r="A943" s="31">
        <v>962</v>
      </c>
      <c r="B943" s="111">
        <v>45199</v>
      </c>
      <c r="C943" s="29">
        <f>B943</f>
        <v>45199</v>
      </c>
      <c r="D943" s="9" t="s">
        <v>37</v>
      </c>
      <c r="E943" s="9" t="s">
        <v>994</v>
      </c>
      <c r="F943" s="5" t="str">
        <f>E943</f>
        <v>Nenes Anggi Puspadi</v>
      </c>
      <c r="G943" s="54" t="s">
        <v>924</v>
      </c>
      <c r="H943" s="103">
        <v>45200</v>
      </c>
      <c r="I943" s="94">
        <v>86.13</v>
      </c>
      <c r="J943" s="94">
        <v>57.93</v>
      </c>
      <c r="K943" s="94">
        <v>5.0999999999999996</v>
      </c>
      <c r="L943" s="94">
        <v>33.700000000000003</v>
      </c>
      <c r="M943" s="94">
        <v>0</v>
      </c>
      <c r="N943" s="94">
        <v>12.99</v>
      </c>
      <c r="O943" s="94">
        <v>23.89</v>
      </c>
      <c r="P943" s="94">
        <v>6.9</v>
      </c>
      <c r="Q943" s="94">
        <v>0</v>
      </c>
      <c r="R943" s="94">
        <v>0.76</v>
      </c>
      <c r="S943" s="94">
        <v>0</v>
      </c>
      <c r="T943" s="94">
        <v>0</v>
      </c>
      <c r="U943" s="94">
        <v>0</v>
      </c>
      <c r="V943" s="94">
        <v>0</v>
      </c>
      <c r="W943" s="94">
        <v>0</v>
      </c>
      <c r="X943" s="94">
        <v>0</v>
      </c>
      <c r="Y943" s="94">
        <v>0</v>
      </c>
      <c r="Z943" s="94"/>
      <c r="AA943" s="9"/>
      <c r="AB943" s="9"/>
      <c r="AC943" s="9"/>
      <c r="AD943" s="9"/>
      <c r="AE943" s="18"/>
      <c r="AF943" s="41" t="s">
        <v>2118</v>
      </c>
      <c r="AG943" t="str">
        <f>VLOOKUP(OfficeForms.Table[[#This Row],[Nama Proyek]],'Nama Proyek'!$D$2:$G$40,4,0)</f>
        <v>-3.25078511,134.87791156</v>
      </c>
      <c r="AH943" s="5"/>
      <c r="AI943" s="5"/>
      <c r="AJ943" s="5"/>
      <c r="AK943" s="5" t="s">
        <v>2119</v>
      </c>
    </row>
    <row r="944" spans="1:37" ht="15" hidden="1" customHeight="1">
      <c r="A944" s="30">
        <v>963</v>
      </c>
      <c r="B944" s="110">
        <v>45199</v>
      </c>
      <c r="C944" s="28">
        <f>B944</f>
        <v>45199</v>
      </c>
      <c r="D944" s="8" t="s">
        <v>37</v>
      </c>
      <c r="E944" s="8" t="s">
        <v>994</v>
      </c>
      <c r="F944" s="5" t="str">
        <f>E944</f>
        <v>Nenes Anggi Puspadi</v>
      </c>
      <c r="G944" s="23" t="s">
        <v>924</v>
      </c>
      <c r="H944" s="105"/>
      <c r="I944" s="95">
        <v>0</v>
      </c>
      <c r="J944" s="95">
        <v>0</v>
      </c>
      <c r="K944" s="95">
        <v>0</v>
      </c>
      <c r="L944" s="95">
        <v>0</v>
      </c>
      <c r="M944" s="95">
        <v>0</v>
      </c>
      <c r="N944" s="95">
        <v>0</v>
      </c>
      <c r="O944" s="95">
        <v>0</v>
      </c>
      <c r="P944" s="95">
        <v>0</v>
      </c>
      <c r="Q944" s="95">
        <v>0</v>
      </c>
      <c r="R944" s="95">
        <v>0</v>
      </c>
      <c r="S944" s="95">
        <v>0</v>
      </c>
      <c r="T944" s="95">
        <v>0</v>
      </c>
      <c r="U944" s="95">
        <v>0</v>
      </c>
      <c r="V944" s="95">
        <v>0</v>
      </c>
      <c r="W944" s="95">
        <v>0</v>
      </c>
      <c r="X944" s="95">
        <v>0</v>
      </c>
      <c r="Y944" s="95">
        <v>0</v>
      </c>
      <c r="Z944" s="95"/>
      <c r="AA944" s="8"/>
      <c r="AB944" s="8"/>
      <c r="AC944" s="8"/>
      <c r="AD944" s="8"/>
      <c r="AE944" s="11" t="s">
        <v>1524</v>
      </c>
      <c r="AF944" s="9" t="s">
        <v>2120</v>
      </c>
      <c r="AG944" t="str">
        <f>VLOOKUP(OfficeForms.Table[[#This Row],[Nama Proyek]],'Nama Proyek'!$D$2:$G$40,4,0)</f>
        <v>-3.25078511,134.87791156</v>
      </c>
      <c r="AH944" s="5"/>
      <c r="AI944" s="5"/>
      <c r="AJ944" s="5"/>
      <c r="AK944" s="5" t="s">
        <v>2121</v>
      </c>
    </row>
    <row r="945" spans="1:37" ht="15" hidden="1" customHeight="1">
      <c r="A945">
        <v>964</v>
      </c>
      <c r="B945" s="111">
        <v>45199</v>
      </c>
      <c r="C945" s="29">
        <f>B945</f>
        <v>45199</v>
      </c>
      <c r="D945" s="9" t="s">
        <v>37</v>
      </c>
      <c r="E945" s="9" t="s">
        <v>994</v>
      </c>
      <c r="F945" s="5" t="str">
        <f>E945</f>
        <v>Nenes Anggi Puspadi</v>
      </c>
      <c r="G945" s="23" t="s">
        <v>924</v>
      </c>
      <c r="H945" s="103"/>
      <c r="I945" s="94">
        <v>0</v>
      </c>
      <c r="J945" s="94">
        <v>0</v>
      </c>
      <c r="K945" s="94">
        <v>0</v>
      </c>
      <c r="L945" s="94">
        <v>0</v>
      </c>
      <c r="M945" s="94">
        <v>0</v>
      </c>
      <c r="N945" s="94">
        <v>0</v>
      </c>
      <c r="O945" s="94">
        <v>0</v>
      </c>
      <c r="P945" s="94">
        <v>0</v>
      </c>
      <c r="Q945" s="94">
        <v>0</v>
      </c>
      <c r="R945" s="94">
        <v>0</v>
      </c>
      <c r="S945" s="94">
        <v>0</v>
      </c>
      <c r="T945" s="94">
        <v>0</v>
      </c>
      <c r="U945" s="94">
        <v>0</v>
      </c>
      <c r="V945" s="94">
        <v>0</v>
      </c>
      <c r="W945" s="94">
        <v>0</v>
      </c>
      <c r="X945" s="94">
        <v>0</v>
      </c>
      <c r="Y945" s="94">
        <v>0</v>
      </c>
      <c r="Z945" s="94"/>
      <c r="AA945" s="9"/>
      <c r="AB945" s="9"/>
      <c r="AC945" s="9"/>
      <c r="AD945" s="9"/>
      <c r="AE945" s="12" t="s">
        <v>1524</v>
      </c>
      <c r="AF945" s="15"/>
      <c r="AG945" t="str">
        <f>VLOOKUP(OfficeForms.Table[[#This Row],[Nama Proyek]],'Nama Proyek'!$D$2:$G$40,4,0)</f>
        <v>-3.25078511,134.87791156</v>
      </c>
      <c r="AH945" s="5"/>
      <c r="AI945" s="5"/>
      <c r="AJ945" s="5"/>
      <c r="AK945" s="5" t="s">
        <v>2122</v>
      </c>
    </row>
    <row r="946" spans="1:37" ht="15" hidden="1" customHeight="1">
      <c r="A946" s="50">
        <v>465</v>
      </c>
      <c r="B946" s="110">
        <v>45200</v>
      </c>
      <c r="C946" s="28">
        <f>B946</f>
        <v>45200</v>
      </c>
      <c r="D946" s="19" t="s">
        <v>37</v>
      </c>
      <c r="E946" s="19" t="s">
        <v>214</v>
      </c>
      <c r="F946" s="5" t="str">
        <f>E946</f>
        <v>BASUKI RAHMAT HAKIM</v>
      </c>
      <c r="G946" s="59" t="s">
        <v>48</v>
      </c>
      <c r="H946" s="101">
        <v>44917</v>
      </c>
      <c r="I946" s="96">
        <v>43.15</v>
      </c>
      <c r="J946" s="96">
        <v>48.6</v>
      </c>
      <c r="K946" s="96">
        <v>0</v>
      </c>
      <c r="L946" s="96">
        <v>41.404000000000003</v>
      </c>
      <c r="M946" s="96">
        <v>0</v>
      </c>
      <c r="N946" s="96">
        <v>0</v>
      </c>
      <c r="O946" s="96">
        <v>0</v>
      </c>
      <c r="P946" s="96">
        <v>0</v>
      </c>
      <c r="Q946" s="96">
        <v>0</v>
      </c>
      <c r="R946" s="96">
        <v>0.23100000000000001</v>
      </c>
      <c r="S946" s="96">
        <v>0</v>
      </c>
      <c r="T946" s="96">
        <v>0</v>
      </c>
      <c r="U946" s="96">
        <v>0</v>
      </c>
      <c r="V946" s="96">
        <v>0</v>
      </c>
      <c r="W946" s="96">
        <v>0</v>
      </c>
      <c r="X946" s="96">
        <v>0</v>
      </c>
      <c r="Y946" s="96">
        <v>0</v>
      </c>
      <c r="Z946" s="96"/>
      <c r="AA946" s="19"/>
      <c r="AB946" s="19"/>
      <c r="AC946" s="19"/>
      <c r="AD946" s="19"/>
      <c r="AE946" s="24"/>
      <c r="AF946" s="26" t="s">
        <v>2123</v>
      </c>
      <c r="AG946" t="str">
        <f>VLOOKUP(OfficeForms.Table[[#This Row],[Nama Proyek]],'Nama Proyek'!$D$2:$G$29,4,0)</f>
        <v>3.76047575,115.89977678</v>
      </c>
      <c r="AH946" s="5"/>
      <c r="AI946" s="5"/>
      <c r="AJ946" s="5"/>
      <c r="AK946" s="5" t="s">
        <v>2124</v>
      </c>
    </row>
    <row r="947" spans="1:37" ht="15" hidden="1" customHeight="1">
      <c r="A947" s="31">
        <v>620</v>
      </c>
      <c r="B947" s="111">
        <v>45201</v>
      </c>
      <c r="C947" s="29">
        <f>B947</f>
        <v>45201</v>
      </c>
      <c r="D947" s="9" t="s">
        <v>37</v>
      </c>
      <c r="E947" s="9" t="s">
        <v>994</v>
      </c>
      <c r="F947" s="5" t="s">
        <v>994</v>
      </c>
      <c r="G947" s="39" t="s">
        <v>924</v>
      </c>
      <c r="H947" s="104">
        <v>44954</v>
      </c>
      <c r="I947" s="94">
        <v>5.0289999999999999</v>
      </c>
      <c r="J947" s="94">
        <v>9.4949999999999992</v>
      </c>
      <c r="K947" s="94">
        <v>1.0900000000000001</v>
      </c>
      <c r="L947" s="94">
        <v>2.06</v>
      </c>
      <c r="M947" s="94">
        <v>0</v>
      </c>
      <c r="N947" s="94">
        <v>0.1</v>
      </c>
      <c r="O947" s="94">
        <v>0</v>
      </c>
      <c r="P947" s="94">
        <v>0.46</v>
      </c>
      <c r="Q947" s="94">
        <v>0</v>
      </c>
      <c r="R947" s="94">
        <v>0</v>
      </c>
      <c r="S947" s="94">
        <v>0</v>
      </c>
      <c r="T947" s="94">
        <v>0</v>
      </c>
      <c r="U947" s="94">
        <v>0</v>
      </c>
      <c r="V947" s="94">
        <v>0</v>
      </c>
      <c r="W947" s="94">
        <v>0</v>
      </c>
      <c r="X947" s="94">
        <v>0</v>
      </c>
      <c r="Y947" s="94">
        <v>0</v>
      </c>
      <c r="Z947" s="94"/>
      <c r="AA947" s="9"/>
      <c r="AB947" s="9"/>
      <c r="AC947" s="9"/>
      <c r="AD947" s="17"/>
      <c r="AE947" s="18"/>
      <c r="AF947" s="8" t="s">
        <v>2125</v>
      </c>
      <c r="AG947" t="str">
        <f>VLOOKUP(OfficeForms.Table[[#This Row],[Nama Proyek]],'Nama Proyek'!$D$2:$G$40,4,0)</f>
        <v>-3.25078511,134.87791156</v>
      </c>
      <c r="AH947" s="5"/>
      <c r="AI947" s="5"/>
      <c r="AJ947" s="5"/>
      <c r="AK947" s="5" t="s">
        <v>2126</v>
      </c>
    </row>
    <row r="948" spans="1:37" ht="15" hidden="1" customHeight="1">
      <c r="A948" s="30">
        <v>309</v>
      </c>
      <c r="B948" s="110">
        <v>45201</v>
      </c>
      <c r="C948" s="28">
        <f>B948</f>
        <v>45201</v>
      </c>
      <c r="D948" s="8" t="s">
        <v>37</v>
      </c>
      <c r="E948" s="8" t="s">
        <v>75</v>
      </c>
      <c r="F948" s="5" t="str">
        <f>E948</f>
        <v>Banyu Purwita</v>
      </c>
      <c r="G948" s="34" t="s">
        <v>76</v>
      </c>
      <c r="H948" s="105">
        <v>44966</v>
      </c>
      <c r="I948" s="95">
        <v>40.600999999999999</v>
      </c>
      <c r="J948" s="95">
        <v>41.625999999999998</v>
      </c>
      <c r="K948" s="95">
        <v>0</v>
      </c>
      <c r="L948" s="95">
        <v>0</v>
      </c>
      <c r="M948" s="95">
        <v>1.2</v>
      </c>
      <c r="N948" s="95">
        <v>0</v>
      </c>
      <c r="O948" s="95">
        <v>12.007999999999999</v>
      </c>
      <c r="P948" s="95">
        <v>0</v>
      </c>
      <c r="Q948" s="95">
        <v>1.855</v>
      </c>
      <c r="R948" s="95">
        <v>0</v>
      </c>
      <c r="S948" s="95">
        <v>23.327000000000002</v>
      </c>
      <c r="T948" s="95">
        <v>0</v>
      </c>
      <c r="U948" s="95">
        <v>6.3E-2</v>
      </c>
      <c r="V948" s="95">
        <v>0</v>
      </c>
      <c r="W948" s="95">
        <v>0</v>
      </c>
      <c r="X948" s="95">
        <v>0</v>
      </c>
      <c r="Y948" s="95">
        <v>0</v>
      </c>
      <c r="Z948" s="95"/>
      <c r="AA948" s="8"/>
      <c r="AB948" s="8"/>
      <c r="AC948" s="8"/>
      <c r="AD948" s="8"/>
      <c r="AE948" s="11"/>
      <c r="AF948" s="9"/>
      <c r="AG948" t="str">
        <f>VLOOKUP(OfficeForms.Table[[#This Row],[Nama Proyek]],'Nama Proyek'!$D$2:$G$29,4,0)</f>
        <v>-2.95293103,104.75455094</v>
      </c>
      <c r="AH948" s="5"/>
      <c r="AI948" s="5"/>
      <c r="AJ948" s="5"/>
      <c r="AK948" s="5" t="s">
        <v>2127</v>
      </c>
    </row>
    <row r="949" spans="1:37" ht="15" hidden="1" customHeight="1">
      <c r="A949" s="30">
        <v>621</v>
      </c>
      <c r="B949" s="110">
        <v>45201</v>
      </c>
      <c r="C949" s="28">
        <f>B949</f>
        <v>45201</v>
      </c>
      <c r="D949" s="8" t="s">
        <v>37</v>
      </c>
      <c r="E949" s="8" t="s">
        <v>994</v>
      </c>
      <c r="F949" s="5" t="str">
        <f>E949</f>
        <v>Nenes Anggi Puspadi</v>
      </c>
      <c r="G949" s="23" t="s">
        <v>924</v>
      </c>
      <c r="H949" s="105"/>
      <c r="I949" s="95">
        <v>0</v>
      </c>
      <c r="J949" s="95">
        <v>0</v>
      </c>
      <c r="K949" s="95">
        <v>0</v>
      </c>
      <c r="L949" s="95">
        <v>0</v>
      </c>
      <c r="M949" s="95">
        <v>0</v>
      </c>
      <c r="N949" s="95">
        <v>0</v>
      </c>
      <c r="O949" s="95">
        <v>0</v>
      </c>
      <c r="P949" s="95">
        <v>0</v>
      </c>
      <c r="Q949" s="95">
        <v>0</v>
      </c>
      <c r="R949" s="95">
        <v>0</v>
      </c>
      <c r="S949" s="95">
        <v>0</v>
      </c>
      <c r="T949" s="95">
        <v>0</v>
      </c>
      <c r="U949" s="95">
        <v>0</v>
      </c>
      <c r="V949" s="95">
        <v>0</v>
      </c>
      <c r="W949" s="95">
        <v>0</v>
      </c>
      <c r="X949" s="95">
        <v>0</v>
      </c>
      <c r="Y949" s="95">
        <v>0</v>
      </c>
      <c r="Z949" s="95"/>
      <c r="AA949" s="8"/>
      <c r="AB949" s="8"/>
      <c r="AC949" s="8"/>
      <c r="AD949" s="8"/>
      <c r="AE949" s="11">
        <v>45017</v>
      </c>
      <c r="AF949" s="17" t="s">
        <v>2128</v>
      </c>
      <c r="AG949" t="str">
        <f>VLOOKUP(OfficeForms.Table[[#This Row],[Nama Proyek]],'Nama Proyek'!$D$2:$G$40,4,0)</f>
        <v>-3.25078511,134.87791156</v>
      </c>
      <c r="AH949" s="5"/>
      <c r="AI949" s="5"/>
      <c r="AJ949" s="5"/>
      <c r="AK949" s="5" t="s">
        <v>2129</v>
      </c>
    </row>
    <row r="950" spans="1:37" ht="15" hidden="1" customHeight="1">
      <c r="A950">
        <v>622</v>
      </c>
      <c r="B950" s="111">
        <v>45201</v>
      </c>
      <c r="C950" s="29">
        <f>B950</f>
        <v>45201</v>
      </c>
      <c r="D950" s="9" t="s">
        <v>37</v>
      </c>
      <c r="E950" s="9" t="s">
        <v>994</v>
      </c>
      <c r="F950" s="5" t="str">
        <f>E950</f>
        <v>Nenes Anggi Puspadi</v>
      </c>
      <c r="G950" s="23" t="s">
        <v>924</v>
      </c>
      <c r="H950" s="103"/>
      <c r="I950" s="94">
        <v>0</v>
      </c>
      <c r="J950" s="94">
        <v>0</v>
      </c>
      <c r="K950" s="94">
        <v>0</v>
      </c>
      <c r="L950" s="94">
        <v>0</v>
      </c>
      <c r="M950" s="94">
        <v>0</v>
      </c>
      <c r="N950" s="94">
        <v>0</v>
      </c>
      <c r="O950" s="94">
        <v>0</v>
      </c>
      <c r="P950" s="94">
        <v>0</v>
      </c>
      <c r="Q950" s="94">
        <v>0</v>
      </c>
      <c r="R950" s="94">
        <v>0</v>
      </c>
      <c r="S950" s="94">
        <v>0</v>
      </c>
      <c r="T950" s="94">
        <v>0</v>
      </c>
      <c r="U950" s="94">
        <v>0</v>
      </c>
      <c r="V950" s="94">
        <v>0</v>
      </c>
      <c r="W950" s="94">
        <v>0</v>
      </c>
      <c r="X950" s="94">
        <v>0</v>
      </c>
      <c r="Y950" s="94">
        <v>0</v>
      </c>
      <c r="Z950" s="94"/>
      <c r="AA950" s="9"/>
      <c r="AB950" s="9"/>
      <c r="AC950" s="9"/>
      <c r="AD950" s="9"/>
      <c r="AE950" s="18">
        <v>44958</v>
      </c>
      <c r="AF950" s="19"/>
      <c r="AG950" t="str">
        <f>VLOOKUP(OfficeForms.Table[[#This Row],[Nama Proyek]],'Nama Proyek'!$D$2:$G$40,4,0)</f>
        <v>-3.25078511,134.87791156</v>
      </c>
      <c r="AH950" s="5"/>
      <c r="AI950" s="5"/>
      <c r="AJ950" s="5"/>
      <c r="AK950" s="5" t="s">
        <v>2130</v>
      </c>
    </row>
    <row r="951" spans="1:37" ht="15" hidden="1" customHeight="1">
      <c r="A951" s="50">
        <v>624</v>
      </c>
      <c r="B951" s="111">
        <v>45201</v>
      </c>
      <c r="C951" s="29">
        <f>B951</f>
        <v>45201</v>
      </c>
      <c r="D951" s="9" t="s">
        <v>37</v>
      </c>
      <c r="E951" s="9" t="s">
        <v>994</v>
      </c>
      <c r="F951" s="5" t="str">
        <f>E951</f>
        <v>Nenes Anggi Puspadi</v>
      </c>
      <c r="G951" s="23" t="s">
        <v>924</v>
      </c>
      <c r="H951" s="103"/>
      <c r="I951" s="94">
        <v>0</v>
      </c>
      <c r="J951" s="94">
        <v>0</v>
      </c>
      <c r="K951" s="94">
        <v>0</v>
      </c>
      <c r="L951" s="94">
        <v>0</v>
      </c>
      <c r="M951" s="94">
        <v>0</v>
      </c>
      <c r="N951" s="94">
        <v>0</v>
      </c>
      <c r="O951" s="94">
        <v>0</v>
      </c>
      <c r="P951" s="94">
        <v>0</v>
      </c>
      <c r="Q951" s="94">
        <v>0</v>
      </c>
      <c r="R951" s="94">
        <v>0</v>
      </c>
      <c r="S951" s="94">
        <v>0</v>
      </c>
      <c r="T951" s="94">
        <v>0</v>
      </c>
      <c r="U951" s="94">
        <v>0</v>
      </c>
      <c r="V951" s="94">
        <v>0</v>
      </c>
      <c r="W951" s="94">
        <v>0</v>
      </c>
      <c r="X951" s="94">
        <v>0</v>
      </c>
      <c r="Y951" s="94">
        <v>0</v>
      </c>
      <c r="Z951" s="94"/>
      <c r="AA951" s="40" t="s">
        <v>2131</v>
      </c>
      <c r="AB951" s="40" t="s">
        <v>2132</v>
      </c>
      <c r="AC951" s="40" t="s">
        <v>2133</v>
      </c>
      <c r="AD951" s="9"/>
      <c r="AE951" s="12"/>
      <c r="AF951" s="42"/>
      <c r="AG951" t="str">
        <f>VLOOKUP(OfficeForms.Table[[#This Row],[Nama Proyek]],'Nama Proyek'!$D$2:$G$40,4,0)</f>
        <v>-3.25078511,134.87791156</v>
      </c>
      <c r="AH951" s="5"/>
      <c r="AI951" s="5"/>
      <c r="AJ951" s="5"/>
      <c r="AK951" s="5" t="s">
        <v>2134</v>
      </c>
    </row>
    <row r="952" spans="1:37" ht="15" hidden="1" customHeight="1">
      <c r="A952" s="31">
        <v>737</v>
      </c>
      <c r="B952" s="110">
        <v>45201</v>
      </c>
      <c r="C952" s="28">
        <f>B952</f>
        <v>45201</v>
      </c>
      <c r="D952" s="19" t="s">
        <v>37</v>
      </c>
      <c r="E952" s="19" t="s">
        <v>75</v>
      </c>
      <c r="F952" s="5" t="str">
        <f>E952</f>
        <v>Banyu Purwita</v>
      </c>
      <c r="G952" s="34" t="s">
        <v>76</v>
      </c>
      <c r="H952" s="101"/>
      <c r="I952" s="96">
        <v>0</v>
      </c>
      <c r="J952" s="96">
        <v>0</v>
      </c>
      <c r="K952" s="96">
        <v>0</v>
      </c>
      <c r="L952" s="96">
        <v>0</v>
      </c>
      <c r="M952" s="96">
        <v>0</v>
      </c>
      <c r="N952" s="96">
        <v>0</v>
      </c>
      <c r="O952" s="96">
        <v>0</v>
      </c>
      <c r="P952" s="96">
        <v>0</v>
      </c>
      <c r="Q952" s="96">
        <v>0</v>
      </c>
      <c r="R952" s="96">
        <v>0</v>
      </c>
      <c r="S952" s="96">
        <v>0</v>
      </c>
      <c r="T952" s="96">
        <v>0</v>
      </c>
      <c r="U952" s="96">
        <v>0</v>
      </c>
      <c r="V952" s="96">
        <v>0</v>
      </c>
      <c r="W952" s="96">
        <v>0</v>
      </c>
      <c r="X952" s="96">
        <v>0</v>
      </c>
      <c r="Y952" s="96">
        <v>0</v>
      </c>
      <c r="Z952" s="96"/>
      <c r="AA952" s="19"/>
      <c r="AB952" s="19"/>
      <c r="AC952" s="19"/>
      <c r="AD952" s="19"/>
      <c r="AE952" s="24">
        <v>45171</v>
      </c>
      <c r="AF952" s="9"/>
      <c r="AG952" t="str">
        <f>VLOOKUP(OfficeForms.Table[[#This Row],[Nama Proyek]],'Nama Proyek'!$D$2:$G$29,4,0)</f>
        <v>-2.95293103,104.75455094</v>
      </c>
      <c r="AH952" s="5"/>
      <c r="AI952" s="5"/>
      <c r="AJ952" s="5"/>
      <c r="AK952" s="5" t="s">
        <v>2135</v>
      </c>
    </row>
    <row r="953" spans="1:37" ht="15" hidden="1" customHeight="1">
      <c r="A953" s="31">
        <v>755</v>
      </c>
      <c r="B953" s="110">
        <v>45201</v>
      </c>
      <c r="C953" s="28">
        <f>B953</f>
        <v>45201</v>
      </c>
      <c r="D953" s="8" t="s">
        <v>37</v>
      </c>
      <c r="E953" s="8" t="s">
        <v>75</v>
      </c>
      <c r="F953" s="5" t="str">
        <f>E953</f>
        <v>Banyu Purwita</v>
      </c>
      <c r="G953" s="34" t="s">
        <v>76</v>
      </c>
      <c r="H953" s="105"/>
      <c r="I953" s="95">
        <v>0</v>
      </c>
      <c r="J953" s="95">
        <v>0</v>
      </c>
      <c r="K953" s="95">
        <v>0</v>
      </c>
      <c r="L953" s="95">
        <v>0</v>
      </c>
      <c r="M953" s="95">
        <v>0</v>
      </c>
      <c r="N953" s="95">
        <v>0</v>
      </c>
      <c r="O953" s="95">
        <v>0</v>
      </c>
      <c r="P953" s="95">
        <v>0</v>
      </c>
      <c r="Q953" s="95">
        <v>0</v>
      </c>
      <c r="R953" s="95">
        <v>0</v>
      </c>
      <c r="S953" s="95">
        <v>0</v>
      </c>
      <c r="T953" s="95">
        <v>0</v>
      </c>
      <c r="U953" s="95">
        <v>0</v>
      </c>
      <c r="V953" s="95">
        <v>0</v>
      </c>
      <c r="W953" s="95">
        <v>0</v>
      </c>
      <c r="X953" s="95">
        <v>0</v>
      </c>
      <c r="Y953" s="95">
        <v>0</v>
      </c>
      <c r="Z953" s="95"/>
      <c r="AA953" s="8" t="s">
        <v>2136</v>
      </c>
      <c r="AB953" s="8" t="s">
        <v>2136</v>
      </c>
      <c r="AC953" s="8" t="s">
        <v>2136</v>
      </c>
      <c r="AD953" s="8" t="s">
        <v>2136</v>
      </c>
      <c r="AE953" s="11"/>
      <c r="AF953" s="41" t="s">
        <v>1573</v>
      </c>
      <c r="AG953" t="str">
        <f>VLOOKUP(OfficeForms.Table[[#This Row],[Nama Proyek]],'Nama Proyek'!$D$2:$G$29,4,0)</f>
        <v>-2.95293103,104.75455094</v>
      </c>
      <c r="AH953" s="5"/>
      <c r="AI953" s="5"/>
      <c r="AJ953" s="5"/>
      <c r="AK953" s="5" t="s">
        <v>2137</v>
      </c>
    </row>
    <row r="954" spans="1:37" ht="15" hidden="1" customHeight="1">
      <c r="A954" s="31">
        <v>855</v>
      </c>
      <c r="B954" s="110">
        <v>45224</v>
      </c>
      <c r="C954" s="28">
        <f>B954</f>
        <v>45224</v>
      </c>
      <c r="D954" s="19" t="s">
        <v>37</v>
      </c>
      <c r="E954" s="19" t="s">
        <v>1109</v>
      </c>
      <c r="F954" s="5" t="str">
        <f>E954</f>
        <v>Anzalar Rahman</v>
      </c>
      <c r="G954" s="35" t="s">
        <v>714</v>
      </c>
      <c r="H954" s="101"/>
      <c r="I954" s="96">
        <v>0</v>
      </c>
      <c r="J954" s="96">
        <v>0</v>
      </c>
      <c r="K954" s="96">
        <v>0</v>
      </c>
      <c r="L954" s="96">
        <v>0</v>
      </c>
      <c r="M954" s="96">
        <v>0</v>
      </c>
      <c r="N954" s="96">
        <v>0</v>
      </c>
      <c r="O954" s="96">
        <v>0</v>
      </c>
      <c r="P954" s="96">
        <v>0</v>
      </c>
      <c r="Q954" s="96">
        <v>0</v>
      </c>
      <c r="R954" s="96">
        <v>0</v>
      </c>
      <c r="S954" s="96">
        <v>0</v>
      </c>
      <c r="T954" s="96">
        <v>0</v>
      </c>
      <c r="U954" s="96">
        <v>0</v>
      </c>
      <c r="V954" s="96">
        <v>0</v>
      </c>
      <c r="W954" s="96">
        <v>0</v>
      </c>
      <c r="X954" s="96">
        <v>0</v>
      </c>
      <c r="Y954" s="96">
        <v>0</v>
      </c>
      <c r="Z954" s="96"/>
      <c r="AA954" s="19"/>
      <c r="AB954" s="19"/>
      <c r="AC954" s="19"/>
      <c r="AD954" s="19"/>
      <c r="AE954" s="13">
        <v>44927</v>
      </c>
      <c r="AF954" s="9"/>
      <c r="AG954" t="str">
        <f>VLOOKUP(OfficeForms.Table[[#This Row],[Nama Proyek]],'Nama Proyek'!$D$2:$G$29,4,0)</f>
        <v>-0.95259625,116.71704453</v>
      </c>
      <c r="AH954" s="5"/>
      <c r="AI954" s="5"/>
      <c r="AJ954" s="5"/>
      <c r="AK954" s="5" t="s">
        <v>2138</v>
      </c>
    </row>
    <row r="955" spans="1:37" ht="15" hidden="1" customHeight="1">
      <c r="A955">
        <v>1010</v>
      </c>
      <c r="B955" s="111">
        <v>45225</v>
      </c>
      <c r="C955" s="29">
        <f>B955</f>
        <v>45225</v>
      </c>
      <c r="D955" s="8" t="s">
        <v>37</v>
      </c>
      <c r="E955" s="8" t="s">
        <v>2139</v>
      </c>
      <c r="F955" s="5" t="str">
        <f>E955</f>
        <v>Rahmadika</v>
      </c>
      <c r="G955" s="32" t="s">
        <v>750</v>
      </c>
      <c r="H955" s="102">
        <v>45221</v>
      </c>
      <c r="I955" s="95">
        <v>60.691499999999998</v>
      </c>
      <c r="J955" s="95">
        <v>60.026600000000002</v>
      </c>
      <c r="K955" s="95">
        <v>63.155700000000003</v>
      </c>
      <c r="L955" s="95">
        <v>74.931399999999996</v>
      </c>
      <c r="M955" s="95">
        <v>0</v>
      </c>
      <c r="N955" s="95">
        <v>30.008099999999999</v>
      </c>
      <c r="O955" s="95">
        <v>0</v>
      </c>
      <c r="P955" s="95">
        <v>73.090599999999995</v>
      </c>
      <c r="Q955" s="95">
        <v>0</v>
      </c>
      <c r="R955" s="95">
        <v>38.4054</v>
      </c>
      <c r="S955" s="95">
        <v>0</v>
      </c>
      <c r="T955" s="95">
        <v>0</v>
      </c>
      <c r="U955" s="95">
        <v>0</v>
      </c>
      <c r="V955" s="95">
        <v>0</v>
      </c>
      <c r="W955" s="95">
        <v>0</v>
      </c>
      <c r="X955" s="95">
        <v>0</v>
      </c>
      <c r="Y955" s="95">
        <v>0</v>
      </c>
      <c r="Z955" s="95"/>
      <c r="AA955" s="8"/>
      <c r="AB955" s="8"/>
      <c r="AC955" s="8"/>
      <c r="AD955" s="8"/>
      <c r="AE955" s="11"/>
      <c r="AF955" s="42"/>
      <c r="AG955" t="str">
        <f>VLOOKUP(OfficeForms.Table[[#This Row],[Nama Proyek]],'Nama Proyek'!$D$2:$G$29,4,0)</f>
        <v>-1.10415341,116.73424356</v>
      </c>
      <c r="AH955" s="5"/>
      <c r="AI955" s="5"/>
      <c r="AJ955" s="5"/>
      <c r="AK955" s="5" t="s">
        <v>2140</v>
      </c>
    </row>
    <row r="956" spans="1:37" ht="15" hidden="1" customHeight="1">
      <c r="A956">
        <v>1072</v>
      </c>
      <c r="B956" s="111">
        <v>45225</v>
      </c>
      <c r="C956" s="29">
        <f>B956</f>
        <v>45225</v>
      </c>
      <c r="D956" s="8" t="s">
        <v>37</v>
      </c>
      <c r="E956" s="8" t="s">
        <v>109</v>
      </c>
      <c r="F956" s="5" t="str">
        <f>E956</f>
        <v>Muhamad Saifudin Ashari</v>
      </c>
      <c r="G956" s="17" t="s">
        <v>39</v>
      </c>
      <c r="H956" s="102">
        <v>45225</v>
      </c>
      <c r="I956" s="95">
        <v>99.870999999999995</v>
      </c>
      <c r="J956" s="95">
        <v>98.296999999999997</v>
      </c>
      <c r="K956" s="95">
        <v>100</v>
      </c>
      <c r="L956" s="95">
        <v>100</v>
      </c>
      <c r="M956" s="95">
        <v>99.39</v>
      </c>
      <c r="N956" s="95">
        <v>99.37</v>
      </c>
      <c r="O956" s="95">
        <v>89.86</v>
      </c>
      <c r="P956" s="95">
        <v>95.51</v>
      </c>
      <c r="Q956" s="95">
        <v>95.51</v>
      </c>
      <c r="R956" s="95">
        <v>98.93</v>
      </c>
      <c r="S956" s="95">
        <v>99.19</v>
      </c>
      <c r="T956" s="95">
        <v>99.73</v>
      </c>
      <c r="U956" s="95">
        <v>88.08</v>
      </c>
      <c r="V956" s="95">
        <v>78.72</v>
      </c>
      <c r="W956" s="95">
        <v>97.24</v>
      </c>
      <c r="X956" s="95">
        <v>49.34</v>
      </c>
      <c r="Y956" s="95">
        <v>87.06</v>
      </c>
      <c r="Z956" s="95"/>
      <c r="AA956" s="8"/>
      <c r="AB956" s="8"/>
      <c r="AC956" s="15"/>
      <c r="AD956" s="15"/>
      <c r="AE956" s="16"/>
      <c r="AF956" s="19"/>
      <c r="AG956" t="str">
        <f>VLOOKUP(OfficeForms.Table[[#This Row],[Nama Proyek]],'Nama Proyek'!$D$2:$G$29,4,0)</f>
        <v>-6.80675464,106.785366</v>
      </c>
      <c r="AH956" s="5"/>
      <c r="AI956" s="5"/>
      <c r="AJ956" s="5"/>
      <c r="AK956" s="5" t="s">
        <v>2141</v>
      </c>
    </row>
    <row r="957" spans="1:37" ht="15" hidden="1" customHeight="1">
      <c r="A957" s="30">
        <v>565</v>
      </c>
      <c r="B957" s="110">
        <v>45225</v>
      </c>
      <c r="C957" s="28">
        <f>B957</f>
        <v>45225</v>
      </c>
      <c r="D957" s="8" t="s">
        <v>37</v>
      </c>
      <c r="E957" s="8" t="s">
        <v>57</v>
      </c>
      <c r="F957" s="5" t="str">
        <f>E957</f>
        <v>Alfian Budi Prasetya</v>
      </c>
      <c r="G957" s="35" t="s">
        <v>1484</v>
      </c>
      <c r="H957" s="105"/>
      <c r="I957" s="95">
        <v>0</v>
      </c>
      <c r="J957" s="95">
        <v>0</v>
      </c>
      <c r="K957" s="95">
        <v>0</v>
      </c>
      <c r="L957" s="95">
        <v>0</v>
      </c>
      <c r="M957" s="95">
        <v>0</v>
      </c>
      <c r="N957" s="95">
        <v>0</v>
      </c>
      <c r="O957" s="95">
        <v>0</v>
      </c>
      <c r="P957" s="95">
        <v>0</v>
      </c>
      <c r="Q957" s="95">
        <v>0</v>
      </c>
      <c r="R957" s="95">
        <v>0</v>
      </c>
      <c r="S957" s="95">
        <v>0</v>
      </c>
      <c r="T957" s="95">
        <v>0</v>
      </c>
      <c r="U957" s="95">
        <v>0</v>
      </c>
      <c r="V957" s="95">
        <v>0</v>
      </c>
      <c r="W957" s="95">
        <v>0</v>
      </c>
      <c r="X957" s="95">
        <v>0</v>
      </c>
      <c r="Y957" s="95">
        <v>0</v>
      </c>
      <c r="Z957" s="95"/>
      <c r="AA957" s="8"/>
      <c r="AB957" s="8"/>
      <c r="AC957" s="8"/>
      <c r="AD957" s="8"/>
      <c r="AE957" s="11"/>
      <c r="AF957" s="17" t="s">
        <v>2142</v>
      </c>
      <c r="AG957" t="str">
        <f>VLOOKUP(OfficeForms.Table[[#This Row],[Nama Proyek]],'Nama Proyek'!$D$2:$G$29,4,0)</f>
        <v>-8.01003300,110.33312900</v>
      </c>
      <c r="AH957" s="5"/>
      <c r="AI957" s="5"/>
      <c r="AJ957" s="5"/>
      <c r="AK957" s="5" t="s">
        <v>2143</v>
      </c>
    </row>
    <row r="958" spans="1:37" ht="15" hidden="1" customHeight="1">
      <c r="A958">
        <v>697</v>
      </c>
      <c r="B958" s="110">
        <v>45225</v>
      </c>
      <c r="C958" s="28">
        <f>B958</f>
        <v>45225</v>
      </c>
      <c r="D958" s="19" t="s">
        <v>37</v>
      </c>
      <c r="E958" s="19" t="s">
        <v>109</v>
      </c>
      <c r="F958" s="5" t="str">
        <f>E958</f>
        <v>Muhamad Saifudin Ashari</v>
      </c>
      <c r="G958" s="19" t="s">
        <v>39</v>
      </c>
      <c r="H958" s="101"/>
      <c r="I958" s="96">
        <v>0</v>
      </c>
      <c r="J958" s="96">
        <v>0</v>
      </c>
      <c r="K958" s="96">
        <v>0</v>
      </c>
      <c r="L958" s="96">
        <v>0</v>
      </c>
      <c r="M958" s="96">
        <v>0</v>
      </c>
      <c r="N958" s="96">
        <v>0</v>
      </c>
      <c r="O958" s="96">
        <v>0</v>
      </c>
      <c r="P958" s="96">
        <v>0</v>
      </c>
      <c r="Q958" s="96">
        <v>0</v>
      </c>
      <c r="R958" s="96">
        <v>0</v>
      </c>
      <c r="S958" s="96">
        <v>0</v>
      </c>
      <c r="T958" s="96">
        <v>0</v>
      </c>
      <c r="U958" s="96">
        <v>0</v>
      </c>
      <c r="V958" s="96">
        <v>0</v>
      </c>
      <c r="W958" s="96">
        <v>0</v>
      </c>
      <c r="X958" s="96">
        <v>0</v>
      </c>
      <c r="Y958" s="96">
        <v>0</v>
      </c>
      <c r="Z958" s="96"/>
      <c r="AA958" s="19"/>
      <c r="AB958" s="19"/>
      <c r="AC958" s="19"/>
      <c r="AD958" s="19"/>
      <c r="AE958" s="24" t="s">
        <v>2144</v>
      </c>
      <c r="AF958" s="9"/>
      <c r="AG958" t="str">
        <f>VLOOKUP(OfficeForms.Table[[#This Row],[Nama Proyek]],'Nama Proyek'!$D$2:$G$29,4,0)</f>
        <v>-6.80675464,106.785366</v>
      </c>
      <c r="AH958" s="5"/>
      <c r="AI958" s="5"/>
      <c r="AJ958" s="5"/>
      <c r="AK958" s="5" t="s">
        <v>2145</v>
      </c>
    </row>
    <row r="959" spans="1:37" ht="15" hidden="1" customHeight="1">
      <c r="A959" s="50">
        <v>856</v>
      </c>
      <c r="B959" s="111">
        <v>45225</v>
      </c>
      <c r="C959" s="29">
        <f>B959</f>
        <v>45225</v>
      </c>
      <c r="D959" s="9" t="s">
        <v>37</v>
      </c>
      <c r="E959" s="9" t="s">
        <v>1109</v>
      </c>
      <c r="F959" s="5" t="str">
        <f>E959</f>
        <v>Anzalar Rahman</v>
      </c>
      <c r="G959" s="36" t="s">
        <v>714</v>
      </c>
      <c r="H959" s="103"/>
      <c r="I959" s="94">
        <v>0</v>
      </c>
      <c r="J959" s="94">
        <v>0</v>
      </c>
      <c r="K959" s="94">
        <v>0</v>
      </c>
      <c r="L959" s="94">
        <v>0</v>
      </c>
      <c r="M959" s="94">
        <v>0</v>
      </c>
      <c r="N959" s="94">
        <v>0</v>
      </c>
      <c r="O959" s="94">
        <v>0</v>
      </c>
      <c r="P959" s="94">
        <v>0</v>
      </c>
      <c r="Q959" s="94">
        <v>0</v>
      </c>
      <c r="R959" s="94">
        <v>0</v>
      </c>
      <c r="S959" s="94">
        <v>0</v>
      </c>
      <c r="T959" s="94">
        <v>0</v>
      </c>
      <c r="U959" s="94">
        <v>0</v>
      </c>
      <c r="V959" s="94">
        <v>0</v>
      </c>
      <c r="W959" s="94">
        <v>0</v>
      </c>
      <c r="X959" s="94">
        <v>0</v>
      </c>
      <c r="Y959" s="94">
        <v>0</v>
      </c>
      <c r="Z959" s="94"/>
      <c r="AA959" s="9" t="s">
        <v>2146</v>
      </c>
      <c r="AB959" s="9" t="s">
        <v>2147</v>
      </c>
      <c r="AC959" s="9" t="s">
        <v>2148</v>
      </c>
      <c r="AD959" s="9" t="s">
        <v>2149</v>
      </c>
      <c r="AE959" s="12"/>
      <c r="AF959" s="41" t="s">
        <v>2150</v>
      </c>
      <c r="AG959" t="str">
        <f>VLOOKUP(OfficeForms.Table[[#This Row],[Nama Proyek]],'Nama Proyek'!$D$2:$G$29,4,0)</f>
        <v>-0.95259625,116.71704453</v>
      </c>
      <c r="AH959" s="5"/>
      <c r="AI959" s="5"/>
      <c r="AJ959" s="5"/>
      <c r="AK959" s="5" t="s">
        <v>2151</v>
      </c>
    </row>
    <row r="960" spans="1:37" ht="15" hidden="1" customHeight="1">
      <c r="A960" s="31">
        <v>1008</v>
      </c>
      <c r="B960" s="111">
        <v>45225</v>
      </c>
      <c r="C960" s="29">
        <f>B960</f>
        <v>45225</v>
      </c>
      <c r="D960" s="8" t="s">
        <v>37</v>
      </c>
      <c r="E960" s="8" t="s">
        <v>57</v>
      </c>
      <c r="F960" s="5" t="str">
        <f>E960</f>
        <v>Alfian Budi Prasetya</v>
      </c>
      <c r="G960" s="33" t="s">
        <v>1484</v>
      </c>
      <c r="H960" s="105"/>
      <c r="I960" s="95">
        <v>0</v>
      </c>
      <c r="J960" s="95">
        <v>0</v>
      </c>
      <c r="K960" s="95">
        <v>0</v>
      </c>
      <c r="L960" s="95">
        <v>0</v>
      </c>
      <c r="M960" s="95">
        <v>0</v>
      </c>
      <c r="N960" s="95">
        <v>0</v>
      </c>
      <c r="O960" s="95">
        <v>0</v>
      </c>
      <c r="P960" s="95">
        <v>0</v>
      </c>
      <c r="Q960" s="95">
        <v>0</v>
      </c>
      <c r="R960" s="95">
        <v>0</v>
      </c>
      <c r="S960" s="95">
        <v>0</v>
      </c>
      <c r="T960" s="95">
        <v>0</v>
      </c>
      <c r="U960" s="95">
        <v>0</v>
      </c>
      <c r="V960" s="95">
        <v>0</v>
      </c>
      <c r="W960" s="95">
        <v>0</v>
      </c>
      <c r="X960" s="95">
        <v>0</v>
      </c>
      <c r="Y960" s="95">
        <v>0</v>
      </c>
      <c r="Z960" s="95"/>
      <c r="AA960" s="8"/>
      <c r="AB960" s="15"/>
      <c r="AC960" s="15"/>
      <c r="AD960" s="15"/>
      <c r="AE960" s="11" t="s">
        <v>2082</v>
      </c>
      <c r="AF960" s="42"/>
      <c r="AG960" t="str">
        <f>VLOOKUP(OfficeForms.Table[[#This Row],[Nama Proyek]],'Nama Proyek'!$D$2:$G$29,4,0)</f>
        <v>-8.01003300,110.33312900</v>
      </c>
      <c r="AH960" s="5"/>
      <c r="AI960" s="5"/>
      <c r="AJ960" s="5"/>
      <c r="AK960" s="5" t="s">
        <v>2152</v>
      </c>
    </row>
    <row r="961" spans="1:37" ht="15" hidden="1" customHeight="1">
      <c r="A961" s="30">
        <v>1009</v>
      </c>
      <c r="B961" s="110">
        <v>45225</v>
      </c>
      <c r="C961" s="28">
        <f>B961</f>
        <v>45225</v>
      </c>
      <c r="D961" s="19" t="s">
        <v>37</v>
      </c>
      <c r="E961" s="19" t="s">
        <v>57</v>
      </c>
      <c r="F961" s="5" t="str">
        <f>E961</f>
        <v>Alfian Budi Prasetya</v>
      </c>
      <c r="G961" s="35" t="s">
        <v>1484</v>
      </c>
      <c r="H961" s="101"/>
      <c r="I961" s="96">
        <v>0</v>
      </c>
      <c r="J961" s="96">
        <v>0</v>
      </c>
      <c r="K961" s="96">
        <v>0</v>
      </c>
      <c r="L961" s="96">
        <v>0</v>
      </c>
      <c r="M961" s="96">
        <v>0</v>
      </c>
      <c r="N961" s="96">
        <v>0</v>
      </c>
      <c r="O961" s="96">
        <v>0</v>
      </c>
      <c r="P961" s="96">
        <v>0</v>
      </c>
      <c r="Q961" s="96">
        <v>0</v>
      </c>
      <c r="R961" s="96">
        <v>0</v>
      </c>
      <c r="S961" s="96">
        <v>0</v>
      </c>
      <c r="T961" s="96">
        <v>0</v>
      </c>
      <c r="U961" s="96">
        <v>0</v>
      </c>
      <c r="V961" s="96">
        <v>0</v>
      </c>
      <c r="W961" s="96">
        <v>0</v>
      </c>
      <c r="X961" s="96">
        <v>0</v>
      </c>
      <c r="Y961" s="96">
        <v>0</v>
      </c>
      <c r="Z961" s="96"/>
      <c r="AA961" s="19" t="s">
        <v>2153</v>
      </c>
      <c r="AB961" s="19" t="s">
        <v>2154</v>
      </c>
      <c r="AC961" s="19"/>
      <c r="AD961" s="19"/>
      <c r="AE961" s="24"/>
      <c r="AF961" s="8"/>
      <c r="AG961" t="str">
        <f>VLOOKUP(OfficeForms.Table[[#This Row],[Nama Proyek]],'Nama Proyek'!$D$2:$G$29,4,0)</f>
        <v>-8.01003300,110.33312900</v>
      </c>
      <c r="AH961" s="5"/>
      <c r="AI961" s="5"/>
      <c r="AJ961" s="5"/>
      <c r="AK961" s="5" t="s">
        <v>2155</v>
      </c>
    </row>
    <row r="962" spans="1:37" ht="15" hidden="1" customHeight="1">
      <c r="A962" s="30">
        <v>1012</v>
      </c>
      <c r="B962" s="111">
        <v>45225</v>
      </c>
      <c r="C962" s="29">
        <f>B962</f>
        <v>45225</v>
      </c>
      <c r="D962" s="8" t="s">
        <v>37</v>
      </c>
      <c r="E962" s="8" t="s">
        <v>2139</v>
      </c>
      <c r="F962" s="5" t="str">
        <f>E962</f>
        <v>Rahmadika</v>
      </c>
      <c r="G962" s="22" t="s">
        <v>750</v>
      </c>
      <c r="H962" s="105"/>
      <c r="I962" s="95">
        <v>0</v>
      </c>
      <c r="J962" s="95">
        <v>0</v>
      </c>
      <c r="K962" s="95">
        <v>0</v>
      </c>
      <c r="L962" s="95">
        <v>0</v>
      </c>
      <c r="M962" s="95">
        <v>0</v>
      </c>
      <c r="N962" s="95">
        <v>0</v>
      </c>
      <c r="O962" s="95">
        <v>0</v>
      </c>
      <c r="P962" s="95">
        <v>0</v>
      </c>
      <c r="Q962" s="95">
        <v>0</v>
      </c>
      <c r="R962" s="95">
        <v>0</v>
      </c>
      <c r="S962" s="95">
        <v>0</v>
      </c>
      <c r="T962" s="95">
        <v>0</v>
      </c>
      <c r="U962" s="95">
        <v>0</v>
      </c>
      <c r="V962" s="95">
        <v>0</v>
      </c>
      <c r="W962" s="95">
        <v>0</v>
      </c>
      <c r="X962" s="95">
        <v>0</v>
      </c>
      <c r="Y962" s="95">
        <v>0</v>
      </c>
      <c r="Z962" s="95"/>
      <c r="AA962" s="8"/>
      <c r="AB962" s="8"/>
      <c r="AC962" s="8"/>
      <c r="AD962" s="8"/>
      <c r="AE962" s="11" t="s">
        <v>1312</v>
      </c>
      <c r="AF962" s="42"/>
      <c r="AG962" t="str">
        <f>VLOOKUP(OfficeForms.Table[[#This Row],[Nama Proyek]],'Nama Proyek'!$D$2:$G$29,4,0)</f>
        <v>-1.10415341,116.73424356</v>
      </c>
      <c r="AH962" s="5"/>
      <c r="AI962" s="5"/>
      <c r="AJ962" s="5"/>
      <c r="AK962" s="5" t="s">
        <v>2156</v>
      </c>
    </row>
    <row r="963" spans="1:37" ht="15" hidden="1" customHeight="1">
      <c r="A963">
        <v>1013</v>
      </c>
      <c r="B963" s="110">
        <v>45225</v>
      </c>
      <c r="C963" s="28">
        <f>B963</f>
        <v>45225</v>
      </c>
      <c r="D963" s="19" t="s">
        <v>37</v>
      </c>
      <c r="E963" s="19" t="s">
        <v>2139</v>
      </c>
      <c r="F963" s="5" t="str">
        <f>E963</f>
        <v>Rahmadika</v>
      </c>
      <c r="G963" s="23" t="s">
        <v>750</v>
      </c>
      <c r="H963" s="101"/>
      <c r="I963" s="96">
        <v>0</v>
      </c>
      <c r="J963" s="96">
        <v>0</v>
      </c>
      <c r="K963" s="96">
        <v>0</v>
      </c>
      <c r="L963" s="96">
        <v>0</v>
      </c>
      <c r="M963" s="96">
        <v>0</v>
      </c>
      <c r="N963" s="96">
        <v>0</v>
      </c>
      <c r="O963" s="96">
        <v>0</v>
      </c>
      <c r="P963" s="96">
        <v>0</v>
      </c>
      <c r="Q963" s="96">
        <v>0</v>
      </c>
      <c r="R963" s="96">
        <v>0</v>
      </c>
      <c r="S963" s="96">
        <v>0</v>
      </c>
      <c r="T963" s="96">
        <v>0</v>
      </c>
      <c r="U963" s="96">
        <v>0</v>
      </c>
      <c r="V963" s="96">
        <v>0</v>
      </c>
      <c r="W963" s="96">
        <v>0</v>
      </c>
      <c r="X963" s="96">
        <v>0</v>
      </c>
      <c r="Y963" s="96">
        <v>0</v>
      </c>
      <c r="Z963" s="96"/>
      <c r="AA963" s="19" t="s">
        <v>2157</v>
      </c>
      <c r="AB963" s="19"/>
      <c r="AC963" s="19" t="s">
        <v>2158</v>
      </c>
      <c r="AD963" s="19" t="s">
        <v>2158</v>
      </c>
      <c r="AE963" s="24"/>
      <c r="AF963" s="8"/>
      <c r="AG963" t="str">
        <f>VLOOKUP(OfficeForms.Table[[#This Row],[Nama Proyek]],'Nama Proyek'!$D$2:$G$29,4,0)</f>
        <v>-1.10415341,116.73424356</v>
      </c>
      <c r="AH963" s="5"/>
      <c r="AI963" s="5"/>
      <c r="AJ963" s="5"/>
      <c r="AK963" s="5" t="s">
        <v>2159</v>
      </c>
    </row>
    <row r="964" spans="1:37" ht="15" hidden="1" customHeight="1">
      <c r="A964">
        <v>1016</v>
      </c>
      <c r="B964" s="111">
        <v>45227</v>
      </c>
      <c r="C964" s="29">
        <f>B964</f>
        <v>45227</v>
      </c>
      <c r="D964" s="8" t="s">
        <v>37</v>
      </c>
      <c r="E964" s="8" t="s">
        <v>47</v>
      </c>
      <c r="F964" s="5" t="str">
        <f>E964</f>
        <v>Basuki Rahmat Hakim</v>
      </c>
      <c r="G964" s="60" t="s">
        <v>48</v>
      </c>
      <c r="H964" s="105">
        <v>45224</v>
      </c>
      <c r="I964" s="95">
        <v>91.9</v>
      </c>
      <c r="J964" s="95">
        <v>96</v>
      </c>
      <c r="K964" s="95">
        <v>0.13500000000000001</v>
      </c>
      <c r="L964" s="95">
        <v>88.412999999999997</v>
      </c>
      <c r="M964" s="95">
        <v>0</v>
      </c>
      <c r="N964" s="95">
        <v>0</v>
      </c>
      <c r="O964" s="95">
        <v>0</v>
      </c>
      <c r="P964" s="95">
        <v>0</v>
      </c>
      <c r="Q964" s="95">
        <v>0</v>
      </c>
      <c r="R964" s="95">
        <v>0.34499999999999997</v>
      </c>
      <c r="S964" s="95">
        <v>0</v>
      </c>
      <c r="T964" s="95">
        <v>0</v>
      </c>
      <c r="U964" s="95">
        <v>0</v>
      </c>
      <c r="V964" s="95">
        <v>0</v>
      </c>
      <c r="W964" s="95">
        <v>0</v>
      </c>
      <c r="X964" s="95">
        <v>0</v>
      </c>
      <c r="Y964" s="95">
        <v>0</v>
      </c>
      <c r="Z964" s="95"/>
      <c r="AA964" s="8"/>
      <c r="AB964" s="8"/>
      <c r="AC964" s="8"/>
      <c r="AD964" s="8"/>
      <c r="AE964" s="11"/>
      <c r="AF964" s="19"/>
      <c r="AG964" t="str">
        <f>VLOOKUP(OfficeForms.Table[[#This Row],[Nama Proyek]],'Nama Proyek'!$D$2:$G$29,4,0)</f>
        <v>3.76047575,115.89977678</v>
      </c>
      <c r="AH964" s="5"/>
      <c r="AI964" s="5"/>
      <c r="AJ964" s="5"/>
      <c r="AK964" s="5" t="s">
        <v>2160</v>
      </c>
    </row>
    <row r="965" spans="1:37" ht="15" hidden="1" customHeight="1">
      <c r="A965" s="31">
        <v>1005</v>
      </c>
      <c r="B965" s="110">
        <v>45227</v>
      </c>
      <c r="C965" s="28">
        <f>B965</f>
        <v>45227</v>
      </c>
      <c r="D965" s="19" t="s">
        <v>37</v>
      </c>
      <c r="E965" s="19" t="s">
        <v>47</v>
      </c>
      <c r="F965" s="5" t="str">
        <f>E965</f>
        <v>Basuki Rahmat Hakim</v>
      </c>
      <c r="G965" s="60" t="s">
        <v>48</v>
      </c>
      <c r="H965" s="101"/>
      <c r="I965" s="96">
        <v>0</v>
      </c>
      <c r="J965" s="96">
        <v>0</v>
      </c>
      <c r="K965" s="96">
        <v>0</v>
      </c>
      <c r="L965" s="96">
        <v>0</v>
      </c>
      <c r="M965" s="96">
        <v>0</v>
      </c>
      <c r="N965" s="96">
        <v>0</v>
      </c>
      <c r="O965" s="96">
        <v>0</v>
      </c>
      <c r="P965" s="96">
        <v>0</v>
      </c>
      <c r="Q965" s="96">
        <v>0</v>
      </c>
      <c r="R965" s="96">
        <v>0</v>
      </c>
      <c r="S965" s="96">
        <v>0</v>
      </c>
      <c r="T965" s="96">
        <v>0</v>
      </c>
      <c r="U965" s="96">
        <v>0</v>
      </c>
      <c r="V965" s="96">
        <v>0</v>
      </c>
      <c r="W965" s="96">
        <v>0</v>
      </c>
      <c r="X965" s="96">
        <v>0</v>
      </c>
      <c r="Y965" s="96">
        <v>0</v>
      </c>
      <c r="Z965" s="96"/>
      <c r="AA965" s="19" t="s">
        <v>2161</v>
      </c>
      <c r="AB965" s="19" t="s">
        <v>2162</v>
      </c>
      <c r="AC965" s="19" t="s">
        <v>2163</v>
      </c>
      <c r="AD965" s="19"/>
      <c r="AE965" s="13"/>
      <c r="AF965" s="8"/>
      <c r="AG965" t="str">
        <f>VLOOKUP(OfficeForms.Table[[#This Row],[Nama Proyek]],'Nama Proyek'!$D$2:$G$29,4,0)</f>
        <v>3.76047575,115.89977678</v>
      </c>
      <c r="AH965" s="5"/>
      <c r="AI965" s="5"/>
      <c r="AJ965" s="5"/>
      <c r="AK965" s="5" t="s">
        <v>2164</v>
      </c>
    </row>
    <row r="966" spans="1:37" ht="15" hidden="1" customHeight="1">
      <c r="A966" s="30">
        <v>1015</v>
      </c>
      <c r="B966" s="110">
        <v>45227</v>
      </c>
      <c r="C966" s="28">
        <f>B966</f>
        <v>45227</v>
      </c>
      <c r="D966" s="19" t="s">
        <v>37</v>
      </c>
      <c r="E966" s="19" t="s">
        <v>47</v>
      </c>
      <c r="F966" s="5" t="str">
        <f>E966</f>
        <v>Basuki Rahmat Hakim</v>
      </c>
      <c r="G966" s="59" t="s">
        <v>48</v>
      </c>
      <c r="H966" s="106"/>
      <c r="I966" s="96">
        <v>0</v>
      </c>
      <c r="J966" s="96">
        <v>0</v>
      </c>
      <c r="K966" s="96">
        <v>0</v>
      </c>
      <c r="L966" s="96">
        <v>0</v>
      </c>
      <c r="M966" s="96">
        <v>0</v>
      </c>
      <c r="N966" s="96">
        <v>0</v>
      </c>
      <c r="O966" s="96">
        <v>0</v>
      </c>
      <c r="P966" s="96">
        <v>0</v>
      </c>
      <c r="Q966" s="96">
        <v>0</v>
      </c>
      <c r="R966" s="96">
        <v>0</v>
      </c>
      <c r="S966" s="96">
        <v>0</v>
      </c>
      <c r="T966" s="96">
        <v>0</v>
      </c>
      <c r="U966" s="96">
        <v>0</v>
      </c>
      <c r="V966" s="96">
        <v>0</v>
      </c>
      <c r="W966" s="96">
        <v>0</v>
      </c>
      <c r="X966" s="96">
        <v>0</v>
      </c>
      <c r="Y966" s="96">
        <v>0</v>
      </c>
      <c r="Z966" s="96"/>
      <c r="AA966" s="19"/>
      <c r="AB966" s="19"/>
      <c r="AC966" s="19"/>
      <c r="AD966" s="19"/>
      <c r="AE966" s="13">
        <v>44967</v>
      </c>
      <c r="AF966" s="8"/>
      <c r="AG966" t="str">
        <f>VLOOKUP(OfficeForms.Table[[#This Row],[Nama Proyek]],'Nama Proyek'!$D$2:$G$29,4,0)</f>
        <v>3.76047575,115.89977678</v>
      </c>
      <c r="AH966" s="5"/>
      <c r="AI966" s="5"/>
      <c r="AJ966" s="5"/>
      <c r="AK966" s="5" t="s">
        <v>2165</v>
      </c>
    </row>
    <row r="967" spans="1:37" ht="15" hidden="1" customHeight="1">
      <c r="A967" s="31">
        <v>334</v>
      </c>
      <c r="B967" s="111">
        <v>45229</v>
      </c>
      <c r="C967" s="29">
        <f>B967</f>
        <v>45229</v>
      </c>
      <c r="D967" s="9" t="s">
        <v>37</v>
      </c>
      <c r="E967" s="9" t="s">
        <v>54</v>
      </c>
      <c r="F967" s="5" t="str">
        <f>E967</f>
        <v>Haryo Widiandoko</v>
      </c>
      <c r="G967" s="17" t="s">
        <v>55</v>
      </c>
      <c r="H967" s="103">
        <v>45227</v>
      </c>
      <c r="I967" s="94">
        <v>88.614999999999995</v>
      </c>
      <c r="J967" s="94">
        <v>91.872</v>
      </c>
      <c r="K967" s="94">
        <v>0.34</v>
      </c>
      <c r="L967" s="94">
        <v>0.254</v>
      </c>
      <c r="M967" s="94">
        <v>32.034999999999997</v>
      </c>
      <c r="N967" s="94">
        <v>2.2090000000000001</v>
      </c>
      <c r="O967" s="94">
        <v>2.8929999999999998</v>
      </c>
      <c r="P967" s="94">
        <v>5.2999999999999999E-2</v>
      </c>
      <c r="Q967" s="94">
        <v>0.67500000000000004</v>
      </c>
      <c r="R967" s="94">
        <v>12.159000000000001</v>
      </c>
      <c r="S967" s="94">
        <v>33.56</v>
      </c>
      <c r="T967" s="94">
        <v>0.83099999999999996</v>
      </c>
      <c r="U967" s="94">
        <v>2.0819999999999999</v>
      </c>
      <c r="V967" s="94">
        <v>0.19600000000000001</v>
      </c>
      <c r="W967" s="94">
        <v>0.316</v>
      </c>
      <c r="X967" s="94">
        <v>0.90200000000000002</v>
      </c>
      <c r="Y967" s="94">
        <v>0</v>
      </c>
      <c r="Z967" s="94"/>
      <c r="AA967" s="9"/>
      <c r="AB967" s="9"/>
      <c r="AC967" s="9"/>
      <c r="AD967" s="9"/>
      <c r="AE967" s="12"/>
      <c r="AF967" s="42"/>
      <c r="AG967" t="str">
        <f>VLOOKUP(OfficeForms.Table[[#This Row],[Nama Proyek]],'Nama Proyek'!$D$2:$G$29,4,0)</f>
        <v>-6.42873464,107.19897003</v>
      </c>
      <c r="AH967" s="5"/>
      <c r="AI967" s="5"/>
      <c r="AJ967" s="5"/>
      <c r="AK967" s="5" t="s">
        <v>2166</v>
      </c>
    </row>
    <row r="968" spans="1:37" ht="15" hidden="1" customHeight="1">
      <c r="A968" s="50">
        <v>1025</v>
      </c>
      <c r="B968" s="110">
        <v>45229</v>
      </c>
      <c r="C968" s="28">
        <f>B968</f>
        <v>45229</v>
      </c>
      <c r="D968" s="19" t="s">
        <v>37</v>
      </c>
      <c r="E968" s="19" t="s">
        <v>994</v>
      </c>
      <c r="F968" s="5" t="str">
        <f>E968</f>
        <v>Nenes Anggi Puspadi</v>
      </c>
      <c r="G968" s="39" t="s">
        <v>924</v>
      </c>
      <c r="H968" s="106">
        <v>45228</v>
      </c>
      <c r="I968" s="96">
        <v>87.47</v>
      </c>
      <c r="J968" s="96">
        <v>65.56</v>
      </c>
      <c r="K968" s="96">
        <v>5.05</v>
      </c>
      <c r="L968" s="96">
        <v>33.299999999999997</v>
      </c>
      <c r="M968" s="96">
        <v>0</v>
      </c>
      <c r="N968" s="96">
        <v>12.5</v>
      </c>
      <c r="O968" s="96">
        <v>23.82</v>
      </c>
      <c r="P968" s="96">
        <v>9.2200000000000006</v>
      </c>
      <c r="Q968" s="96">
        <v>0</v>
      </c>
      <c r="R968" s="96">
        <v>0.87</v>
      </c>
      <c r="S968" s="96">
        <v>0</v>
      </c>
      <c r="T968" s="96">
        <v>0</v>
      </c>
      <c r="U968" s="96">
        <v>0</v>
      </c>
      <c r="V968" s="96">
        <v>0</v>
      </c>
      <c r="W968" s="96">
        <v>0</v>
      </c>
      <c r="X968" s="96">
        <v>0</v>
      </c>
      <c r="Y968" s="96">
        <v>0</v>
      </c>
      <c r="Z968" s="96"/>
      <c r="AA968" s="19"/>
      <c r="AB968" s="19"/>
      <c r="AC968" s="19"/>
      <c r="AD968" s="42"/>
      <c r="AE968" s="24"/>
      <c r="AF968" s="41" t="s">
        <v>2167</v>
      </c>
      <c r="AG968" t="str">
        <f>VLOOKUP(OfficeForms.Table[[#This Row],[Nama Proyek]],'Nama Proyek'!$D$2:$G$40,4,0)</f>
        <v>-3.25078511,134.87791156</v>
      </c>
      <c r="AH968" s="5"/>
      <c r="AI968" s="5"/>
      <c r="AJ968" s="5"/>
      <c r="AK968" s="5" t="s">
        <v>2168</v>
      </c>
    </row>
    <row r="969" spans="1:37" ht="15" hidden="1" customHeight="1">
      <c r="A969" s="50">
        <v>1030</v>
      </c>
      <c r="B969" s="111">
        <v>45229</v>
      </c>
      <c r="C969" s="29">
        <f>B969</f>
        <v>45229</v>
      </c>
      <c r="D969" s="8" t="s">
        <v>37</v>
      </c>
      <c r="E969" s="8" t="s">
        <v>2169</v>
      </c>
      <c r="F969" s="5" t="str">
        <f>E969</f>
        <v>Anzalar rahman</v>
      </c>
      <c r="G969" s="33" t="s">
        <v>714</v>
      </c>
      <c r="H969" s="105">
        <v>45229</v>
      </c>
      <c r="I969" s="95">
        <v>68.177999999999997</v>
      </c>
      <c r="J969" s="95">
        <v>67.944999999999993</v>
      </c>
      <c r="K969" s="95">
        <v>7.0000000000000007E-2</v>
      </c>
      <c r="L969" s="95">
        <v>28.436</v>
      </c>
      <c r="M969" s="95">
        <v>0</v>
      </c>
      <c r="N969" s="95">
        <v>0</v>
      </c>
      <c r="O969" s="95">
        <v>0</v>
      </c>
      <c r="P969" s="95">
        <v>2.3530000000000002</v>
      </c>
      <c r="Q969" s="95">
        <v>0</v>
      </c>
      <c r="R969" s="95">
        <v>0</v>
      </c>
      <c r="S969" s="95">
        <v>2.3530000000000002</v>
      </c>
      <c r="T969" s="95">
        <v>0</v>
      </c>
      <c r="U969" s="95">
        <v>0</v>
      </c>
      <c r="V969" s="95">
        <v>0</v>
      </c>
      <c r="W969" s="95">
        <v>0</v>
      </c>
      <c r="X969" s="95">
        <v>0</v>
      </c>
      <c r="Y969" s="95">
        <v>0</v>
      </c>
      <c r="Z969" s="95"/>
      <c r="AA969" s="8"/>
      <c r="AB969" s="8"/>
      <c r="AC969" s="8"/>
      <c r="AD969" s="8"/>
      <c r="AE969" s="11"/>
      <c r="AF969" s="19"/>
      <c r="AG969" t="str">
        <f>VLOOKUP(OfficeForms.Table[[#This Row],[Nama Proyek]],'Nama Proyek'!$D$2:$G$29,4,0)</f>
        <v>-0.95259625,116.71704453</v>
      </c>
      <c r="AH969" s="5"/>
      <c r="AI969" s="5"/>
      <c r="AJ969" s="5"/>
      <c r="AK969" s="5" t="s">
        <v>2170</v>
      </c>
    </row>
    <row r="970" spans="1:37" ht="15" hidden="1" customHeight="1">
      <c r="A970" s="31">
        <v>1018</v>
      </c>
      <c r="B970" s="111">
        <v>45229</v>
      </c>
      <c r="C970" s="29">
        <f>B970</f>
        <v>45229</v>
      </c>
      <c r="D970" s="8" t="s">
        <v>37</v>
      </c>
      <c r="E970" s="8" t="s">
        <v>734</v>
      </c>
      <c r="F970" s="5" t="str">
        <f>E970</f>
        <v>Aldian Winata</v>
      </c>
      <c r="G970" s="8" t="s">
        <v>735</v>
      </c>
      <c r="H970" s="102">
        <v>45230</v>
      </c>
      <c r="I970" s="95">
        <v>47.05</v>
      </c>
      <c r="J970" s="95">
        <v>63.177</v>
      </c>
      <c r="K970" s="95">
        <v>2.2189999999999999</v>
      </c>
      <c r="L970" s="95">
        <v>33.625999999999998</v>
      </c>
      <c r="M970" s="95">
        <v>0</v>
      </c>
      <c r="N970" s="95">
        <v>0.40799999999999997</v>
      </c>
      <c r="O970" s="95">
        <v>1.5189999999999999</v>
      </c>
      <c r="P970" s="95">
        <v>0.317</v>
      </c>
      <c r="Q970" s="95">
        <v>0</v>
      </c>
      <c r="R970" s="95">
        <v>0</v>
      </c>
      <c r="S970" s="95">
        <v>0</v>
      </c>
      <c r="T970" s="95">
        <v>0</v>
      </c>
      <c r="U970" s="95">
        <v>0</v>
      </c>
      <c r="V970" s="95">
        <v>0</v>
      </c>
      <c r="W970" s="95">
        <v>0</v>
      </c>
      <c r="X970" s="95">
        <v>0</v>
      </c>
      <c r="Y970" s="95">
        <v>0</v>
      </c>
      <c r="Z970" s="95"/>
      <c r="AA970" s="8"/>
      <c r="AB970" s="8"/>
      <c r="AC970" s="8"/>
      <c r="AD970" s="8"/>
      <c r="AE970" s="11"/>
      <c r="AF970" s="19"/>
      <c r="AG970" t="str">
        <f>VLOOKUP(OfficeForms.Table[[#This Row],[Nama Proyek]],'Nama Proyek'!$D$2:$G$40,4,0)</f>
        <v>-0.88562397,119.85928375</v>
      </c>
      <c r="AH970" s="5"/>
      <c r="AI970" s="5"/>
      <c r="AJ970" s="5"/>
      <c r="AK970" s="5" t="s">
        <v>2171</v>
      </c>
    </row>
    <row r="971" spans="1:37" ht="15" hidden="1" customHeight="1">
      <c r="A971" s="30">
        <v>703</v>
      </c>
      <c r="B971" s="110">
        <v>45229</v>
      </c>
      <c r="C971" s="28">
        <f>B971</f>
        <v>45229</v>
      </c>
      <c r="D971" s="19" t="s">
        <v>37</v>
      </c>
      <c r="E971" s="19" t="s">
        <v>109</v>
      </c>
      <c r="F971" s="5" t="str">
        <f>E971</f>
        <v>Muhamad Saifudin Ashari</v>
      </c>
      <c r="G971" s="19" t="s">
        <v>39</v>
      </c>
      <c r="H971" s="101"/>
      <c r="I971" s="96">
        <v>0</v>
      </c>
      <c r="J971" s="96">
        <v>0</v>
      </c>
      <c r="K971" s="96">
        <v>0</v>
      </c>
      <c r="L971" s="96">
        <v>0</v>
      </c>
      <c r="M971" s="96">
        <v>0</v>
      </c>
      <c r="N971" s="96">
        <v>0</v>
      </c>
      <c r="O971" s="96">
        <v>0</v>
      </c>
      <c r="P971" s="96">
        <v>0</v>
      </c>
      <c r="Q971" s="96">
        <v>0</v>
      </c>
      <c r="R971" s="96">
        <v>0</v>
      </c>
      <c r="S971" s="96">
        <v>0</v>
      </c>
      <c r="T971" s="96">
        <v>0</v>
      </c>
      <c r="U971" s="96">
        <v>0</v>
      </c>
      <c r="V971" s="96">
        <v>0</v>
      </c>
      <c r="W971" s="96">
        <v>0</v>
      </c>
      <c r="X971" s="96">
        <v>0</v>
      </c>
      <c r="Y971" s="96">
        <v>0</v>
      </c>
      <c r="Z971" s="96"/>
      <c r="AA971" s="19" t="s">
        <v>2172</v>
      </c>
      <c r="AB971" s="75" t="s">
        <v>2173</v>
      </c>
      <c r="AC971" s="19" t="s">
        <v>2174</v>
      </c>
      <c r="AD971" s="19" t="s">
        <v>2174</v>
      </c>
      <c r="AE971" s="13"/>
      <c r="AF971" s="8"/>
      <c r="AG971" t="str">
        <f>VLOOKUP(OfficeForms.Table[[#This Row],[Nama Proyek]],'Nama Proyek'!$D$2:$G$29,4,0)</f>
        <v>-6.80675464,106.785366</v>
      </c>
      <c r="AH971" s="5"/>
      <c r="AI971" s="5"/>
      <c r="AJ971" s="5"/>
      <c r="AK971" s="5" t="s">
        <v>2175</v>
      </c>
    </row>
    <row r="972" spans="1:37" ht="15" hidden="1" customHeight="1">
      <c r="A972" s="31">
        <v>725</v>
      </c>
      <c r="B972" s="110">
        <v>45229</v>
      </c>
      <c r="C972" s="28">
        <f>B972</f>
        <v>45229</v>
      </c>
      <c r="D972" s="19" t="s">
        <v>37</v>
      </c>
      <c r="E972" s="19" t="s">
        <v>504</v>
      </c>
      <c r="F972" s="5" t="str">
        <f>E972</f>
        <v>Fathan Zul Waskito</v>
      </c>
      <c r="G972" s="19" t="s">
        <v>472</v>
      </c>
      <c r="H972" s="106"/>
      <c r="I972" s="96">
        <v>0</v>
      </c>
      <c r="J972" s="96">
        <v>0</v>
      </c>
      <c r="K972" s="96">
        <v>0</v>
      </c>
      <c r="L972" s="96">
        <v>0</v>
      </c>
      <c r="M972" s="96">
        <v>0</v>
      </c>
      <c r="N972" s="96">
        <v>0</v>
      </c>
      <c r="O972" s="96">
        <v>0</v>
      </c>
      <c r="P972" s="96">
        <v>0</v>
      </c>
      <c r="Q972" s="96">
        <v>0</v>
      </c>
      <c r="R972" s="96">
        <v>0</v>
      </c>
      <c r="S972" s="96">
        <v>0</v>
      </c>
      <c r="T972" s="96">
        <v>0</v>
      </c>
      <c r="U972" s="96">
        <v>0</v>
      </c>
      <c r="V972" s="96">
        <v>0</v>
      </c>
      <c r="W972" s="96">
        <v>0</v>
      </c>
      <c r="X972" s="96">
        <v>0</v>
      </c>
      <c r="Y972" s="96">
        <v>0</v>
      </c>
      <c r="Z972" s="96"/>
      <c r="AA972" s="19"/>
      <c r="AB972" s="19"/>
      <c r="AC972" s="19"/>
      <c r="AD972" s="19"/>
      <c r="AE972" s="13" t="s">
        <v>2176</v>
      </c>
      <c r="AF972" s="8" t="s">
        <v>2177</v>
      </c>
      <c r="AG972" t="str">
        <f>VLOOKUP(OfficeForms.Table[[#This Row],[Nama Proyek]],'Nama Proyek'!$D$2:$G$29,4,0)</f>
        <v>-8.29394978,112.00545006</v>
      </c>
      <c r="AH972" s="5"/>
      <c r="AI972" s="5"/>
      <c r="AJ972" s="5"/>
      <c r="AK972" s="5" t="s">
        <v>2178</v>
      </c>
    </row>
    <row r="973" spans="1:37" ht="15" hidden="1" customHeight="1">
      <c r="A973">
        <v>735</v>
      </c>
      <c r="B973" s="110">
        <v>45229</v>
      </c>
      <c r="C973" s="28">
        <f>B973</f>
        <v>45229</v>
      </c>
      <c r="D973" s="19" t="s">
        <v>37</v>
      </c>
      <c r="E973" s="19" t="s">
        <v>504</v>
      </c>
      <c r="F973" s="5" t="s">
        <v>504</v>
      </c>
      <c r="G973" s="42" t="s">
        <v>472</v>
      </c>
      <c r="H973" s="106"/>
      <c r="I973" s="96">
        <v>0</v>
      </c>
      <c r="J973" s="96">
        <v>0</v>
      </c>
      <c r="K973" s="96">
        <v>0</v>
      </c>
      <c r="L973" s="96">
        <v>0</v>
      </c>
      <c r="M973" s="96">
        <v>0</v>
      </c>
      <c r="N973" s="96">
        <v>0</v>
      </c>
      <c r="O973" s="96">
        <v>0</v>
      </c>
      <c r="P973" s="96">
        <v>0</v>
      </c>
      <c r="Q973" s="96">
        <v>0</v>
      </c>
      <c r="R973" s="96">
        <v>0</v>
      </c>
      <c r="S973" s="96">
        <v>0</v>
      </c>
      <c r="T973" s="96">
        <v>0</v>
      </c>
      <c r="U973" s="96">
        <v>0</v>
      </c>
      <c r="V973" s="96">
        <v>0</v>
      </c>
      <c r="W973" s="96">
        <v>0</v>
      </c>
      <c r="X973" s="96">
        <v>0</v>
      </c>
      <c r="Y973" s="96">
        <v>0</v>
      </c>
      <c r="Z973" s="96"/>
      <c r="AA973" s="19"/>
      <c r="AB973" s="19"/>
      <c r="AC973" s="19"/>
      <c r="AD973" s="19"/>
      <c r="AE973" s="13" t="s">
        <v>2176</v>
      </c>
      <c r="AF973" s="15"/>
      <c r="AG973" t="str">
        <f>VLOOKUP(OfficeForms.Table[[#This Row],[Nama Proyek]],'Nama Proyek'!$D$2:$G$29,4,0)</f>
        <v>-8.29394978,112.00545006</v>
      </c>
      <c r="AH973" s="5"/>
      <c r="AI973" s="5"/>
      <c r="AJ973" s="5"/>
      <c r="AK973" s="5" t="s">
        <v>2179</v>
      </c>
    </row>
    <row r="974" spans="1:37" ht="15" hidden="1" customHeight="1">
      <c r="A974" s="50">
        <v>736</v>
      </c>
      <c r="B974" s="111">
        <v>45229</v>
      </c>
      <c r="C974" s="29">
        <f>B974</f>
        <v>45229</v>
      </c>
      <c r="D974" s="8" t="s">
        <v>37</v>
      </c>
      <c r="E974" s="8" t="s">
        <v>504</v>
      </c>
      <c r="F974" s="5" t="s">
        <v>504</v>
      </c>
      <c r="G974" s="9" t="s">
        <v>472</v>
      </c>
      <c r="H974" s="105"/>
      <c r="I974" s="95">
        <v>0</v>
      </c>
      <c r="J974" s="95">
        <v>0</v>
      </c>
      <c r="K974" s="95">
        <v>0</v>
      </c>
      <c r="L974" s="95">
        <v>0</v>
      </c>
      <c r="M974" s="95">
        <v>0</v>
      </c>
      <c r="N974" s="95">
        <v>0</v>
      </c>
      <c r="O974" s="95">
        <v>0</v>
      </c>
      <c r="P974" s="95">
        <v>0</v>
      </c>
      <c r="Q974" s="95">
        <v>0</v>
      </c>
      <c r="R974" s="95">
        <v>0</v>
      </c>
      <c r="S974" s="95">
        <v>0</v>
      </c>
      <c r="T974" s="95">
        <v>0</v>
      </c>
      <c r="U974" s="95">
        <v>0</v>
      </c>
      <c r="V974" s="95">
        <v>0</v>
      </c>
      <c r="W974" s="95">
        <v>0</v>
      </c>
      <c r="X974" s="95">
        <v>0</v>
      </c>
      <c r="Y974" s="95">
        <v>0</v>
      </c>
      <c r="Z974" s="95"/>
      <c r="AA974" s="8" t="s">
        <v>2180</v>
      </c>
      <c r="AB974" s="8" t="s">
        <v>1437</v>
      </c>
      <c r="AC974" s="8" t="s">
        <v>674</v>
      </c>
      <c r="AD974" s="8" t="s">
        <v>674</v>
      </c>
      <c r="AE974" s="16"/>
      <c r="AF974" s="43" t="s">
        <v>1573</v>
      </c>
      <c r="AG974" t="str">
        <f>VLOOKUP(OfficeForms.Table[[#This Row],[Nama Proyek]],'Nama Proyek'!$D$2:$G$29,4,0)</f>
        <v>-8.29394978,112.00545006</v>
      </c>
      <c r="AH974" s="5"/>
      <c r="AI974" s="5"/>
      <c r="AJ974" s="5"/>
      <c r="AK974" s="5" t="s">
        <v>2181</v>
      </c>
    </row>
    <row r="975" spans="1:37" ht="15" hidden="1" customHeight="1">
      <c r="A975" s="30">
        <v>1017</v>
      </c>
      <c r="B975" s="110">
        <v>45229</v>
      </c>
      <c r="C975" s="28">
        <f>B975</f>
        <v>45229</v>
      </c>
      <c r="D975" s="19" t="s">
        <v>37</v>
      </c>
      <c r="E975" s="19" t="s">
        <v>734</v>
      </c>
      <c r="F975" s="5" t="str">
        <f>E975</f>
        <v>Aldian Winata</v>
      </c>
      <c r="G975" s="42" t="s">
        <v>735</v>
      </c>
      <c r="H975" s="101"/>
      <c r="I975" s="96">
        <v>0</v>
      </c>
      <c r="J975" s="96">
        <v>0</v>
      </c>
      <c r="K975" s="96">
        <v>0</v>
      </c>
      <c r="L975" s="96">
        <v>0</v>
      </c>
      <c r="M975" s="96">
        <v>0</v>
      </c>
      <c r="N975" s="96">
        <v>0</v>
      </c>
      <c r="O975" s="96">
        <v>0</v>
      </c>
      <c r="P975" s="96">
        <v>0</v>
      </c>
      <c r="Q975" s="96">
        <v>0</v>
      </c>
      <c r="R975" s="96">
        <v>0</v>
      </c>
      <c r="S975" s="96">
        <v>0</v>
      </c>
      <c r="T975" s="96">
        <v>0</v>
      </c>
      <c r="U975" s="96">
        <v>0</v>
      </c>
      <c r="V975" s="96">
        <v>0</v>
      </c>
      <c r="W975" s="96">
        <v>0</v>
      </c>
      <c r="X975" s="96">
        <v>0</v>
      </c>
      <c r="Y975" s="96">
        <v>0</v>
      </c>
      <c r="Z975" s="96"/>
      <c r="AA975" s="19" t="s">
        <v>2182</v>
      </c>
      <c r="AB975" s="19" t="s">
        <v>2183</v>
      </c>
      <c r="AC975" s="19" t="s">
        <v>2184</v>
      </c>
      <c r="AD975" s="19" t="s">
        <v>2185</v>
      </c>
      <c r="AE975" s="13"/>
      <c r="AF975" s="15"/>
      <c r="AG975" t="str">
        <f>VLOOKUP(OfficeForms.Table[[#This Row],[Nama Proyek]],'Nama Proyek'!$D$2:$G$40,4,0)</f>
        <v>-0.88562397,119.85928375</v>
      </c>
      <c r="AH975" s="5"/>
      <c r="AI975" s="5"/>
      <c r="AJ975" s="5"/>
      <c r="AK975" s="5" t="s">
        <v>2186</v>
      </c>
    </row>
    <row r="976" spans="1:37" ht="15" hidden="1" customHeight="1">
      <c r="A976" s="30">
        <v>1020</v>
      </c>
      <c r="B976" s="111">
        <v>45229</v>
      </c>
      <c r="C976" s="29">
        <f>B976</f>
        <v>45229</v>
      </c>
      <c r="D976" s="8" t="s">
        <v>37</v>
      </c>
      <c r="E976" s="8" t="s">
        <v>734</v>
      </c>
      <c r="F976" s="5" t="str">
        <f>E976</f>
        <v>Aldian Winata</v>
      </c>
      <c r="G976" s="8" t="s">
        <v>735</v>
      </c>
      <c r="H976" s="102"/>
      <c r="I976" s="95">
        <v>0</v>
      </c>
      <c r="J976" s="95">
        <v>0</v>
      </c>
      <c r="K976" s="95">
        <v>0</v>
      </c>
      <c r="L976" s="95">
        <v>0</v>
      </c>
      <c r="M976" s="95">
        <v>0</v>
      </c>
      <c r="N976" s="95">
        <v>0</v>
      </c>
      <c r="O976" s="95">
        <v>0</v>
      </c>
      <c r="P976" s="95">
        <v>0</v>
      </c>
      <c r="Q976" s="95">
        <v>0</v>
      </c>
      <c r="R976" s="95">
        <v>0</v>
      </c>
      <c r="S976" s="95">
        <v>0</v>
      </c>
      <c r="T976" s="95">
        <v>0</v>
      </c>
      <c r="U976" s="95">
        <v>0</v>
      </c>
      <c r="V976" s="95">
        <v>0</v>
      </c>
      <c r="W976" s="95">
        <v>0</v>
      </c>
      <c r="X976" s="95">
        <v>0</v>
      </c>
      <c r="Y976" s="95">
        <v>0</v>
      </c>
      <c r="Z976" s="95"/>
      <c r="AA976" s="8"/>
      <c r="AB976" s="8"/>
      <c r="AC976" s="8"/>
      <c r="AD976" s="8"/>
      <c r="AE976" s="16">
        <v>44936</v>
      </c>
      <c r="AF976" s="8" t="s">
        <v>2187</v>
      </c>
      <c r="AG976" t="str">
        <f>VLOOKUP(OfficeForms.Table[[#This Row],[Nama Proyek]],'Nama Proyek'!$D$2:$G$40,4,0)</f>
        <v>-0.88562397,119.85928375</v>
      </c>
      <c r="AH976" s="5"/>
      <c r="AI976" s="5"/>
      <c r="AJ976" s="5"/>
      <c r="AK976" s="5" t="s">
        <v>2188</v>
      </c>
    </row>
    <row r="977" spans="1:37" ht="15" hidden="1" customHeight="1">
      <c r="A977" s="31">
        <v>1023</v>
      </c>
      <c r="B977" s="110">
        <v>45229</v>
      </c>
      <c r="C977" s="28">
        <f>B977</f>
        <v>45229</v>
      </c>
      <c r="D977" s="19" t="s">
        <v>37</v>
      </c>
      <c r="E977" s="19" t="s">
        <v>54</v>
      </c>
      <c r="F977" s="5" t="str">
        <f>E977</f>
        <v>Haryo Widiandoko</v>
      </c>
      <c r="G977" s="19" t="s">
        <v>55</v>
      </c>
      <c r="H977" s="101"/>
      <c r="I977" s="96">
        <v>0</v>
      </c>
      <c r="J977" s="96">
        <v>0</v>
      </c>
      <c r="K977" s="96">
        <v>0</v>
      </c>
      <c r="L977" s="96">
        <v>0</v>
      </c>
      <c r="M977" s="96">
        <v>0</v>
      </c>
      <c r="N977" s="96">
        <v>0</v>
      </c>
      <c r="O977" s="96">
        <v>0</v>
      </c>
      <c r="P977" s="96">
        <v>0</v>
      </c>
      <c r="Q977" s="96">
        <v>0</v>
      </c>
      <c r="R977" s="96">
        <v>0</v>
      </c>
      <c r="S977" s="96">
        <v>0</v>
      </c>
      <c r="T977" s="96">
        <v>0</v>
      </c>
      <c r="U977" s="96">
        <v>0</v>
      </c>
      <c r="V977" s="96">
        <v>0</v>
      </c>
      <c r="W977" s="96">
        <v>0</v>
      </c>
      <c r="X977" s="96">
        <v>0</v>
      </c>
      <c r="Y977" s="96">
        <v>0</v>
      </c>
      <c r="Z977" s="96"/>
      <c r="AA977" s="19"/>
      <c r="AB977" s="19"/>
      <c r="AC977" s="19"/>
      <c r="AD977" s="19"/>
      <c r="AE977" s="13">
        <v>44936</v>
      </c>
      <c r="AF977" s="8" t="s">
        <v>2189</v>
      </c>
      <c r="AG977" t="str">
        <f>VLOOKUP(OfficeForms.Table[[#This Row],[Nama Proyek]],'Nama Proyek'!$D$2:$G$29,4,0)</f>
        <v>-6.42873464,107.19897003</v>
      </c>
      <c r="AH977" s="5"/>
      <c r="AI977" s="5"/>
      <c r="AJ977" s="5"/>
      <c r="AK977" s="5" t="s">
        <v>2190</v>
      </c>
    </row>
    <row r="978" spans="1:37" ht="15" hidden="1" customHeight="1">
      <c r="A978">
        <v>1024</v>
      </c>
      <c r="B978" s="111">
        <v>45229</v>
      </c>
      <c r="C978" s="29">
        <f>B978</f>
        <v>45229</v>
      </c>
      <c r="D978" s="8" t="s">
        <v>37</v>
      </c>
      <c r="E978" s="8" t="s">
        <v>1282</v>
      </c>
      <c r="F978" s="5" t="str">
        <f>E978</f>
        <v>Achmad Rival Setyawan, S.T</v>
      </c>
      <c r="G978" s="10" t="s">
        <v>989</v>
      </c>
      <c r="H978" s="105"/>
      <c r="I978" s="95">
        <v>0</v>
      </c>
      <c r="J978" s="95">
        <v>0</v>
      </c>
      <c r="K978" s="95">
        <v>0</v>
      </c>
      <c r="L978" s="95">
        <v>0</v>
      </c>
      <c r="M978" s="95">
        <v>0</v>
      </c>
      <c r="N978" s="95">
        <v>0</v>
      </c>
      <c r="O978" s="95">
        <v>0</v>
      </c>
      <c r="P978" s="95">
        <v>0</v>
      </c>
      <c r="Q978" s="95">
        <v>0</v>
      </c>
      <c r="R978" s="95">
        <v>0</v>
      </c>
      <c r="S978" s="95">
        <v>0</v>
      </c>
      <c r="T978" s="95">
        <v>0</v>
      </c>
      <c r="U978" s="95">
        <v>0</v>
      </c>
      <c r="V978" s="95">
        <v>0</v>
      </c>
      <c r="W978" s="95">
        <v>0</v>
      </c>
      <c r="X978" s="95">
        <v>0</v>
      </c>
      <c r="Y978" s="95">
        <v>0</v>
      </c>
      <c r="Z978" s="95"/>
      <c r="AA978" s="8"/>
      <c r="AB978" s="8"/>
      <c r="AC978" s="8"/>
      <c r="AD978" s="8"/>
      <c r="AE978" s="11" t="s">
        <v>2176</v>
      </c>
      <c r="AF978" s="19"/>
      <c r="AG978" t="str">
        <f>VLOOKUP(OfficeForms.Table[[#This Row],[Nama Proyek]],'Nama Proyek'!$D$2:$G$29,4,0)</f>
        <v>-1.98399270,103.7135193</v>
      </c>
      <c r="AH978" s="5"/>
      <c r="AI978" s="5"/>
      <c r="AJ978" s="5"/>
      <c r="AK978" s="5" t="s">
        <v>2191</v>
      </c>
    </row>
    <row r="979" spans="1:37" ht="15" hidden="1" customHeight="1">
      <c r="A979">
        <v>1026</v>
      </c>
      <c r="B979" s="111">
        <v>45229</v>
      </c>
      <c r="C979" s="29">
        <f>B979</f>
        <v>45229</v>
      </c>
      <c r="D979" s="8" t="s">
        <v>37</v>
      </c>
      <c r="E979" s="8" t="s">
        <v>994</v>
      </c>
      <c r="F979" s="5" t="str">
        <f>E979</f>
        <v>Nenes Anggi Puspadi</v>
      </c>
      <c r="G979" s="39" t="s">
        <v>924</v>
      </c>
      <c r="H979" s="105"/>
      <c r="I979" s="95">
        <v>0</v>
      </c>
      <c r="J979" s="95">
        <v>0</v>
      </c>
      <c r="K979" s="95">
        <v>0</v>
      </c>
      <c r="L979" s="95">
        <v>0</v>
      </c>
      <c r="M979" s="95">
        <v>0</v>
      </c>
      <c r="N979" s="95">
        <v>0</v>
      </c>
      <c r="O979" s="95">
        <v>0</v>
      </c>
      <c r="P979" s="95">
        <v>0</v>
      </c>
      <c r="Q979" s="95">
        <v>0</v>
      </c>
      <c r="R979" s="95">
        <v>0</v>
      </c>
      <c r="S979" s="95">
        <v>0</v>
      </c>
      <c r="T979" s="95">
        <v>0</v>
      </c>
      <c r="U979" s="95">
        <v>0</v>
      </c>
      <c r="V979" s="95">
        <v>0</v>
      </c>
      <c r="W979" s="95">
        <v>0</v>
      </c>
      <c r="X979" s="95">
        <v>0</v>
      </c>
      <c r="Y979" s="95">
        <v>0</v>
      </c>
      <c r="Z979" s="95"/>
      <c r="AA979" s="8"/>
      <c r="AB979" s="8"/>
      <c r="AC979" s="8"/>
      <c r="AD979" s="8"/>
      <c r="AE979" s="11" t="s">
        <v>2176</v>
      </c>
      <c r="AF979" s="19" t="s">
        <v>2192</v>
      </c>
      <c r="AG979" t="str">
        <f>VLOOKUP(OfficeForms.Table[[#This Row],[Nama Proyek]],'Nama Proyek'!$D$2:$G$40,4,0)</f>
        <v>-3.25078511,134.87791156</v>
      </c>
      <c r="AH979" s="5"/>
      <c r="AI979" s="5"/>
      <c r="AJ979" s="5"/>
      <c r="AK979" s="5" t="s">
        <v>2193</v>
      </c>
    </row>
    <row r="980" spans="1:37" ht="15" hidden="1" customHeight="1">
      <c r="A980" s="30">
        <v>1027</v>
      </c>
      <c r="B980" s="110">
        <v>45229</v>
      </c>
      <c r="C980" s="28">
        <f>B980</f>
        <v>45229</v>
      </c>
      <c r="D980" s="19" t="s">
        <v>37</v>
      </c>
      <c r="E980" s="19" t="s">
        <v>994</v>
      </c>
      <c r="F980" s="5" t="str">
        <f>E980</f>
        <v>Nenes Anggi Puspadi</v>
      </c>
      <c r="G980" s="39" t="s">
        <v>924</v>
      </c>
      <c r="H980" s="106"/>
      <c r="I980" s="96">
        <v>0</v>
      </c>
      <c r="J980" s="96">
        <v>0</v>
      </c>
      <c r="K980" s="96">
        <v>0</v>
      </c>
      <c r="L980" s="96">
        <v>0</v>
      </c>
      <c r="M980" s="96">
        <v>0</v>
      </c>
      <c r="N980" s="96">
        <v>0</v>
      </c>
      <c r="O980" s="96">
        <v>0</v>
      </c>
      <c r="P980" s="96">
        <v>0</v>
      </c>
      <c r="Q980" s="96">
        <v>0</v>
      </c>
      <c r="R980" s="96">
        <v>0</v>
      </c>
      <c r="S980" s="96">
        <v>0</v>
      </c>
      <c r="T980" s="96">
        <v>0</v>
      </c>
      <c r="U980" s="96">
        <v>0</v>
      </c>
      <c r="V980" s="96">
        <v>0</v>
      </c>
      <c r="W980" s="96">
        <v>0</v>
      </c>
      <c r="X980" s="96">
        <v>0</v>
      </c>
      <c r="Y980" s="96">
        <v>0</v>
      </c>
      <c r="Z980" s="96"/>
      <c r="AA980" s="19"/>
      <c r="AB980" s="19"/>
      <c r="AC980" s="19"/>
      <c r="AD980" s="19"/>
      <c r="AE980" s="13" t="s">
        <v>2176</v>
      </c>
      <c r="AF980" s="8"/>
      <c r="AG980" t="str">
        <f>VLOOKUP(OfficeForms.Table[[#This Row],[Nama Proyek]],'Nama Proyek'!$D$2:$G$40,4,0)</f>
        <v>-3.25078511,134.87791156</v>
      </c>
      <c r="AH980" s="5"/>
      <c r="AI980" s="5"/>
      <c r="AJ980" s="5"/>
      <c r="AK980" s="5" t="s">
        <v>2194</v>
      </c>
    </row>
    <row r="981" spans="1:37" ht="15" hidden="1" customHeight="1">
      <c r="A981">
        <v>1028</v>
      </c>
      <c r="B981" s="111">
        <v>45229</v>
      </c>
      <c r="C981" s="29">
        <f>B981</f>
        <v>45229</v>
      </c>
      <c r="D981" s="8" t="s">
        <v>37</v>
      </c>
      <c r="E981" s="8" t="s">
        <v>994</v>
      </c>
      <c r="F981" s="5" t="str">
        <f>E981</f>
        <v>Nenes Anggi Puspadi</v>
      </c>
      <c r="G981" s="39" t="s">
        <v>924</v>
      </c>
      <c r="H981" s="102"/>
      <c r="I981" s="95">
        <v>0</v>
      </c>
      <c r="J981" s="95">
        <v>0</v>
      </c>
      <c r="K981" s="95">
        <v>0</v>
      </c>
      <c r="L981" s="95">
        <v>0</v>
      </c>
      <c r="M981" s="95">
        <v>0</v>
      </c>
      <c r="N981" s="95">
        <v>0</v>
      </c>
      <c r="O981" s="95">
        <v>0</v>
      </c>
      <c r="P981" s="95">
        <v>0</v>
      </c>
      <c r="Q981" s="95">
        <v>0</v>
      </c>
      <c r="R981" s="95">
        <v>0</v>
      </c>
      <c r="S981" s="95">
        <v>0</v>
      </c>
      <c r="T981" s="95">
        <v>0</v>
      </c>
      <c r="U981" s="95">
        <v>0</v>
      </c>
      <c r="V981" s="95">
        <v>0</v>
      </c>
      <c r="W981" s="95">
        <v>0</v>
      </c>
      <c r="X981" s="95">
        <v>0</v>
      </c>
      <c r="Y981" s="95">
        <v>0</v>
      </c>
      <c r="Z981" s="95"/>
      <c r="AA981" s="8" t="s">
        <v>2195</v>
      </c>
      <c r="AB981" s="41" t="s">
        <v>2196</v>
      </c>
      <c r="AC981" s="8"/>
      <c r="AD981" s="8"/>
      <c r="AE981" s="11"/>
      <c r="AF981" s="19"/>
      <c r="AG981" t="str">
        <f>VLOOKUP(OfficeForms.Table[[#This Row],[Nama Proyek]],'Nama Proyek'!$D$2:$G$40,4,0)</f>
        <v>-3.25078511,134.87791156</v>
      </c>
      <c r="AH981" s="5"/>
      <c r="AI981" s="5"/>
      <c r="AJ981" s="5"/>
      <c r="AK981" s="5" t="s">
        <v>2197</v>
      </c>
    </row>
    <row r="982" spans="1:37" ht="15" hidden="1" customHeight="1">
      <c r="A982">
        <v>1041</v>
      </c>
      <c r="B982" s="110">
        <v>45229</v>
      </c>
      <c r="C982" s="28">
        <f>B982</f>
        <v>45229</v>
      </c>
      <c r="D982" s="8" t="s">
        <v>37</v>
      </c>
      <c r="E982" s="8" t="s">
        <v>54</v>
      </c>
      <c r="F982" s="5" t="str">
        <f>E982</f>
        <v>Haryo Widiandoko</v>
      </c>
      <c r="G982" s="19" t="s">
        <v>55</v>
      </c>
      <c r="H982" s="102"/>
      <c r="I982" s="95">
        <v>0</v>
      </c>
      <c r="J982" s="95">
        <v>0</v>
      </c>
      <c r="K982" s="95">
        <v>0</v>
      </c>
      <c r="L982" s="95">
        <v>0</v>
      </c>
      <c r="M982" s="95">
        <v>0</v>
      </c>
      <c r="N982" s="95">
        <v>0</v>
      </c>
      <c r="O982" s="95">
        <v>0</v>
      </c>
      <c r="P982" s="95">
        <v>0</v>
      </c>
      <c r="Q982" s="95">
        <v>0</v>
      </c>
      <c r="R982" s="95">
        <v>0</v>
      </c>
      <c r="S982" s="95">
        <v>0</v>
      </c>
      <c r="T982" s="95">
        <v>0</v>
      </c>
      <c r="U982" s="95">
        <v>0</v>
      </c>
      <c r="V982" s="95">
        <v>0</v>
      </c>
      <c r="W982" s="95">
        <v>0</v>
      </c>
      <c r="X982" s="95">
        <v>0</v>
      </c>
      <c r="Y982" s="95">
        <v>0</v>
      </c>
      <c r="Z982" s="95"/>
      <c r="AA982" s="8"/>
      <c r="AB982" s="8"/>
      <c r="AC982" s="8"/>
      <c r="AD982" s="8"/>
      <c r="AE982" s="11">
        <v>44936</v>
      </c>
      <c r="AF982" s="17" t="s">
        <v>2198</v>
      </c>
      <c r="AG982" t="str">
        <f>VLOOKUP(OfficeForms.Table[[#This Row],[Nama Proyek]],'Nama Proyek'!$D$2:$G$29,4,0)</f>
        <v>-6.42873464,107.19897003</v>
      </c>
      <c r="AH982" s="5"/>
      <c r="AI982" s="5"/>
      <c r="AJ982" s="5"/>
      <c r="AK982" s="5" t="s">
        <v>2199</v>
      </c>
    </row>
    <row r="983" spans="1:37" ht="15" hidden="1" customHeight="1">
      <c r="A983" s="31">
        <v>977</v>
      </c>
      <c r="B983" s="110">
        <v>45230</v>
      </c>
      <c r="C983" s="28">
        <f>B983</f>
        <v>45230</v>
      </c>
      <c r="D983" s="8" t="s">
        <v>37</v>
      </c>
      <c r="E983" s="8" t="s">
        <v>64</v>
      </c>
      <c r="F983" s="5" t="str">
        <f>E983</f>
        <v>Nizar Zulkarnain</v>
      </c>
      <c r="G983" s="19" t="s">
        <v>65</v>
      </c>
      <c r="H983" s="102">
        <v>45201</v>
      </c>
      <c r="I983" s="95">
        <v>83.14</v>
      </c>
      <c r="J983" s="95">
        <v>100</v>
      </c>
      <c r="K983" s="95">
        <v>76.73</v>
      </c>
      <c r="L983" s="95">
        <v>98.51</v>
      </c>
      <c r="M983" s="95">
        <v>89.96</v>
      </c>
      <c r="N983" s="95">
        <v>91.1</v>
      </c>
      <c r="O983" s="95">
        <v>71.53</v>
      </c>
      <c r="P983" s="95">
        <v>74.45</v>
      </c>
      <c r="Q983" s="95">
        <v>77.14</v>
      </c>
      <c r="R983" s="95">
        <v>62.79</v>
      </c>
      <c r="S983" s="95">
        <v>92.61</v>
      </c>
      <c r="T983" s="95">
        <v>90.75</v>
      </c>
      <c r="U983" s="95">
        <v>50.91</v>
      </c>
      <c r="V983" s="95">
        <v>24.92</v>
      </c>
      <c r="W983" s="95">
        <v>0</v>
      </c>
      <c r="X983" s="95">
        <v>98.36</v>
      </c>
      <c r="Y983" s="95">
        <v>41.48</v>
      </c>
      <c r="Z983" s="95"/>
      <c r="AA983" s="8"/>
      <c r="AB983" s="8"/>
      <c r="AC983" s="8"/>
      <c r="AD983" s="8"/>
      <c r="AE983" s="16"/>
      <c r="AF983" s="15"/>
      <c r="AG983" t="str">
        <f>VLOOKUP(OfficeForms.Table[[#This Row],[Nama Proyek]],'Nama Proyek'!$D$2:$G$29,4,0)</f>
        <v>-6.35008011,107.02324233</v>
      </c>
      <c r="AH983" s="5"/>
      <c r="AI983" s="5"/>
      <c r="AJ983" s="5"/>
      <c r="AK983" s="5" t="s">
        <v>2200</v>
      </c>
    </row>
    <row r="984" spans="1:37" ht="15" hidden="1" customHeight="1">
      <c r="A984" s="30">
        <v>1035</v>
      </c>
      <c r="B984" s="110">
        <v>45230</v>
      </c>
      <c r="C984" s="28">
        <f>B984</f>
        <v>45230</v>
      </c>
      <c r="D984" s="19" t="s">
        <v>37</v>
      </c>
      <c r="E984" s="19" t="s">
        <v>1282</v>
      </c>
      <c r="F984" s="5" t="str">
        <f>E984</f>
        <v>Achmad Rival Setyawan, S.T</v>
      </c>
      <c r="G984" s="10" t="s">
        <v>989</v>
      </c>
      <c r="H984" s="106">
        <v>45224</v>
      </c>
      <c r="I984" s="96">
        <v>20.393000000000001</v>
      </c>
      <c r="J984" s="96">
        <v>20.905999999999999</v>
      </c>
      <c r="K984" s="96">
        <v>0.42799999999999999</v>
      </c>
      <c r="L984" s="96">
        <v>0</v>
      </c>
      <c r="M984" s="96">
        <v>10.55</v>
      </c>
      <c r="N984" s="96">
        <v>2.1999999999999999E-2</v>
      </c>
      <c r="O984" s="96">
        <v>4.0000000000000001E-3</v>
      </c>
      <c r="P984" s="96">
        <v>0.122</v>
      </c>
      <c r="Q984" s="96">
        <v>1.145</v>
      </c>
      <c r="R984" s="96">
        <v>1.4390000000000001</v>
      </c>
      <c r="S984" s="96">
        <v>5.6680000000000001</v>
      </c>
      <c r="T984" s="96">
        <v>0</v>
      </c>
      <c r="U984" s="96">
        <v>2.9000000000000001E-2</v>
      </c>
      <c r="V984" s="96">
        <v>0</v>
      </c>
      <c r="W984" s="96">
        <v>0</v>
      </c>
      <c r="X984" s="96">
        <v>0</v>
      </c>
      <c r="Y984" s="96">
        <v>0</v>
      </c>
      <c r="Z984" s="96"/>
      <c r="AA984" s="19"/>
      <c r="AB984" s="19"/>
      <c r="AC984" s="42"/>
      <c r="AD984" s="42"/>
      <c r="AE984" s="24"/>
      <c r="AF984" s="15" t="s">
        <v>2201</v>
      </c>
      <c r="AG984" t="str">
        <f>VLOOKUP(OfficeForms.Table[[#This Row],[Nama Proyek]],'Nama Proyek'!$D$2:$G$29,4,0)</f>
        <v>-1.98399270,103.7135193</v>
      </c>
      <c r="AH984" s="5"/>
      <c r="AI984" s="5"/>
      <c r="AJ984" s="5"/>
      <c r="AK984" s="5" t="s">
        <v>2202</v>
      </c>
    </row>
    <row r="985" spans="1:37" ht="15" hidden="1" customHeight="1">
      <c r="A985" s="31">
        <v>1037</v>
      </c>
      <c r="B985" s="110">
        <v>45230</v>
      </c>
      <c r="C985" s="28">
        <f>B985</f>
        <v>45230</v>
      </c>
      <c r="D985" s="19" t="s">
        <v>37</v>
      </c>
      <c r="E985" s="19" t="s">
        <v>2203</v>
      </c>
      <c r="F985" s="5" t="str">
        <f>E985</f>
        <v>fian aziz</v>
      </c>
      <c r="G985" s="39" t="s">
        <v>1480</v>
      </c>
      <c r="H985" s="101">
        <v>45228</v>
      </c>
      <c r="I985" s="96">
        <v>17.193000000000001</v>
      </c>
      <c r="J985" s="96">
        <v>14.763</v>
      </c>
      <c r="K985" s="96">
        <v>0</v>
      </c>
      <c r="L985" s="96">
        <v>0</v>
      </c>
      <c r="M985" s="96">
        <v>0</v>
      </c>
      <c r="N985" s="96">
        <v>0</v>
      </c>
      <c r="O985" s="96">
        <v>0</v>
      </c>
      <c r="P985" s="96">
        <v>0</v>
      </c>
      <c r="Q985" s="96">
        <v>0</v>
      </c>
      <c r="R985" s="96">
        <v>0</v>
      </c>
      <c r="S985" s="96">
        <v>0</v>
      </c>
      <c r="T985" s="96">
        <v>0</v>
      </c>
      <c r="U985" s="96">
        <v>0</v>
      </c>
      <c r="V985" s="96">
        <v>0</v>
      </c>
      <c r="W985" s="96">
        <v>0</v>
      </c>
      <c r="X985" s="96">
        <v>0</v>
      </c>
      <c r="Y985" s="96">
        <v>0</v>
      </c>
      <c r="Z985" s="96"/>
      <c r="AA985" s="19"/>
      <c r="AB985" s="19"/>
      <c r="AC985" s="19"/>
      <c r="AD985" s="19"/>
      <c r="AE985" s="24"/>
      <c r="AF985" s="9"/>
      <c r="AG985" t="str">
        <f>VLOOKUP(OfficeForms.Table[[#This Row],[Nama Proyek]],'Nama Proyek'!$D$2:$G$29,4,0)</f>
        <v>-6.23191260,107.90813480</v>
      </c>
      <c r="AH985" s="5"/>
      <c r="AI985" s="5"/>
      <c r="AJ985" s="5"/>
      <c r="AK985" s="5" t="s">
        <v>2204</v>
      </c>
    </row>
    <row r="986" spans="1:37" ht="15" hidden="1" customHeight="1">
      <c r="A986" s="50">
        <v>1089</v>
      </c>
      <c r="B986" s="110">
        <v>45230</v>
      </c>
      <c r="C986" s="28">
        <f>B986</f>
        <v>45230</v>
      </c>
      <c r="D986" s="19" t="s">
        <v>37</v>
      </c>
      <c r="E986" s="19" t="s">
        <v>504</v>
      </c>
      <c r="F986" s="5" t="str">
        <f>E986</f>
        <v>Fathan Zul Waskito</v>
      </c>
      <c r="G986" s="19" t="s">
        <v>472</v>
      </c>
      <c r="H986" s="106">
        <v>45230</v>
      </c>
      <c r="I986" s="96">
        <v>78.945999999999998</v>
      </c>
      <c r="J986" s="96">
        <v>81.215999999999994</v>
      </c>
      <c r="K986" s="96">
        <v>1.234</v>
      </c>
      <c r="L986" s="96">
        <v>1.7000000000000001E-2</v>
      </c>
      <c r="M986" s="96">
        <v>58.558</v>
      </c>
      <c r="N986" s="96">
        <v>8.9999999999999993E-3</v>
      </c>
      <c r="O986" s="96">
        <v>6.548</v>
      </c>
      <c r="P986" s="96">
        <v>0.13800000000000001</v>
      </c>
      <c r="Q986" s="96">
        <v>3.472</v>
      </c>
      <c r="R986" s="96">
        <v>0</v>
      </c>
      <c r="S986" s="96">
        <v>6.9939999999999998</v>
      </c>
      <c r="T986" s="96">
        <v>0</v>
      </c>
      <c r="U986" s="96">
        <v>0.66800000000000004</v>
      </c>
      <c r="V986" s="96">
        <v>0</v>
      </c>
      <c r="W986" s="96">
        <v>0</v>
      </c>
      <c r="X986" s="96">
        <v>0</v>
      </c>
      <c r="Y986" s="96">
        <v>0</v>
      </c>
      <c r="Z986" s="96"/>
      <c r="AA986" s="19"/>
      <c r="AB986" s="19"/>
      <c r="AC986" s="19"/>
      <c r="AD986" s="19"/>
      <c r="AE986" s="13"/>
      <c r="AF986" s="8"/>
      <c r="AG986" t="str">
        <f>VLOOKUP(OfficeForms.Table[[#This Row],[Nama Proyek]],'Nama Proyek'!$D$2:$G$29,4,0)</f>
        <v>-8.29394978,112.00545006</v>
      </c>
      <c r="AH986" s="5"/>
      <c r="AI986" s="5"/>
      <c r="AJ986" s="5"/>
      <c r="AK986" s="5" t="s">
        <v>2205</v>
      </c>
    </row>
    <row r="987" spans="1:37" ht="15" hidden="1" customHeight="1">
      <c r="A987" s="50">
        <v>549</v>
      </c>
      <c r="B987" s="110">
        <v>45230</v>
      </c>
      <c r="C987" s="28">
        <f>B987</f>
        <v>45230</v>
      </c>
      <c r="D987" s="8" t="s">
        <v>37</v>
      </c>
      <c r="E987" s="8" t="s">
        <v>64</v>
      </c>
      <c r="F987" s="5" t="str">
        <f>E987</f>
        <v>Nizar Zulkarnain</v>
      </c>
      <c r="G987" s="19" t="s">
        <v>65</v>
      </c>
      <c r="H987" s="102"/>
      <c r="I987" s="95">
        <v>0</v>
      </c>
      <c r="J987" s="95">
        <v>0</v>
      </c>
      <c r="K987" s="95">
        <v>0</v>
      </c>
      <c r="L987" s="95">
        <v>0</v>
      </c>
      <c r="M987" s="95">
        <v>0</v>
      </c>
      <c r="N987" s="95">
        <v>0</v>
      </c>
      <c r="O987" s="95">
        <v>0</v>
      </c>
      <c r="P987" s="95">
        <v>0</v>
      </c>
      <c r="Q987" s="95">
        <v>0</v>
      </c>
      <c r="R987" s="95">
        <v>0</v>
      </c>
      <c r="S987" s="95">
        <v>0</v>
      </c>
      <c r="T987" s="95">
        <v>0</v>
      </c>
      <c r="U987" s="95">
        <v>0</v>
      </c>
      <c r="V987" s="95">
        <v>0</v>
      </c>
      <c r="W987" s="95">
        <v>0</v>
      </c>
      <c r="X987" s="95">
        <v>0</v>
      </c>
      <c r="Y987" s="95">
        <v>0</v>
      </c>
      <c r="Z987" s="95"/>
      <c r="AA987" s="8" t="s">
        <v>2206</v>
      </c>
      <c r="AB987" s="8"/>
      <c r="AC987" s="8"/>
      <c r="AD987" s="8"/>
      <c r="AE987" s="11"/>
      <c r="AF987" s="9" t="s">
        <v>820</v>
      </c>
      <c r="AG987" t="str">
        <f>VLOOKUP(OfficeForms.Table[[#This Row],[Nama Proyek]],'Nama Proyek'!$D$2:$G$29,4,0)</f>
        <v>-6.35008011,107.02324233</v>
      </c>
      <c r="AH987" s="5"/>
      <c r="AI987" s="5"/>
      <c r="AJ987" s="5"/>
      <c r="AK987" s="5" t="s">
        <v>2207</v>
      </c>
    </row>
    <row r="988" spans="1:37" ht="15" hidden="1" customHeight="1">
      <c r="A988" s="31">
        <v>559</v>
      </c>
      <c r="B988" s="110">
        <v>45230</v>
      </c>
      <c r="C988" s="28">
        <f>B988</f>
        <v>45230</v>
      </c>
      <c r="D988" s="19" t="s">
        <v>37</v>
      </c>
      <c r="E988" s="19" t="s">
        <v>64</v>
      </c>
      <c r="F988" s="5" t="str">
        <f>E988</f>
        <v>Nizar Zulkarnain</v>
      </c>
      <c r="G988" s="19" t="s">
        <v>65</v>
      </c>
      <c r="H988" s="101"/>
      <c r="I988" s="96">
        <v>0</v>
      </c>
      <c r="J988" s="96">
        <v>0</v>
      </c>
      <c r="K988" s="96">
        <v>0</v>
      </c>
      <c r="L988" s="96">
        <v>0</v>
      </c>
      <c r="M988" s="96">
        <v>0</v>
      </c>
      <c r="N988" s="96">
        <v>0</v>
      </c>
      <c r="O988" s="96">
        <v>0</v>
      </c>
      <c r="P988" s="96">
        <v>0</v>
      </c>
      <c r="Q988" s="96">
        <v>0</v>
      </c>
      <c r="R988" s="96">
        <v>0</v>
      </c>
      <c r="S988" s="96">
        <v>0</v>
      </c>
      <c r="T988" s="96">
        <v>0</v>
      </c>
      <c r="U988" s="96">
        <v>0</v>
      </c>
      <c r="V988" s="96">
        <v>0</v>
      </c>
      <c r="W988" s="96">
        <v>0</v>
      </c>
      <c r="X988" s="96">
        <v>0</v>
      </c>
      <c r="Y988" s="96">
        <v>0</v>
      </c>
      <c r="Z988" s="96"/>
      <c r="AA988" s="19"/>
      <c r="AB988" s="19"/>
      <c r="AC988" s="19"/>
      <c r="AD988" s="19"/>
      <c r="AE988" s="13">
        <v>44936</v>
      </c>
      <c r="AF988" s="15" t="s">
        <v>2208</v>
      </c>
      <c r="AG988" t="str">
        <f>VLOOKUP(OfficeForms.Table[[#This Row],[Nama Proyek]],'Nama Proyek'!$D$2:$G$29,4,0)</f>
        <v>-6.35008011,107.02324233</v>
      </c>
      <c r="AH988" s="5"/>
      <c r="AI988" s="5"/>
      <c r="AJ988" s="5"/>
      <c r="AK988" s="5" t="s">
        <v>2209</v>
      </c>
    </row>
    <row r="989" spans="1:37" ht="15" customHeight="1">
      <c r="A989" s="30">
        <v>1045</v>
      </c>
      <c r="B989" s="110">
        <v>45253</v>
      </c>
      <c r="C989" s="28">
        <f>B989</f>
        <v>45253</v>
      </c>
      <c r="D989" s="8" t="s">
        <v>46</v>
      </c>
      <c r="E989" s="8" t="s">
        <v>2210</v>
      </c>
      <c r="F989" s="5" t="s">
        <v>2210</v>
      </c>
      <c r="G989" s="42" t="s">
        <v>1315</v>
      </c>
      <c r="H989" s="102"/>
      <c r="I989" s="95">
        <v>0</v>
      </c>
      <c r="J989" s="95">
        <v>0</v>
      </c>
      <c r="K989" s="95">
        <v>0</v>
      </c>
      <c r="L989" s="95">
        <v>0</v>
      </c>
      <c r="M989" s="95">
        <v>0</v>
      </c>
      <c r="N989" s="95">
        <v>0</v>
      </c>
      <c r="O989" s="95">
        <v>0</v>
      </c>
      <c r="P989" s="95">
        <v>0</v>
      </c>
      <c r="Q989" s="95">
        <v>0</v>
      </c>
      <c r="R989" s="95">
        <v>0</v>
      </c>
      <c r="S989" s="95">
        <v>0</v>
      </c>
      <c r="T989" s="95">
        <v>0</v>
      </c>
      <c r="U989" s="95">
        <v>0</v>
      </c>
      <c r="V989" s="95">
        <v>0</v>
      </c>
      <c r="W989" s="95">
        <v>0</v>
      </c>
      <c r="X989" s="95">
        <v>0</v>
      </c>
      <c r="Y989" s="95">
        <v>0</v>
      </c>
      <c r="Z989" s="95"/>
      <c r="AA989" s="8" t="s">
        <v>2211</v>
      </c>
      <c r="AB989" s="8" t="s">
        <v>2212</v>
      </c>
      <c r="AC989" s="8"/>
      <c r="AD989" s="15"/>
      <c r="AE989" s="16" t="e" vm="1">
        <f>[1]!OfficeForms.Table[[#This Row],[Waktu selesai]]</f>
        <v>#REF!</v>
      </c>
      <c r="AF989" s="9"/>
      <c r="AG989" t="str">
        <f>VLOOKUP(OfficeForms.Table[[#This Row],[Nama Proyek]],'Nama Proyek'!$D$2:$G$40,4,0)</f>
        <v>-6.42093860,107.18760070</v>
      </c>
      <c r="AH989" s="5"/>
      <c r="AI989" s="5"/>
      <c r="AJ989" s="5"/>
      <c r="AK989" s="5" t="s">
        <v>2213</v>
      </c>
    </row>
    <row r="990" spans="1:37" ht="15" hidden="1" customHeight="1">
      <c r="A990" s="31">
        <v>1046</v>
      </c>
      <c r="B990" s="111">
        <v>45254</v>
      </c>
      <c r="C990" s="29">
        <f>B990</f>
        <v>45254</v>
      </c>
      <c r="D990" s="9" t="s">
        <v>37</v>
      </c>
      <c r="E990" s="9" t="s">
        <v>2214</v>
      </c>
      <c r="F990" s="5" t="str">
        <f>E990</f>
        <v>Muhammad Ragil Ridho</v>
      </c>
      <c r="G990" s="17" t="s">
        <v>1315</v>
      </c>
      <c r="H990" s="104"/>
      <c r="I990" s="94">
        <v>0</v>
      </c>
      <c r="J990" s="94">
        <v>0</v>
      </c>
      <c r="K990" s="94">
        <v>0</v>
      </c>
      <c r="L990" s="94">
        <v>0</v>
      </c>
      <c r="M990" s="94">
        <v>0</v>
      </c>
      <c r="N990" s="94">
        <v>0</v>
      </c>
      <c r="O990" s="94">
        <v>0</v>
      </c>
      <c r="P990" s="94">
        <v>0</v>
      </c>
      <c r="Q990" s="94">
        <v>0</v>
      </c>
      <c r="R990" s="94">
        <v>0</v>
      </c>
      <c r="S990" s="94">
        <v>0</v>
      </c>
      <c r="T990" s="94">
        <v>0</v>
      </c>
      <c r="U990" s="94">
        <v>0</v>
      </c>
      <c r="V990" s="94">
        <v>0</v>
      </c>
      <c r="W990" s="94">
        <v>0</v>
      </c>
      <c r="X990" s="94">
        <v>0</v>
      </c>
      <c r="Y990" s="94">
        <v>0</v>
      </c>
      <c r="Z990" s="94"/>
      <c r="AA990" s="9" t="s">
        <v>2215</v>
      </c>
      <c r="AB990" s="9" t="s">
        <v>2216</v>
      </c>
      <c r="AC990" s="9" t="s">
        <v>2217</v>
      </c>
      <c r="AD990" s="9"/>
      <c r="AE990" s="12" t="e" vm="1">
        <f>[1]!OfficeForms.Table[[#This Row],[Waktu selesai]]</f>
        <v>#REF!</v>
      </c>
      <c r="AF990" s="8"/>
      <c r="AG990" t="str">
        <f>VLOOKUP(OfficeForms.Table[[#This Row],[Nama Proyek]],'Nama Proyek'!$D$2:$G$40,4,0)</f>
        <v>-6.42093860,107.18760070</v>
      </c>
      <c r="AH990" s="5"/>
      <c r="AI990" s="5"/>
      <c r="AJ990" s="5"/>
      <c r="AK990" s="5" t="s">
        <v>2218</v>
      </c>
    </row>
    <row r="991" spans="1:37" ht="15" hidden="1" customHeight="1">
      <c r="A991">
        <v>1047</v>
      </c>
      <c r="B991" s="110">
        <v>45257</v>
      </c>
      <c r="C991" s="28">
        <f>B991</f>
        <v>45257</v>
      </c>
      <c r="D991" s="8" t="s">
        <v>37</v>
      </c>
      <c r="E991" s="8" t="s">
        <v>2169</v>
      </c>
      <c r="F991" s="5" t="str">
        <f>E991</f>
        <v>Anzalar rahman</v>
      </c>
      <c r="G991" s="35" t="s">
        <v>714</v>
      </c>
      <c r="H991" s="105">
        <v>45256</v>
      </c>
      <c r="I991" s="95">
        <v>83.063000000000002</v>
      </c>
      <c r="J991" s="95">
        <v>74.63</v>
      </c>
      <c r="K991" s="95">
        <v>0.21199999999999999</v>
      </c>
      <c r="L991" s="95">
        <v>29.867999999999999</v>
      </c>
      <c r="M991" s="95">
        <v>0</v>
      </c>
      <c r="N991" s="95">
        <v>3.2410000000000001</v>
      </c>
      <c r="O991" s="95">
        <v>0</v>
      </c>
      <c r="P991" s="95">
        <v>46.557000000000002</v>
      </c>
      <c r="Q991" s="95">
        <v>0</v>
      </c>
      <c r="R991" s="95">
        <v>0</v>
      </c>
      <c r="S991" s="95">
        <v>0.68799999999999994</v>
      </c>
      <c r="T991" s="95">
        <v>0</v>
      </c>
      <c r="U991" s="95">
        <v>0</v>
      </c>
      <c r="V991" s="95">
        <v>0</v>
      </c>
      <c r="W991" s="95">
        <v>0</v>
      </c>
      <c r="X991" s="95">
        <v>0</v>
      </c>
      <c r="Y991" s="95">
        <v>0</v>
      </c>
      <c r="Z991" s="95"/>
      <c r="AA991" s="8"/>
      <c r="AB991" s="8"/>
      <c r="AC991" s="8"/>
      <c r="AD991" s="8"/>
      <c r="AE991" s="11"/>
      <c r="AF991" s="9"/>
      <c r="AG991" t="str">
        <f>VLOOKUP(OfficeForms.Table[[#This Row],[Nama Proyek]],'Nama Proyek'!$D$2:$G$29,4,0)</f>
        <v>-0.95259625,116.71704453</v>
      </c>
      <c r="AH991" s="5"/>
      <c r="AI991" s="5"/>
      <c r="AJ991" s="5"/>
      <c r="AK991" s="5" t="s">
        <v>2219</v>
      </c>
    </row>
    <row r="992" spans="1:37" ht="15" hidden="1" customHeight="1">
      <c r="A992" s="50">
        <v>1050</v>
      </c>
      <c r="B992" s="111">
        <v>45257</v>
      </c>
      <c r="C992" s="29">
        <f>B992</f>
        <v>45257</v>
      </c>
      <c r="D992" s="9" t="s">
        <v>37</v>
      </c>
      <c r="E992" s="9" t="s">
        <v>734</v>
      </c>
      <c r="F992" s="5" t="str">
        <f>E992</f>
        <v>Aldian Winata</v>
      </c>
      <c r="G992" s="17" t="s">
        <v>735</v>
      </c>
      <c r="H992" s="103">
        <v>45256</v>
      </c>
      <c r="I992" s="94">
        <v>47.369</v>
      </c>
      <c r="J992" s="94">
        <v>65.978999999999999</v>
      </c>
      <c r="K992" s="94">
        <v>2.2189999999999999</v>
      </c>
      <c r="L992" s="94">
        <v>33.722000000000001</v>
      </c>
      <c r="M992" s="94">
        <v>0</v>
      </c>
      <c r="N992" s="94">
        <v>0.435</v>
      </c>
      <c r="O992" s="94">
        <v>1.716</v>
      </c>
      <c r="P992" s="94">
        <v>0.317</v>
      </c>
      <c r="Q992" s="94">
        <v>0</v>
      </c>
      <c r="R992" s="94">
        <v>0</v>
      </c>
      <c r="S992" s="94">
        <v>0</v>
      </c>
      <c r="T992" s="94">
        <v>0</v>
      </c>
      <c r="U992" s="94">
        <v>0</v>
      </c>
      <c r="V992" s="94">
        <v>0</v>
      </c>
      <c r="W992" s="94">
        <v>0</v>
      </c>
      <c r="X992" s="94">
        <v>0</v>
      </c>
      <c r="Y992" s="94">
        <v>0</v>
      </c>
      <c r="Z992" s="94"/>
      <c r="AA992" s="9"/>
      <c r="AB992" s="9"/>
      <c r="AC992" s="9"/>
      <c r="AD992" s="9"/>
      <c r="AE992" s="12"/>
      <c r="AF992" s="8"/>
      <c r="AG992" t="str">
        <f>VLOOKUP(OfficeForms.Table[[#This Row],[Nama Proyek]],'Nama Proyek'!$D$2:$G$40,4,0)</f>
        <v>-0.88562397,119.85928375</v>
      </c>
      <c r="AH992" s="5"/>
      <c r="AI992" s="5"/>
      <c r="AJ992" s="5"/>
      <c r="AK992" s="5" t="s">
        <v>2220</v>
      </c>
    </row>
    <row r="993" spans="1:37" ht="15" hidden="1" customHeight="1">
      <c r="A993" s="31">
        <v>868</v>
      </c>
      <c r="B993" s="111">
        <v>45257</v>
      </c>
      <c r="C993" s="29">
        <f>B993</f>
        <v>45257</v>
      </c>
      <c r="D993" s="9" t="s">
        <v>37</v>
      </c>
      <c r="E993" s="9" t="s">
        <v>2169</v>
      </c>
      <c r="F993" s="5" t="str">
        <f>E993</f>
        <v>Anzalar rahman</v>
      </c>
      <c r="G993" s="36" t="s">
        <v>714</v>
      </c>
      <c r="H993" s="104"/>
      <c r="I993" s="94">
        <v>0</v>
      </c>
      <c r="J993" s="94">
        <v>0</v>
      </c>
      <c r="K993" s="94">
        <v>0</v>
      </c>
      <c r="L993" s="94">
        <v>0</v>
      </c>
      <c r="M993" s="94">
        <v>0</v>
      </c>
      <c r="N993" s="94">
        <v>0</v>
      </c>
      <c r="O993" s="94">
        <v>0</v>
      </c>
      <c r="P993" s="94">
        <v>0</v>
      </c>
      <c r="Q993" s="94">
        <v>0</v>
      </c>
      <c r="R993" s="94">
        <v>0</v>
      </c>
      <c r="S993" s="94">
        <v>0</v>
      </c>
      <c r="T993" s="94">
        <v>0</v>
      </c>
      <c r="U993" s="94">
        <v>0</v>
      </c>
      <c r="V993" s="94">
        <v>0</v>
      </c>
      <c r="W993" s="94">
        <v>0</v>
      </c>
      <c r="X993" s="94">
        <v>0</v>
      </c>
      <c r="Y993" s="94">
        <v>0</v>
      </c>
      <c r="Z993" s="94"/>
      <c r="AA993" s="9" t="s">
        <v>2221</v>
      </c>
      <c r="AB993" s="9" t="s">
        <v>2222</v>
      </c>
      <c r="AC993" s="9" t="s">
        <v>2223</v>
      </c>
      <c r="AD993" s="9" t="s">
        <v>2224</v>
      </c>
      <c r="AE993" s="12"/>
      <c r="AF993" s="15"/>
      <c r="AG993" t="str">
        <f>VLOOKUP(OfficeForms.Table[[#This Row],[Nama Proyek]],'Nama Proyek'!$D$2:$G$29,4,0)</f>
        <v>-0.95259625,116.71704453</v>
      </c>
      <c r="AH993" s="5"/>
      <c r="AI993" s="5"/>
      <c r="AJ993" s="5"/>
      <c r="AK993" s="5" t="s">
        <v>2225</v>
      </c>
    </row>
    <row r="994" spans="1:37" ht="15" hidden="1" customHeight="1">
      <c r="A994" s="31">
        <v>895</v>
      </c>
      <c r="B994" s="110">
        <v>45257</v>
      </c>
      <c r="C994" s="28">
        <f>B994</f>
        <v>45257</v>
      </c>
      <c r="D994" s="8" t="s">
        <v>37</v>
      </c>
      <c r="E994" s="8" t="s">
        <v>1109</v>
      </c>
      <c r="F994" s="5" t="str">
        <f>E994</f>
        <v>Anzalar Rahman</v>
      </c>
      <c r="G994" s="35" t="s">
        <v>714</v>
      </c>
      <c r="H994" s="102"/>
      <c r="I994" s="95">
        <v>0</v>
      </c>
      <c r="J994" s="95">
        <v>0</v>
      </c>
      <c r="K994" s="95">
        <v>0</v>
      </c>
      <c r="L994" s="95">
        <v>0</v>
      </c>
      <c r="M994" s="95">
        <v>0</v>
      </c>
      <c r="N994" s="95">
        <v>0</v>
      </c>
      <c r="O994" s="95">
        <v>0</v>
      </c>
      <c r="P994" s="95">
        <v>0</v>
      </c>
      <c r="Q994" s="95">
        <v>0</v>
      </c>
      <c r="R994" s="95">
        <v>0</v>
      </c>
      <c r="S994" s="95">
        <v>0</v>
      </c>
      <c r="T994" s="95">
        <v>0</v>
      </c>
      <c r="U994" s="95">
        <v>0</v>
      </c>
      <c r="V994" s="95">
        <v>0</v>
      </c>
      <c r="W994" s="95">
        <v>0</v>
      </c>
      <c r="X994" s="95">
        <v>0</v>
      </c>
      <c r="Y994" s="95">
        <v>0</v>
      </c>
      <c r="Z994" s="95"/>
      <c r="AA994" s="8"/>
      <c r="AB994" s="8"/>
      <c r="AC994" s="8"/>
      <c r="AD994" s="8"/>
      <c r="AE994" s="16">
        <v>44927</v>
      </c>
      <c r="AF994" s="8"/>
      <c r="AG994" t="str">
        <f>VLOOKUP(OfficeForms.Table[[#This Row],[Nama Proyek]],'Nama Proyek'!$D$2:$G$29,4,0)</f>
        <v>-0.95259625,116.71704453</v>
      </c>
      <c r="AH994" s="5"/>
      <c r="AI994" s="5"/>
      <c r="AJ994" s="5"/>
      <c r="AK994" s="5" t="s">
        <v>2226</v>
      </c>
    </row>
    <row r="995" spans="1:37" ht="15" hidden="1" customHeight="1">
      <c r="A995" s="31">
        <v>1051</v>
      </c>
      <c r="B995" s="110">
        <v>45257</v>
      </c>
      <c r="C995" s="28">
        <f>B995</f>
        <v>45257</v>
      </c>
      <c r="D995" s="8" t="s">
        <v>37</v>
      </c>
      <c r="E995" s="8" t="s">
        <v>734</v>
      </c>
      <c r="F995" s="5" t="str">
        <f>E995</f>
        <v>Aldian Winata</v>
      </c>
      <c r="G995" s="15" t="s">
        <v>735</v>
      </c>
      <c r="H995" s="102"/>
      <c r="I995" s="95">
        <v>0</v>
      </c>
      <c r="J995" s="95">
        <v>0</v>
      </c>
      <c r="K995" s="95">
        <v>0</v>
      </c>
      <c r="L995" s="95">
        <v>0</v>
      </c>
      <c r="M995" s="95">
        <v>0</v>
      </c>
      <c r="N995" s="95">
        <v>0</v>
      </c>
      <c r="O995" s="95">
        <v>0</v>
      </c>
      <c r="P995" s="95">
        <v>0</v>
      </c>
      <c r="Q995" s="95">
        <v>0</v>
      </c>
      <c r="R995" s="95">
        <v>0</v>
      </c>
      <c r="S995" s="95">
        <v>0</v>
      </c>
      <c r="T995" s="95">
        <v>0</v>
      </c>
      <c r="U995" s="95">
        <v>0</v>
      </c>
      <c r="V995" s="95">
        <v>0</v>
      </c>
      <c r="W995" s="95">
        <v>0</v>
      </c>
      <c r="X995" s="95">
        <v>0</v>
      </c>
      <c r="Y995" s="95">
        <v>0</v>
      </c>
      <c r="Z995" s="95"/>
      <c r="AA995" s="8" t="s">
        <v>2227</v>
      </c>
      <c r="AB995" s="8" t="s">
        <v>2228</v>
      </c>
      <c r="AC995" s="8"/>
      <c r="AD995" s="8"/>
      <c r="AE995" s="11"/>
      <c r="AF995" s="17"/>
      <c r="AG995" t="str">
        <f>VLOOKUP(OfficeForms.Table[[#This Row],[Nama Proyek]],'Nama Proyek'!$D$2:$G$40,4,0)</f>
        <v>-0.88562397,119.85928375</v>
      </c>
      <c r="AH995" s="5"/>
      <c r="AI995" s="5"/>
      <c r="AJ995" s="5"/>
      <c r="AK995" s="5" t="s">
        <v>2229</v>
      </c>
    </row>
    <row r="996" spans="1:37" ht="15" hidden="1" customHeight="1">
      <c r="A996">
        <v>1052</v>
      </c>
      <c r="B996" s="111">
        <v>45257</v>
      </c>
      <c r="C996" s="29">
        <f>B996</f>
        <v>45257</v>
      </c>
      <c r="D996" s="9" t="s">
        <v>37</v>
      </c>
      <c r="E996" s="9" t="s">
        <v>79</v>
      </c>
      <c r="F996" s="5" t="str">
        <f>E996</f>
        <v>Fajar Sodiq Febriansyah</v>
      </c>
      <c r="G996" s="17" t="s">
        <v>1317</v>
      </c>
      <c r="H996" s="103"/>
      <c r="I996" s="94">
        <v>0</v>
      </c>
      <c r="J996" s="94">
        <v>0</v>
      </c>
      <c r="K996" s="94">
        <v>0</v>
      </c>
      <c r="L996" s="94">
        <v>0</v>
      </c>
      <c r="M996" s="94">
        <v>0</v>
      </c>
      <c r="N996" s="94">
        <v>0</v>
      </c>
      <c r="O996" s="94">
        <v>0</v>
      </c>
      <c r="P996" s="94">
        <v>0</v>
      </c>
      <c r="Q996" s="94">
        <v>0</v>
      </c>
      <c r="R996" s="94">
        <v>0</v>
      </c>
      <c r="S996" s="94">
        <v>0</v>
      </c>
      <c r="T996" s="94">
        <v>0</v>
      </c>
      <c r="U996" s="94">
        <v>0</v>
      </c>
      <c r="V996" s="94">
        <v>0</v>
      </c>
      <c r="W996" s="94">
        <v>0</v>
      </c>
      <c r="X996" s="94">
        <v>0</v>
      </c>
      <c r="Y996" s="94">
        <v>0</v>
      </c>
      <c r="Z996" s="94"/>
      <c r="AA996" s="9" t="s">
        <v>2230</v>
      </c>
      <c r="AB996" s="9" t="s">
        <v>1508</v>
      </c>
      <c r="AC996" s="9" t="s">
        <v>1509</v>
      </c>
      <c r="AD996" s="17" t="s">
        <v>1510</v>
      </c>
      <c r="AE996" s="18"/>
      <c r="AF996" s="8" t="s">
        <v>2231</v>
      </c>
      <c r="AG996" t="str">
        <f>VLOOKUP(OfficeForms.Table[[#This Row],[Nama Proyek]],'Nama Proyek'!$D$2:$G$29,4,0)</f>
        <v>-7.72647690,113.63515320</v>
      </c>
      <c r="AH996" s="5"/>
      <c r="AI996" s="5"/>
      <c r="AJ996" s="5"/>
      <c r="AK996" s="5" t="s">
        <v>2232</v>
      </c>
    </row>
    <row r="997" spans="1:37" ht="15" hidden="1" customHeight="1">
      <c r="A997" s="50">
        <v>1053</v>
      </c>
      <c r="B997" s="110">
        <v>45257</v>
      </c>
      <c r="C997" s="28">
        <f>B997</f>
        <v>45257</v>
      </c>
      <c r="D997" s="8" t="s">
        <v>37</v>
      </c>
      <c r="E997" s="8" t="s">
        <v>1282</v>
      </c>
      <c r="F997" s="5" t="str">
        <f>E997</f>
        <v>Achmad Rival Setyawan, S.T</v>
      </c>
      <c r="G997" s="52" t="s">
        <v>989</v>
      </c>
      <c r="H997" s="105"/>
      <c r="I997" s="95">
        <v>0</v>
      </c>
      <c r="J997" s="95">
        <v>0</v>
      </c>
      <c r="K997" s="95">
        <v>0</v>
      </c>
      <c r="L997" s="95">
        <v>0</v>
      </c>
      <c r="M997" s="95">
        <v>0</v>
      </c>
      <c r="N997" s="95">
        <v>0</v>
      </c>
      <c r="O997" s="95">
        <v>0</v>
      </c>
      <c r="P997" s="95">
        <v>0</v>
      </c>
      <c r="Q997" s="95">
        <v>0</v>
      </c>
      <c r="R997" s="95">
        <v>0</v>
      </c>
      <c r="S997" s="95">
        <v>0</v>
      </c>
      <c r="T997" s="95">
        <v>0</v>
      </c>
      <c r="U997" s="95">
        <v>0</v>
      </c>
      <c r="V997" s="95">
        <v>0</v>
      </c>
      <c r="W997" s="95">
        <v>0</v>
      </c>
      <c r="X997" s="95">
        <v>0</v>
      </c>
      <c r="Y997" s="95">
        <v>0</v>
      </c>
      <c r="Z997" s="95"/>
      <c r="AA997" s="8"/>
      <c r="AB997" s="8"/>
      <c r="AC997" s="8"/>
      <c r="AD997" s="8"/>
      <c r="AE997" s="11">
        <v>44937</v>
      </c>
      <c r="AF997" s="9"/>
      <c r="AG997" t="str">
        <f>VLOOKUP(OfficeForms.Table[[#This Row],[Nama Proyek]],'Nama Proyek'!$D$2:$G$29,4,0)</f>
        <v>-1.98399270,103.7135193</v>
      </c>
      <c r="AH997" s="5"/>
      <c r="AI997" s="5"/>
      <c r="AJ997" s="5"/>
      <c r="AK997" s="5" t="s">
        <v>2233</v>
      </c>
    </row>
    <row r="998" spans="1:37" ht="15" hidden="1" customHeight="1">
      <c r="A998" s="31">
        <v>1054</v>
      </c>
      <c r="B998" s="111">
        <v>45257</v>
      </c>
      <c r="C998" s="29">
        <f>B998</f>
        <v>45257</v>
      </c>
      <c r="D998" s="9" t="s">
        <v>37</v>
      </c>
      <c r="E998" s="9" t="s">
        <v>278</v>
      </c>
      <c r="F998" s="5" t="str">
        <f>E998</f>
        <v>Teddy Pradana</v>
      </c>
      <c r="G998" s="10" t="s">
        <v>989</v>
      </c>
      <c r="H998" s="103"/>
      <c r="I998" s="94">
        <v>0</v>
      </c>
      <c r="J998" s="94">
        <v>0</v>
      </c>
      <c r="K998" s="94">
        <v>0</v>
      </c>
      <c r="L998" s="94">
        <v>0</v>
      </c>
      <c r="M998" s="94">
        <v>0</v>
      </c>
      <c r="N998" s="94">
        <v>0</v>
      </c>
      <c r="O998" s="94">
        <v>0</v>
      </c>
      <c r="P998" s="94">
        <v>0</v>
      </c>
      <c r="Q998" s="94">
        <v>0</v>
      </c>
      <c r="R998" s="94">
        <v>0</v>
      </c>
      <c r="S998" s="94">
        <v>0</v>
      </c>
      <c r="T998" s="94">
        <v>0</v>
      </c>
      <c r="U998" s="94">
        <v>0</v>
      </c>
      <c r="V998" s="94">
        <v>0</v>
      </c>
      <c r="W998" s="94">
        <v>0</v>
      </c>
      <c r="X998" s="94">
        <v>0</v>
      </c>
      <c r="Y998" s="94">
        <v>0</v>
      </c>
      <c r="Z998" s="94"/>
      <c r="AA998" s="9" t="s">
        <v>2234</v>
      </c>
      <c r="AB998" s="9"/>
      <c r="AC998" s="9" t="s">
        <v>2235</v>
      </c>
      <c r="AD998" s="9" t="s">
        <v>2235</v>
      </c>
      <c r="AE998" s="12"/>
      <c r="AF998" s="8" t="s">
        <v>2236</v>
      </c>
      <c r="AG998" t="str">
        <f>VLOOKUP(OfficeForms.Table[[#This Row],[Nama Proyek]],'Nama Proyek'!$D$2:$G$29,4,0)</f>
        <v>-1.98399270,103.7135193</v>
      </c>
      <c r="AH998" s="5"/>
      <c r="AI998" s="5"/>
      <c r="AJ998" s="5"/>
      <c r="AK998" s="5" t="s">
        <v>2237</v>
      </c>
    </row>
    <row r="999" spans="1:37" ht="15" hidden="1" customHeight="1">
      <c r="A999" s="30">
        <v>1055</v>
      </c>
      <c r="B999" s="110">
        <v>45257</v>
      </c>
      <c r="C999" s="28">
        <f>B999</f>
        <v>45257</v>
      </c>
      <c r="D999" s="8" t="s">
        <v>37</v>
      </c>
      <c r="E999" s="8" t="s">
        <v>1282</v>
      </c>
      <c r="F999" s="5" t="str">
        <f>E999</f>
        <v>Achmad Rival Setyawan, S.T</v>
      </c>
      <c r="G999" s="10" t="s">
        <v>989</v>
      </c>
      <c r="H999" s="105"/>
      <c r="I999" s="95">
        <v>0</v>
      </c>
      <c r="J999" s="95">
        <v>0</v>
      </c>
      <c r="K999" s="95">
        <v>0</v>
      </c>
      <c r="L999" s="95">
        <v>0</v>
      </c>
      <c r="M999" s="95">
        <v>0</v>
      </c>
      <c r="N999" s="95">
        <v>0</v>
      </c>
      <c r="O999" s="95">
        <v>0</v>
      </c>
      <c r="P999" s="95">
        <v>0</v>
      </c>
      <c r="Q999" s="95">
        <v>0</v>
      </c>
      <c r="R999" s="95">
        <v>0</v>
      </c>
      <c r="S999" s="95">
        <v>0</v>
      </c>
      <c r="T999" s="95">
        <v>0</v>
      </c>
      <c r="U999" s="95">
        <v>0</v>
      </c>
      <c r="V999" s="95">
        <v>0</v>
      </c>
      <c r="W999" s="95">
        <v>0</v>
      </c>
      <c r="X999" s="95">
        <v>0</v>
      </c>
      <c r="Y999" s="95">
        <v>0</v>
      </c>
      <c r="Z999" s="95"/>
      <c r="AA999" s="8"/>
      <c r="AB999" s="8"/>
      <c r="AC999" s="8"/>
      <c r="AD999" s="8"/>
      <c r="AE999" s="11">
        <v>44937</v>
      </c>
      <c r="AF999" s="17"/>
      <c r="AG999" t="str">
        <f>VLOOKUP(OfficeForms.Table[[#This Row],[Nama Proyek]],'Nama Proyek'!$D$2:$G$29,4,0)</f>
        <v>-1.98399270,103.7135193</v>
      </c>
      <c r="AH999" s="5"/>
      <c r="AI999" s="5"/>
      <c r="AJ999" s="5"/>
      <c r="AK999" s="5" t="s">
        <v>2238</v>
      </c>
    </row>
    <row r="1000" spans="1:37" ht="15" hidden="1" customHeight="1">
      <c r="A1000" s="31">
        <v>1033</v>
      </c>
      <c r="B1000" s="110">
        <v>45258</v>
      </c>
      <c r="C1000" s="28">
        <f>B1000</f>
        <v>45258</v>
      </c>
      <c r="D1000" s="8" t="s">
        <v>37</v>
      </c>
      <c r="E1000" s="8" t="s">
        <v>64</v>
      </c>
      <c r="F1000" s="5" t="str">
        <f>E1000</f>
        <v>Nizar Zulkarnain</v>
      </c>
      <c r="G1000" s="42" t="s">
        <v>65</v>
      </c>
      <c r="H1000" s="105">
        <v>45256</v>
      </c>
      <c r="I1000" s="95">
        <v>84.361999999999995</v>
      </c>
      <c r="J1000" s="95">
        <v>86.106999999999999</v>
      </c>
      <c r="K1000" s="95">
        <v>77.319999999999993</v>
      </c>
      <c r="L1000" s="95">
        <v>98.51</v>
      </c>
      <c r="M1000" s="95">
        <v>90.96</v>
      </c>
      <c r="N1000" s="95">
        <v>91.39</v>
      </c>
      <c r="O1000" s="95">
        <v>72.48</v>
      </c>
      <c r="P1000" s="95">
        <v>74.72</v>
      </c>
      <c r="Q1000" s="95">
        <v>78.84</v>
      </c>
      <c r="R1000" s="95">
        <v>64.260000000000005</v>
      </c>
      <c r="S1000" s="95">
        <v>94.05</v>
      </c>
      <c r="T1000" s="95">
        <v>91.15</v>
      </c>
      <c r="U1000" s="95">
        <v>52.29</v>
      </c>
      <c r="V1000" s="95">
        <v>24.92</v>
      </c>
      <c r="W1000" s="95">
        <v>0</v>
      </c>
      <c r="X1000" s="95">
        <v>98.36</v>
      </c>
      <c r="Y1000" s="95">
        <v>41.48</v>
      </c>
      <c r="Z1000" s="95"/>
      <c r="AA1000" s="8"/>
      <c r="AB1000" s="8"/>
      <c r="AC1000" s="15"/>
      <c r="AD1000" s="15"/>
      <c r="AE1000" s="16"/>
      <c r="AF1000" s="8" t="s">
        <v>2201</v>
      </c>
      <c r="AG1000" t="str">
        <f>VLOOKUP(OfficeForms.Table[[#This Row],[Nama Proyek]],'Nama Proyek'!$D$2:$G$29,4,0)</f>
        <v>-6.35008011,107.02324233</v>
      </c>
      <c r="AH1000" s="5"/>
      <c r="AI1000" s="5"/>
      <c r="AJ1000" s="5"/>
      <c r="AK1000" s="5" t="s">
        <v>2239</v>
      </c>
    </row>
    <row r="1001" spans="1:37" ht="15" hidden="1" customHeight="1">
      <c r="A1001">
        <v>1059</v>
      </c>
      <c r="B1001" s="110">
        <v>45258</v>
      </c>
      <c r="C1001" s="28">
        <f>B1001</f>
        <v>45258</v>
      </c>
      <c r="D1001" s="19" t="s">
        <v>37</v>
      </c>
      <c r="E1001" s="19" t="s">
        <v>687</v>
      </c>
      <c r="F1001" s="5" t="str">
        <f>E1001</f>
        <v>Andri Julio Hermawan</v>
      </c>
      <c r="G1001" s="23" t="s">
        <v>750</v>
      </c>
      <c r="H1001" s="106">
        <v>45258</v>
      </c>
      <c r="I1001" s="96">
        <v>63.22</v>
      </c>
      <c r="J1001" s="96">
        <v>62.79</v>
      </c>
      <c r="K1001" s="96">
        <v>0</v>
      </c>
      <c r="L1001" s="96">
        <v>0</v>
      </c>
      <c r="M1001" s="96">
        <v>20.292999999999999</v>
      </c>
      <c r="N1001" s="96">
        <v>0</v>
      </c>
      <c r="O1001" s="96">
        <v>0.95199999999999996</v>
      </c>
      <c r="P1001" s="96">
        <v>0.499</v>
      </c>
      <c r="Q1001" s="96">
        <v>0</v>
      </c>
      <c r="R1001" s="96">
        <v>0</v>
      </c>
      <c r="S1001" s="96">
        <v>38.606999999999999</v>
      </c>
      <c r="T1001" s="96">
        <v>0</v>
      </c>
      <c r="U1001" s="96">
        <v>1.6930000000000001</v>
      </c>
      <c r="V1001" s="96">
        <v>0</v>
      </c>
      <c r="W1001" s="96">
        <v>0</v>
      </c>
      <c r="X1001" s="96">
        <v>0</v>
      </c>
      <c r="Y1001" s="96">
        <v>0</v>
      </c>
      <c r="Z1001" s="96"/>
      <c r="AA1001" s="19"/>
      <c r="AB1001" s="19"/>
      <c r="AC1001" s="19"/>
      <c r="AD1001" s="19"/>
      <c r="AE1001" s="13"/>
      <c r="AF1001" s="15" t="s">
        <v>2240</v>
      </c>
      <c r="AG1001" t="str">
        <f>VLOOKUP(OfficeForms.Table[[#This Row],[Nama Proyek]],'Nama Proyek'!$D$2:$G$29,4,0)</f>
        <v>-1.10415341,116.73424356</v>
      </c>
      <c r="AH1001" s="5"/>
      <c r="AI1001" s="5"/>
      <c r="AJ1001" s="5"/>
      <c r="AK1001" s="5" t="s">
        <v>2241</v>
      </c>
    </row>
    <row r="1002" spans="1:37" ht="15" hidden="1" customHeight="1">
      <c r="A1002">
        <v>561</v>
      </c>
      <c r="B1002" s="110">
        <v>45258</v>
      </c>
      <c r="C1002" s="28">
        <f>B1002</f>
        <v>45258</v>
      </c>
      <c r="D1002" s="8" t="s">
        <v>37</v>
      </c>
      <c r="E1002" s="8" t="s">
        <v>64</v>
      </c>
      <c r="F1002" s="5" t="str">
        <f>E1002</f>
        <v>Nizar Zulkarnain</v>
      </c>
      <c r="G1002" s="42" t="s">
        <v>65</v>
      </c>
      <c r="H1002" s="102"/>
      <c r="I1002" s="95">
        <v>0</v>
      </c>
      <c r="J1002" s="95">
        <v>0</v>
      </c>
      <c r="K1002" s="95">
        <v>0</v>
      </c>
      <c r="L1002" s="95">
        <v>0</v>
      </c>
      <c r="M1002" s="95">
        <v>0</v>
      </c>
      <c r="N1002" s="95">
        <v>0</v>
      </c>
      <c r="O1002" s="95">
        <v>0</v>
      </c>
      <c r="P1002" s="95">
        <v>0</v>
      </c>
      <c r="Q1002" s="95">
        <v>0</v>
      </c>
      <c r="R1002" s="95">
        <v>0</v>
      </c>
      <c r="S1002" s="95">
        <v>0</v>
      </c>
      <c r="T1002" s="95">
        <v>0</v>
      </c>
      <c r="U1002" s="95">
        <v>0</v>
      </c>
      <c r="V1002" s="95">
        <v>0</v>
      </c>
      <c r="W1002" s="95">
        <v>0</v>
      </c>
      <c r="X1002" s="95">
        <v>0</v>
      </c>
      <c r="Y1002" s="95">
        <v>0</v>
      </c>
      <c r="Z1002" s="95"/>
      <c r="AA1002" s="8"/>
      <c r="AB1002" s="8"/>
      <c r="AC1002" s="8"/>
      <c r="AD1002" s="8"/>
      <c r="AE1002" s="16">
        <v>44937</v>
      </c>
      <c r="AF1002" s="9" t="s">
        <v>1140</v>
      </c>
      <c r="AG1002" t="str">
        <f>VLOOKUP(OfficeForms.Table[[#This Row],[Nama Proyek]],'Nama Proyek'!$D$2:$G$29,4,0)</f>
        <v>-6.35008011,107.02324233</v>
      </c>
      <c r="AH1002" s="5"/>
      <c r="AI1002" s="5"/>
      <c r="AJ1002" s="5"/>
      <c r="AK1002" s="5" t="s">
        <v>2242</v>
      </c>
    </row>
    <row r="1003" spans="1:37" ht="15" hidden="1" customHeight="1">
      <c r="A1003" s="31">
        <v>742</v>
      </c>
      <c r="B1003" s="111">
        <v>45258</v>
      </c>
      <c r="C1003" s="29">
        <f>B1003</f>
        <v>45258</v>
      </c>
      <c r="D1003" s="8" t="s">
        <v>37</v>
      </c>
      <c r="E1003" s="8" t="s">
        <v>109</v>
      </c>
      <c r="F1003" s="5" t="str">
        <f>E1003</f>
        <v>Muhamad Saifudin Ashari</v>
      </c>
      <c r="G1003" s="17" t="s">
        <v>39</v>
      </c>
      <c r="H1003" s="102"/>
      <c r="I1003" s="95">
        <v>0</v>
      </c>
      <c r="J1003" s="95">
        <v>0</v>
      </c>
      <c r="K1003" s="95">
        <v>0</v>
      </c>
      <c r="L1003" s="95">
        <v>0</v>
      </c>
      <c r="M1003" s="95">
        <v>0</v>
      </c>
      <c r="N1003" s="95">
        <v>0</v>
      </c>
      <c r="O1003" s="95">
        <v>0</v>
      </c>
      <c r="P1003" s="95">
        <v>0</v>
      </c>
      <c r="Q1003" s="95">
        <v>0</v>
      </c>
      <c r="R1003" s="95">
        <v>0</v>
      </c>
      <c r="S1003" s="95">
        <v>0</v>
      </c>
      <c r="T1003" s="95">
        <v>0</v>
      </c>
      <c r="U1003" s="95">
        <v>0</v>
      </c>
      <c r="V1003" s="95">
        <v>0</v>
      </c>
      <c r="W1003" s="95">
        <v>0</v>
      </c>
      <c r="X1003" s="95">
        <v>0</v>
      </c>
      <c r="Y1003" s="95">
        <v>0</v>
      </c>
      <c r="Z1003" s="95"/>
      <c r="AA1003" s="8"/>
      <c r="AB1003" s="8"/>
      <c r="AC1003" s="8"/>
      <c r="AD1003" s="8"/>
      <c r="AE1003" s="11">
        <v>44937</v>
      </c>
      <c r="AF1003" s="15"/>
      <c r="AG1003" t="str">
        <f>VLOOKUP(OfficeForms.Table[[#This Row],[Nama Proyek]],'Nama Proyek'!$D$2:$G$29,4,0)</f>
        <v>-6.80675464,106.785366</v>
      </c>
      <c r="AH1003" s="5"/>
      <c r="AI1003" s="5"/>
      <c r="AJ1003" s="5"/>
      <c r="AK1003" s="5" t="s">
        <v>2243</v>
      </c>
    </row>
    <row r="1004" spans="1:37" ht="15" hidden="1" customHeight="1">
      <c r="A1004">
        <v>1060</v>
      </c>
      <c r="B1004" s="111">
        <v>45258</v>
      </c>
      <c r="C1004" s="29">
        <f>B1004</f>
        <v>45258</v>
      </c>
      <c r="D1004" s="8" t="s">
        <v>37</v>
      </c>
      <c r="E1004" s="8" t="s">
        <v>687</v>
      </c>
      <c r="F1004" s="5" t="str">
        <f>E1004</f>
        <v>Andri Julio Hermawan</v>
      </c>
      <c r="G1004" s="32" t="s">
        <v>750</v>
      </c>
      <c r="H1004" s="102"/>
      <c r="I1004" s="95">
        <v>0</v>
      </c>
      <c r="J1004" s="95">
        <v>0</v>
      </c>
      <c r="K1004" s="95">
        <v>0</v>
      </c>
      <c r="L1004" s="95">
        <v>0</v>
      </c>
      <c r="M1004" s="95">
        <v>0</v>
      </c>
      <c r="N1004" s="95">
        <v>0</v>
      </c>
      <c r="O1004" s="95">
        <v>0</v>
      </c>
      <c r="P1004" s="95">
        <v>0</v>
      </c>
      <c r="Q1004" s="95">
        <v>0</v>
      </c>
      <c r="R1004" s="95">
        <v>0</v>
      </c>
      <c r="S1004" s="95">
        <v>0</v>
      </c>
      <c r="T1004" s="95">
        <v>0</v>
      </c>
      <c r="U1004" s="95">
        <v>0</v>
      </c>
      <c r="V1004" s="95">
        <v>0</v>
      </c>
      <c r="W1004" s="95">
        <v>0</v>
      </c>
      <c r="X1004" s="95">
        <v>0</v>
      </c>
      <c r="Y1004" s="95">
        <v>0</v>
      </c>
      <c r="Z1004" s="95"/>
      <c r="AA1004" s="8"/>
      <c r="AB1004" s="15"/>
      <c r="AC1004" s="8"/>
      <c r="AD1004" s="8"/>
      <c r="AE1004" s="16" t="s">
        <v>2244</v>
      </c>
      <c r="AF1004" s="19"/>
      <c r="AG1004" t="str">
        <f>VLOOKUP(OfficeForms.Table[[#This Row],[Nama Proyek]],'Nama Proyek'!$D$2:$G$29,4,0)</f>
        <v>-1.10415341,116.73424356</v>
      </c>
      <c r="AH1004" s="5"/>
      <c r="AI1004" s="5"/>
      <c r="AJ1004" s="5"/>
      <c r="AK1004" s="5" t="s">
        <v>2245</v>
      </c>
    </row>
    <row r="1005" spans="1:37" ht="15" hidden="1" customHeight="1">
      <c r="A1005" s="50">
        <v>1061</v>
      </c>
      <c r="B1005" s="110">
        <v>45258</v>
      </c>
      <c r="C1005" s="28">
        <f>B1005</f>
        <v>45258</v>
      </c>
      <c r="D1005" s="19" t="s">
        <v>37</v>
      </c>
      <c r="E1005" s="19" t="s">
        <v>687</v>
      </c>
      <c r="F1005" s="5" t="str">
        <f>E1005</f>
        <v>Andri Julio Hermawan</v>
      </c>
      <c r="G1005" s="39" t="s">
        <v>750</v>
      </c>
      <c r="H1005" s="106"/>
      <c r="I1005" s="96">
        <v>0</v>
      </c>
      <c r="J1005" s="96">
        <v>0</v>
      </c>
      <c r="K1005" s="96">
        <v>0</v>
      </c>
      <c r="L1005" s="96">
        <v>0</v>
      </c>
      <c r="M1005" s="96">
        <v>0</v>
      </c>
      <c r="N1005" s="96">
        <v>0</v>
      </c>
      <c r="O1005" s="96">
        <v>0</v>
      </c>
      <c r="P1005" s="96">
        <v>0</v>
      </c>
      <c r="Q1005" s="96">
        <v>0</v>
      </c>
      <c r="R1005" s="96">
        <v>0</v>
      </c>
      <c r="S1005" s="96">
        <v>0</v>
      </c>
      <c r="T1005" s="96">
        <v>0</v>
      </c>
      <c r="U1005" s="96">
        <v>0</v>
      </c>
      <c r="V1005" s="96">
        <v>0</v>
      </c>
      <c r="W1005" s="96">
        <v>0</v>
      </c>
      <c r="X1005" s="96">
        <v>0</v>
      </c>
      <c r="Y1005" s="96">
        <v>0</v>
      </c>
      <c r="Z1005" s="96"/>
      <c r="AA1005" s="19" t="s">
        <v>2246</v>
      </c>
      <c r="AB1005" s="19" t="s">
        <v>2247</v>
      </c>
      <c r="AC1005" s="19" t="s">
        <v>2248</v>
      </c>
      <c r="AD1005" s="19" t="s">
        <v>2248</v>
      </c>
      <c r="AE1005" s="13"/>
      <c r="AF1005" s="8"/>
      <c r="AG1005" t="str">
        <f>VLOOKUP(OfficeForms.Table[[#This Row],[Nama Proyek]],'Nama Proyek'!$D$2:$G$29,4,0)</f>
        <v>-1.10415341,116.73424356</v>
      </c>
      <c r="AH1005" s="5"/>
      <c r="AI1005" s="5"/>
      <c r="AJ1005" s="5"/>
      <c r="AK1005" s="5" t="s">
        <v>2249</v>
      </c>
    </row>
    <row r="1006" spans="1:37" ht="15" hidden="1" customHeight="1">
      <c r="A1006" s="31">
        <v>1062</v>
      </c>
      <c r="B1006" s="111">
        <v>45260</v>
      </c>
      <c r="C1006" s="29">
        <f>B1006</f>
        <v>45260</v>
      </c>
      <c r="D1006" s="8" t="s">
        <v>37</v>
      </c>
      <c r="E1006" s="8" t="s">
        <v>57</v>
      </c>
      <c r="F1006" s="5" t="str">
        <f>E1006</f>
        <v>Alfian Budi Prasetya</v>
      </c>
      <c r="G1006" s="36" t="s">
        <v>1484</v>
      </c>
      <c r="H1006" s="102">
        <v>45256</v>
      </c>
      <c r="I1006" s="95">
        <v>2.6419999999999999</v>
      </c>
      <c r="J1006" s="95">
        <v>1.1499999999999999</v>
      </c>
      <c r="K1006" s="95">
        <v>0</v>
      </c>
      <c r="L1006" s="95">
        <v>1.637</v>
      </c>
      <c r="M1006" s="95">
        <v>0</v>
      </c>
      <c r="N1006" s="95">
        <v>0</v>
      </c>
      <c r="O1006" s="95">
        <v>0</v>
      </c>
      <c r="P1006" s="95">
        <v>0</v>
      </c>
      <c r="Q1006" s="95">
        <v>0</v>
      </c>
      <c r="R1006" s="95">
        <v>0</v>
      </c>
      <c r="S1006" s="95">
        <v>0</v>
      </c>
      <c r="T1006" s="95">
        <v>0</v>
      </c>
      <c r="U1006" s="95">
        <v>0</v>
      </c>
      <c r="V1006" s="95">
        <v>0</v>
      </c>
      <c r="W1006" s="95">
        <v>0</v>
      </c>
      <c r="X1006" s="95">
        <v>0</v>
      </c>
      <c r="Y1006" s="95">
        <v>0</v>
      </c>
      <c r="Z1006" s="95"/>
      <c r="AA1006" s="8"/>
      <c r="AB1006" s="8"/>
      <c r="AC1006" s="8"/>
      <c r="AD1006" s="8"/>
      <c r="AE1006" s="11"/>
      <c r="AF1006" s="19" t="s">
        <v>2250</v>
      </c>
      <c r="AG1006" t="str">
        <f>VLOOKUP(OfficeForms.Table[[#This Row],[Nama Proyek]],'Nama Proyek'!$D$2:$G$29,4,0)</f>
        <v>-8.01003300,110.33312900</v>
      </c>
      <c r="AH1006" s="5"/>
      <c r="AI1006" s="5"/>
      <c r="AJ1006" s="5"/>
      <c r="AK1006" s="5" t="s">
        <v>2251</v>
      </c>
    </row>
    <row r="1007" spans="1:37" ht="15" hidden="1" customHeight="1">
      <c r="A1007" s="30">
        <v>1063</v>
      </c>
      <c r="B1007" s="110">
        <v>45260</v>
      </c>
      <c r="C1007" s="28">
        <f>B1007</f>
        <v>45260</v>
      </c>
      <c r="D1007" s="19" t="s">
        <v>37</v>
      </c>
      <c r="E1007" s="19" t="s">
        <v>57</v>
      </c>
      <c r="F1007" s="5" t="str">
        <f>E1007</f>
        <v>Alfian Budi Prasetya</v>
      </c>
      <c r="G1007" s="35" t="s">
        <v>1484</v>
      </c>
      <c r="H1007" s="106"/>
      <c r="I1007" s="96">
        <v>0</v>
      </c>
      <c r="J1007" s="96">
        <v>0</v>
      </c>
      <c r="K1007" s="96">
        <v>0</v>
      </c>
      <c r="L1007" s="96">
        <v>0</v>
      </c>
      <c r="M1007" s="96">
        <v>0</v>
      </c>
      <c r="N1007" s="96">
        <v>0</v>
      </c>
      <c r="O1007" s="96">
        <v>0</v>
      </c>
      <c r="P1007" s="96">
        <v>0</v>
      </c>
      <c r="Q1007" s="96">
        <v>0</v>
      </c>
      <c r="R1007" s="96">
        <v>0</v>
      </c>
      <c r="S1007" s="96">
        <v>0</v>
      </c>
      <c r="T1007" s="96">
        <v>0</v>
      </c>
      <c r="U1007" s="96">
        <v>0</v>
      </c>
      <c r="V1007" s="96">
        <v>0</v>
      </c>
      <c r="W1007" s="96">
        <v>0</v>
      </c>
      <c r="X1007" s="96">
        <v>0</v>
      </c>
      <c r="Y1007" s="96">
        <v>0</v>
      </c>
      <c r="Z1007" s="96"/>
      <c r="AA1007" s="19"/>
      <c r="AB1007" s="19"/>
      <c r="AC1007" s="19"/>
      <c r="AD1007" s="19"/>
      <c r="AE1007" s="13" t="s">
        <v>2252</v>
      </c>
      <c r="AF1007" s="15"/>
      <c r="AG1007" t="str">
        <f>VLOOKUP(OfficeForms.Table[[#This Row],[Nama Proyek]],'Nama Proyek'!$D$2:$G$29,4,0)</f>
        <v>-8.01003300,110.33312900</v>
      </c>
      <c r="AH1007" s="5"/>
      <c r="AI1007" s="5"/>
      <c r="AJ1007" s="5"/>
      <c r="AK1007" s="5" t="s">
        <v>2253</v>
      </c>
    </row>
    <row r="1008" spans="1:37" ht="15" hidden="1" customHeight="1">
      <c r="A1008" s="31">
        <v>1064</v>
      </c>
      <c r="B1008" s="111">
        <v>45260</v>
      </c>
      <c r="C1008" s="29">
        <f>B1008</f>
        <v>45260</v>
      </c>
      <c r="D1008" s="8" t="s">
        <v>37</v>
      </c>
      <c r="E1008" s="8" t="s">
        <v>57</v>
      </c>
      <c r="F1008" s="5" t="str">
        <f>E1008</f>
        <v>Alfian Budi Prasetya</v>
      </c>
      <c r="G1008" s="33" t="s">
        <v>1484</v>
      </c>
      <c r="H1008" s="102"/>
      <c r="I1008" s="95">
        <v>0</v>
      </c>
      <c r="J1008" s="95">
        <v>0</v>
      </c>
      <c r="K1008" s="95">
        <v>0</v>
      </c>
      <c r="L1008" s="95">
        <v>0</v>
      </c>
      <c r="M1008" s="95">
        <v>0</v>
      </c>
      <c r="N1008" s="95">
        <v>0</v>
      </c>
      <c r="O1008" s="95">
        <v>0</v>
      </c>
      <c r="P1008" s="95">
        <v>0</v>
      </c>
      <c r="Q1008" s="95">
        <v>0</v>
      </c>
      <c r="R1008" s="95">
        <v>0</v>
      </c>
      <c r="S1008" s="95">
        <v>0</v>
      </c>
      <c r="T1008" s="95">
        <v>0</v>
      </c>
      <c r="U1008" s="95">
        <v>0</v>
      </c>
      <c r="V1008" s="95">
        <v>0</v>
      </c>
      <c r="W1008" s="95">
        <v>0</v>
      </c>
      <c r="X1008" s="95">
        <v>0</v>
      </c>
      <c r="Y1008" s="95">
        <v>0</v>
      </c>
      <c r="Z1008" s="95"/>
      <c r="AA1008" s="8" t="s">
        <v>2254</v>
      </c>
      <c r="AB1008" s="8" t="s">
        <v>2254</v>
      </c>
      <c r="AC1008" s="8"/>
      <c r="AD1008" s="8"/>
      <c r="AE1008" s="16"/>
      <c r="AF1008" s="19"/>
      <c r="AG1008" t="str">
        <f>VLOOKUP(OfficeForms.Table[[#This Row],[Nama Proyek]],'Nama Proyek'!$D$2:$G$29,4,0)</f>
        <v>-8.01003300,110.33312900</v>
      </c>
      <c r="AH1008" s="5"/>
      <c r="AI1008" s="5"/>
      <c r="AJ1008" s="5"/>
      <c r="AK1008" s="5" t="s">
        <v>2255</v>
      </c>
    </row>
    <row r="1009" spans="1:37" ht="15" hidden="1" customHeight="1">
      <c r="A1009" s="50">
        <v>36</v>
      </c>
      <c r="B1009" s="110">
        <v>45260.685324074075</v>
      </c>
      <c r="C1009" s="15" t="s">
        <v>2256</v>
      </c>
      <c r="D1009" s="8" t="s">
        <v>37</v>
      </c>
      <c r="E1009" s="8" t="s">
        <v>109</v>
      </c>
      <c r="F1009" s="5" t="str">
        <f>E1009</f>
        <v>Muhamad Saifudin Ashari</v>
      </c>
      <c r="G1009" s="19" t="s">
        <v>39</v>
      </c>
      <c r="H1009" s="106">
        <v>45245</v>
      </c>
      <c r="I1009" s="95">
        <v>100</v>
      </c>
      <c r="J1009" s="95">
        <v>100</v>
      </c>
      <c r="K1009" s="95"/>
      <c r="L1009" s="95"/>
      <c r="M1009" s="95"/>
      <c r="N1009" s="95"/>
      <c r="O1009" s="95"/>
      <c r="P1009" s="95"/>
      <c r="Q1009" s="95"/>
      <c r="R1009" s="95"/>
      <c r="S1009" s="95"/>
      <c r="T1009" s="95"/>
      <c r="U1009" s="95"/>
      <c r="V1009" s="95"/>
      <c r="W1009" s="95"/>
      <c r="X1009" s="95"/>
      <c r="Y1009" s="95"/>
      <c r="Z1009" s="95"/>
      <c r="AA1009" s="63"/>
      <c r="AB1009" s="63"/>
      <c r="AC1009" s="63"/>
      <c r="AD1009" s="63"/>
      <c r="AE1009" s="11"/>
      <c r="AF1009" s="62"/>
      <c r="AH1009" s="5"/>
      <c r="AI1009" s="5"/>
      <c r="AJ1009" s="5"/>
      <c r="AK1009" s="5" t="s">
        <v>2257</v>
      </c>
    </row>
    <row r="1010" spans="1:37" ht="15" hidden="1" customHeight="1">
      <c r="A1010">
        <v>459</v>
      </c>
      <c r="B1010" s="110">
        <v>45265</v>
      </c>
      <c r="C1010" s="28">
        <f>B1010</f>
        <v>45265</v>
      </c>
      <c r="D1010" s="19" t="s">
        <v>37</v>
      </c>
      <c r="E1010" s="19" t="s">
        <v>75</v>
      </c>
      <c r="F1010" s="5" t="str">
        <f>E1010</f>
        <v>Banyu Purwita</v>
      </c>
      <c r="G1010" s="55" t="s">
        <v>76</v>
      </c>
      <c r="H1010" s="106">
        <v>45057</v>
      </c>
      <c r="I1010" s="96">
        <v>47.161000000000001</v>
      </c>
      <c r="J1010" s="96">
        <v>51.328000000000003</v>
      </c>
      <c r="K1010" s="96">
        <v>0</v>
      </c>
      <c r="L1010" s="96">
        <v>0</v>
      </c>
      <c r="M1010" s="96">
        <v>2.1360000000000001</v>
      </c>
      <c r="N1010" s="96">
        <v>0</v>
      </c>
      <c r="O1010" s="96">
        <v>12.15</v>
      </c>
      <c r="P1010" s="96">
        <v>0</v>
      </c>
      <c r="Q1010" s="96">
        <v>3.258</v>
      </c>
      <c r="R1010" s="96">
        <v>0</v>
      </c>
      <c r="S1010" s="96">
        <v>27.696000000000002</v>
      </c>
      <c r="T1010" s="96">
        <v>0</v>
      </c>
      <c r="U1010" s="96">
        <v>6.3E-2</v>
      </c>
      <c r="V1010" s="96">
        <v>0</v>
      </c>
      <c r="W1010" s="96">
        <v>0</v>
      </c>
      <c r="X1010" s="96">
        <v>0</v>
      </c>
      <c r="Y1010" s="96">
        <v>0</v>
      </c>
      <c r="Z1010" s="96"/>
      <c r="AA1010" s="19"/>
      <c r="AB1010" s="19"/>
      <c r="AC1010" s="19"/>
      <c r="AD1010" s="19"/>
      <c r="AE1010" s="24"/>
      <c r="AF1010" s="9"/>
      <c r="AG1010" t="str">
        <f>VLOOKUP(OfficeForms.Table[[#This Row],[Nama Proyek]],'Nama Proyek'!$D$2:$G$29,4,0)</f>
        <v>-2.95293103,104.75455094</v>
      </c>
      <c r="AH1010" s="5"/>
      <c r="AI1010" s="5"/>
      <c r="AJ1010" s="5"/>
      <c r="AK1010" s="5" t="s">
        <v>2258</v>
      </c>
    </row>
    <row r="1011" spans="1:37" ht="15" hidden="1" customHeight="1">
      <c r="A1011" s="31">
        <v>840</v>
      </c>
      <c r="B1011" s="111">
        <v>45265</v>
      </c>
      <c r="C1011" s="29">
        <f>B1011</f>
        <v>45265</v>
      </c>
      <c r="D1011" s="8" t="s">
        <v>37</v>
      </c>
      <c r="E1011" s="8" t="s">
        <v>75</v>
      </c>
      <c r="F1011" s="5" t="str">
        <f>E1011</f>
        <v>Banyu Purwita</v>
      </c>
      <c r="G1011" s="54" t="s">
        <v>76</v>
      </c>
      <c r="H1011" s="102"/>
      <c r="I1011" s="95">
        <v>0</v>
      </c>
      <c r="J1011" s="95">
        <v>0</v>
      </c>
      <c r="K1011" s="95">
        <v>0</v>
      </c>
      <c r="L1011" s="95">
        <v>0</v>
      </c>
      <c r="M1011" s="95">
        <v>0</v>
      </c>
      <c r="N1011" s="95">
        <v>0</v>
      </c>
      <c r="O1011" s="95">
        <v>0</v>
      </c>
      <c r="P1011" s="95">
        <v>0</v>
      </c>
      <c r="Q1011" s="95">
        <v>0</v>
      </c>
      <c r="R1011" s="95">
        <v>0</v>
      </c>
      <c r="S1011" s="95">
        <v>0</v>
      </c>
      <c r="T1011" s="95">
        <v>0</v>
      </c>
      <c r="U1011" s="95">
        <v>0</v>
      </c>
      <c r="V1011" s="95">
        <v>0</v>
      </c>
      <c r="W1011" s="95">
        <v>0</v>
      </c>
      <c r="X1011" s="95">
        <v>0</v>
      </c>
      <c r="Y1011" s="95">
        <v>0</v>
      </c>
      <c r="Z1011" s="95"/>
      <c r="AA1011" s="8" t="s">
        <v>2259</v>
      </c>
      <c r="AB1011" s="8" t="s">
        <v>2260</v>
      </c>
      <c r="AC1011" s="8" t="s">
        <v>2261</v>
      </c>
      <c r="AD1011" s="8" t="s">
        <v>2261</v>
      </c>
      <c r="AE1011" s="11"/>
      <c r="AF1011" s="8"/>
      <c r="AG1011" t="str">
        <f>VLOOKUP(OfficeForms.Table[[#This Row],[Nama Proyek]],'Nama Proyek'!$D$2:$G$29,4,0)</f>
        <v>-2.95293103,104.75455094</v>
      </c>
      <c r="AH1011" s="5"/>
      <c r="AI1011" s="5"/>
      <c r="AJ1011" s="5"/>
      <c r="AK1011" s="5" t="s">
        <v>2262</v>
      </c>
    </row>
    <row r="1012" spans="1:37" ht="15" hidden="1" customHeight="1">
      <c r="A1012" s="30">
        <v>861</v>
      </c>
      <c r="B1012" s="110">
        <v>45265</v>
      </c>
      <c r="C1012" s="28">
        <f>B1012</f>
        <v>45265</v>
      </c>
      <c r="D1012" s="8" t="s">
        <v>37</v>
      </c>
      <c r="E1012" s="8" t="s">
        <v>75</v>
      </c>
      <c r="F1012" s="5" t="str">
        <f>E1012</f>
        <v>Banyu Purwita</v>
      </c>
      <c r="G1012" s="55" t="s">
        <v>76</v>
      </c>
      <c r="H1012" s="102"/>
      <c r="I1012" s="95">
        <v>0</v>
      </c>
      <c r="J1012" s="95">
        <v>0</v>
      </c>
      <c r="K1012" s="95">
        <v>0</v>
      </c>
      <c r="L1012" s="95">
        <v>0</v>
      </c>
      <c r="M1012" s="95">
        <v>0</v>
      </c>
      <c r="N1012" s="95">
        <v>0</v>
      </c>
      <c r="O1012" s="95">
        <v>0</v>
      </c>
      <c r="P1012" s="95">
        <v>0</v>
      </c>
      <c r="Q1012" s="95">
        <v>0</v>
      </c>
      <c r="R1012" s="95">
        <v>0</v>
      </c>
      <c r="S1012" s="95">
        <v>0</v>
      </c>
      <c r="T1012" s="95">
        <v>0</v>
      </c>
      <c r="U1012" s="95">
        <v>0</v>
      </c>
      <c r="V1012" s="95">
        <v>0</v>
      </c>
      <c r="W1012" s="95">
        <v>0</v>
      </c>
      <c r="X1012" s="95">
        <v>0</v>
      </c>
      <c r="Y1012" s="95">
        <v>0</v>
      </c>
      <c r="Z1012" s="95"/>
      <c r="AA1012" s="8"/>
      <c r="AB1012" s="8"/>
      <c r="AC1012" s="8"/>
      <c r="AD1012" s="8"/>
      <c r="AE1012" s="11">
        <v>45235</v>
      </c>
      <c r="AF1012" s="8" t="s">
        <v>2263</v>
      </c>
      <c r="AG1012" t="str">
        <f>VLOOKUP(OfficeForms.Table[[#This Row],[Nama Proyek]],'Nama Proyek'!$D$2:$G$29,4,0)</f>
        <v>-2.95293103,104.75455094</v>
      </c>
      <c r="AH1012" s="5"/>
      <c r="AI1012" s="5"/>
      <c r="AJ1012" s="5"/>
      <c r="AK1012" s="5" t="s">
        <v>2264</v>
      </c>
    </row>
    <row r="1013" spans="1:37" ht="15" hidden="1" customHeight="1">
      <c r="A1013" s="31">
        <v>1091</v>
      </c>
      <c r="B1013" s="110">
        <v>45307</v>
      </c>
      <c r="C1013" s="29"/>
      <c r="D1013" s="193" t="s">
        <v>37</v>
      </c>
      <c r="E1013" s="52" t="s">
        <v>504</v>
      </c>
      <c r="F1013" s="5" t="s">
        <v>504</v>
      </c>
      <c r="G1013" s="9" t="s">
        <v>472</v>
      </c>
      <c r="H1013" s="149">
        <v>45307</v>
      </c>
      <c r="I1013" s="97">
        <v>100</v>
      </c>
      <c r="J1013" s="97">
        <v>100</v>
      </c>
      <c r="K1013" s="97"/>
      <c r="L1013" s="97"/>
      <c r="M1013" s="97"/>
      <c r="N1013" s="97"/>
      <c r="O1013" s="97"/>
      <c r="P1013" s="97"/>
      <c r="Q1013" s="97"/>
      <c r="R1013" s="97"/>
      <c r="S1013" s="97"/>
      <c r="T1013" s="97"/>
      <c r="U1013" s="97"/>
      <c r="V1013" s="97"/>
      <c r="W1013" s="97"/>
      <c r="X1013" s="97"/>
      <c r="Y1013" s="97"/>
      <c r="Z1013" s="97"/>
      <c r="AA1013" s="52"/>
      <c r="AB1013" s="52"/>
      <c r="AC1013" s="52"/>
      <c r="AD1013" s="52"/>
      <c r="AE1013" s="61"/>
      <c r="AF1013" s="52"/>
      <c r="AG1013" t="str">
        <f>VLOOKUP(OfficeForms.Table[[#This Row],[Nama Proyek]],'Nama Proyek'!$D$2:$G$29,4,0)</f>
        <v>-8.29394978,112.00545006</v>
      </c>
      <c r="AH1013" s="5"/>
      <c r="AI1013" s="5"/>
      <c r="AJ1013" s="5"/>
      <c r="AK1013" s="5" t="s">
        <v>2265</v>
      </c>
    </row>
    <row r="1014" spans="1:37" ht="15" customHeight="1">
      <c r="A1014" s="50">
        <v>23</v>
      </c>
      <c r="B1014" s="110">
        <v>45320.701527777775</v>
      </c>
      <c r="C1014" s="28">
        <f>B1014</f>
        <v>45320.701527777775</v>
      </c>
      <c r="D1014" s="8" t="s">
        <v>2266</v>
      </c>
      <c r="E1014" s="8" t="s">
        <v>109</v>
      </c>
      <c r="F1014" s="5" t="str">
        <f>E1014</f>
        <v>Muhamad Saifudin Ashari</v>
      </c>
      <c r="G1014" s="8" t="s">
        <v>2267</v>
      </c>
      <c r="H1014" s="105">
        <v>45312</v>
      </c>
      <c r="I1014" s="95">
        <v>0.25600000000000001</v>
      </c>
      <c r="J1014" s="95">
        <v>1.91</v>
      </c>
      <c r="K1014" s="95">
        <v>9.32</v>
      </c>
      <c r="L1014" s="95">
        <v>1.53</v>
      </c>
      <c r="M1014" s="95">
        <v>0</v>
      </c>
      <c r="N1014" s="95">
        <v>0</v>
      </c>
      <c r="O1014" s="95">
        <v>0.89</v>
      </c>
      <c r="P1014" s="95">
        <v>0</v>
      </c>
      <c r="Q1014" s="95">
        <v>0</v>
      </c>
      <c r="R1014" s="95">
        <v>0</v>
      </c>
      <c r="S1014" s="95">
        <v>0</v>
      </c>
      <c r="T1014" s="95">
        <v>0</v>
      </c>
      <c r="U1014" s="95">
        <v>0</v>
      </c>
      <c r="V1014" s="95">
        <v>0</v>
      </c>
      <c r="W1014" s="95">
        <v>0</v>
      </c>
      <c r="X1014" s="95">
        <v>0</v>
      </c>
      <c r="Y1014" s="95">
        <v>0</v>
      </c>
      <c r="Z1014" s="95">
        <v>0</v>
      </c>
      <c r="AA1014" s="8" t="s">
        <v>2268</v>
      </c>
      <c r="AB1014" s="8" t="s">
        <v>2269</v>
      </c>
      <c r="AC1014" s="8" t="s">
        <v>2270</v>
      </c>
      <c r="AD1014" s="8" t="s">
        <v>2270</v>
      </c>
      <c r="AE1014" s="11">
        <v>45313</v>
      </c>
      <c r="AF1014" s="9" t="s">
        <v>2271</v>
      </c>
      <c r="AG1014" t="str">
        <f>VLOOKUP(OfficeForms.Table[[#This Row],[Nama Proyek]],'Nama Proyek'!$D$2:$G$40,4,0)</f>
        <v>-6.88120502,106.78938277</v>
      </c>
      <c r="AH1014" s="5"/>
      <c r="AI1014" s="5"/>
      <c r="AJ1014" s="5"/>
      <c r="AK1014" s="5" t="s">
        <v>2272</v>
      </c>
    </row>
    <row r="1015" spans="1:37" ht="15" customHeight="1">
      <c r="A1015">
        <v>24</v>
      </c>
      <c r="B1015" s="111">
        <v>45321.457256944443</v>
      </c>
      <c r="C1015" s="29">
        <f>B1015</f>
        <v>45321.457256944443</v>
      </c>
      <c r="D1015" s="9" t="s">
        <v>2266</v>
      </c>
      <c r="E1015" s="9" t="s">
        <v>57</v>
      </c>
      <c r="F1015" s="5" t="str">
        <f>E1015</f>
        <v>Alfian Budi Prasetya</v>
      </c>
      <c r="G1015" s="17" t="s">
        <v>1484</v>
      </c>
      <c r="H1015" s="103">
        <v>45316</v>
      </c>
      <c r="I1015" s="94">
        <v>14.73</v>
      </c>
      <c r="J1015" s="94">
        <v>9.64</v>
      </c>
      <c r="K1015" s="94">
        <v>1.3320000000000001</v>
      </c>
      <c r="L1015" s="94"/>
      <c r="M1015" s="94">
        <v>11.731999999999999</v>
      </c>
      <c r="N1015" s="94"/>
      <c r="O1015" s="94"/>
      <c r="P1015" s="94"/>
      <c r="Q1015" s="94">
        <v>1.6659999999999999</v>
      </c>
      <c r="R1015" s="94"/>
      <c r="S1015" s="94"/>
      <c r="T1015" s="94"/>
      <c r="U1015" s="94"/>
      <c r="V1015" s="94"/>
      <c r="W1015" s="94"/>
      <c r="X1015" s="94"/>
      <c r="Y1015" s="94"/>
      <c r="Z1015" s="94"/>
      <c r="AA1015" s="9" t="s">
        <v>2273</v>
      </c>
      <c r="AB1015" s="9" t="s">
        <v>2274</v>
      </c>
      <c r="AC1015" s="9" t="s">
        <v>2275</v>
      </c>
      <c r="AD1015" s="9" t="s">
        <v>2275</v>
      </c>
      <c r="AE1015" s="12">
        <v>45308</v>
      </c>
      <c r="AF1015" s="41" t="s">
        <v>2276</v>
      </c>
      <c r="AG1015" t="str">
        <f>VLOOKUP(OfficeForms.Table[[#This Row],[Nama Proyek]],'Nama Proyek'!$D$2:$G$40,4,0)</f>
        <v>-8.01003300,110.33312900</v>
      </c>
      <c r="AH1015" s="5"/>
      <c r="AI1015" s="5"/>
      <c r="AJ1015" s="5"/>
      <c r="AK1015" s="5" t="s">
        <v>2277</v>
      </c>
    </row>
    <row r="1016" spans="1:37" ht="15" customHeight="1">
      <c r="A1016" s="31">
        <v>25</v>
      </c>
      <c r="B1016" s="110">
        <v>45321.46298611111</v>
      </c>
      <c r="C1016" s="28">
        <f>B1016</f>
        <v>45321.46298611111</v>
      </c>
      <c r="D1016" s="8" t="s">
        <v>2266</v>
      </c>
      <c r="E1016" s="8" t="s">
        <v>54</v>
      </c>
      <c r="F1016" s="5" t="str">
        <f>E1016</f>
        <v>Haryo Widiandoko</v>
      </c>
      <c r="G1016" s="15" t="s">
        <v>1315</v>
      </c>
      <c r="H1016" s="105">
        <v>45319</v>
      </c>
      <c r="I1016" s="95">
        <v>26.59</v>
      </c>
      <c r="J1016" s="95">
        <v>32.82</v>
      </c>
      <c r="K1016" s="95"/>
      <c r="L1016" s="95"/>
      <c r="M1016" s="95"/>
      <c r="N1016" s="95"/>
      <c r="O1016" s="95"/>
      <c r="P1016" s="95"/>
      <c r="Q1016" s="95"/>
      <c r="R1016" s="95"/>
      <c r="S1016" s="95"/>
      <c r="T1016" s="95"/>
      <c r="U1016" s="95"/>
      <c r="V1016" s="95"/>
      <c r="W1016" s="95"/>
      <c r="X1016" s="95"/>
      <c r="Y1016" s="95"/>
      <c r="Z1016" s="95"/>
      <c r="AA1016" s="8"/>
      <c r="AB1016" s="8"/>
      <c r="AC1016" s="8"/>
      <c r="AD1016" s="8"/>
      <c r="AE1016" s="11">
        <v>45319</v>
      </c>
      <c r="AF1016" s="9"/>
      <c r="AG1016" t="str">
        <f>VLOOKUP(OfficeForms.Table[[#This Row],[Nama Proyek]],'Nama Proyek'!$D$2:$G$40,4,0)</f>
        <v>-6.42093860,107.18760070</v>
      </c>
      <c r="AH1016" s="5"/>
      <c r="AI1016" s="5"/>
      <c r="AJ1016" s="5"/>
      <c r="AK1016" s="5" t="s">
        <v>2278</v>
      </c>
    </row>
    <row r="1017" spans="1:37" ht="15" customHeight="1">
      <c r="A1017" s="30">
        <v>26</v>
      </c>
      <c r="B1017" s="111">
        <v>45321.561909722222</v>
      </c>
      <c r="C1017" s="29">
        <f>B1017</f>
        <v>45321.561909722222</v>
      </c>
      <c r="D1017" s="9" t="s">
        <v>2266</v>
      </c>
      <c r="E1017" s="9" t="s">
        <v>54</v>
      </c>
      <c r="F1017" s="5" t="str">
        <f>E1017</f>
        <v>Haryo Widiandoko</v>
      </c>
      <c r="G1017" s="17" t="s">
        <v>1315</v>
      </c>
      <c r="H1017" s="103">
        <v>45319</v>
      </c>
      <c r="I1017" s="94">
        <v>26.59</v>
      </c>
      <c r="J1017" s="94">
        <v>32.82</v>
      </c>
      <c r="K1017" s="94">
        <v>4.1139999999999999</v>
      </c>
      <c r="L1017" s="94">
        <v>0.76900000000000002</v>
      </c>
      <c r="M1017" s="94">
        <v>4.7E-2</v>
      </c>
      <c r="N1017" s="94">
        <v>10.349</v>
      </c>
      <c r="O1017" s="94">
        <v>0.29099999999999998</v>
      </c>
      <c r="P1017" s="94">
        <v>0.33600000000000002</v>
      </c>
      <c r="Q1017" s="94">
        <v>0</v>
      </c>
      <c r="R1017" s="94">
        <v>0</v>
      </c>
      <c r="S1017" s="94">
        <v>0</v>
      </c>
      <c r="T1017" s="94">
        <v>6.9379999999999997</v>
      </c>
      <c r="U1017" s="94">
        <v>0</v>
      </c>
      <c r="V1017" s="94">
        <v>2.4089999999999998</v>
      </c>
      <c r="W1017" s="94">
        <v>0</v>
      </c>
      <c r="X1017" s="94">
        <v>0</v>
      </c>
      <c r="Y1017" s="94">
        <v>1.333</v>
      </c>
      <c r="Z1017" s="94">
        <v>0</v>
      </c>
      <c r="AA1017" s="9"/>
      <c r="AB1017" s="9"/>
      <c r="AC1017" s="9"/>
      <c r="AD1017" s="9"/>
      <c r="AE1017" s="12"/>
      <c r="AF1017" s="19"/>
      <c r="AG1017" t="str">
        <f>VLOOKUP(OfficeForms.Table[[#This Row],[Nama Proyek]],'Nama Proyek'!$D$2:$G$40,4,0)</f>
        <v>-6.42093860,107.18760070</v>
      </c>
      <c r="AH1017" s="5"/>
      <c r="AI1017" s="5"/>
      <c r="AJ1017" s="5"/>
      <c r="AK1017" s="5" t="s">
        <v>2279</v>
      </c>
    </row>
    <row r="1018" spans="1:37" ht="15" customHeight="1">
      <c r="A1018" s="31">
        <v>1034</v>
      </c>
      <c r="B1018" s="111">
        <v>45322.444803240738</v>
      </c>
      <c r="C1018" s="29">
        <f>B1018</f>
        <v>45322.444803240738</v>
      </c>
      <c r="D1018" s="8" t="s">
        <v>2266</v>
      </c>
      <c r="E1018" s="8" t="s">
        <v>64</v>
      </c>
      <c r="F1018" s="5" t="str">
        <f>E1018</f>
        <v>Nizar Zulkarnain</v>
      </c>
      <c r="G1018" s="17" t="s">
        <v>65</v>
      </c>
      <c r="H1018" s="102">
        <v>45319</v>
      </c>
      <c r="I1018" s="95">
        <v>88.06</v>
      </c>
      <c r="J1018" s="95">
        <v>91.655000000000001</v>
      </c>
      <c r="K1018" s="95">
        <v>76.12</v>
      </c>
      <c r="L1018" s="95">
        <v>80.13</v>
      </c>
      <c r="M1018" s="95">
        <v>98.49</v>
      </c>
      <c r="N1018" s="95">
        <v>94.64</v>
      </c>
      <c r="O1018" s="95">
        <v>92.04</v>
      </c>
      <c r="P1018" s="95">
        <v>83.34</v>
      </c>
      <c r="Q1018" s="95">
        <v>79.239999999999995</v>
      </c>
      <c r="R1018" s="95">
        <v>81.92</v>
      </c>
      <c r="S1018" s="95">
        <v>70.989999999999995</v>
      </c>
      <c r="T1018" s="95">
        <v>95.71</v>
      </c>
      <c r="U1018" s="95">
        <v>97.1</v>
      </c>
      <c r="V1018" s="95">
        <v>57.37</v>
      </c>
      <c r="W1018" s="95">
        <v>30.68</v>
      </c>
      <c r="X1018" s="95"/>
      <c r="Y1018" s="95">
        <v>98.36</v>
      </c>
      <c r="Z1018" s="95">
        <v>41.48</v>
      </c>
      <c r="AA1018" s="8" t="s">
        <v>2280</v>
      </c>
      <c r="AB1018" s="8"/>
      <c r="AC1018" s="8" t="s">
        <v>2281</v>
      </c>
      <c r="AD1018" s="8"/>
      <c r="AE1018" s="11">
        <v>45319</v>
      </c>
      <c r="AF1018" s="42"/>
      <c r="AG1018" t="str">
        <f>VLOOKUP(OfficeForms.Table[[#This Row],[Nama Proyek]],'Nama Proyek'!$D$2:$G$40,4,0)</f>
        <v>-6.35008011,107.02324233</v>
      </c>
      <c r="AH1018" s="5"/>
      <c r="AI1018" s="5"/>
      <c r="AJ1018" s="5"/>
      <c r="AK1018" s="5" t="s">
        <v>2282</v>
      </c>
    </row>
    <row r="1019" spans="1:37" ht="15" customHeight="1">
      <c r="A1019">
        <v>1036</v>
      </c>
      <c r="B1019" s="111">
        <v>45322.444803240738</v>
      </c>
      <c r="C1019" s="29">
        <f>B1019</f>
        <v>45322.444803240738</v>
      </c>
      <c r="D1019" s="8" t="s">
        <v>2266</v>
      </c>
      <c r="E1019" s="8" t="s">
        <v>64</v>
      </c>
      <c r="F1019" s="5" t="str">
        <f>E1019</f>
        <v>Nizar Zulkarnain</v>
      </c>
      <c r="G1019" s="17" t="s">
        <v>65</v>
      </c>
      <c r="H1019" s="102">
        <v>45319</v>
      </c>
      <c r="I1019" s="95">
        <v>88.06</v>
      </c>
      <c r="J1019" s="95">
        <v>91.655000000000001</v>
      </c>
      <c r="K1019" s="95">
        <v>76.12</v>
      </c>
      <c r="L1019" s="95">
        <v>80.13</v>
      </c>
      <c r="M1019" s="95">
        <v>98.49</v>
      </c>
      <c r="N1019" s="95">
        <v>94.64</v>
      </c>
      <c r="O1019" s="95">
        <v>92.04</v>
      </c>
      <c r="P1019" s="95">
        <v>83.34</v>
      </c>
      <c r="Q1019" s="95">
        <v>79.239999999999995</v>
      </c>
      <c r="R1019" s="95">
        <v>81.92</v>
      </c>
      <c r="S1019" s="95">
        <v>70.989999999999995</v>
      </c>
      <c r="T1019" s="95">
        <v>95.71</v>
      </c>
      <c r="U1019" s="95">
        <v>97.1</v>
      </c>
      <c r="V1019" s="95">
        <v>57.37</v>
      </c>
      <c r="W1019" s="95">
        <v>30.68</v>
      </c>
      <c r="X1019" s="95"/>
      <c r="Y1019" s="95">
        <v>98.36</v>
      </c>
      <c r="Z1019" s="95">
        <v>41.48</v>
      </c>
      <c r="AA1019" s="8" t="s">
        <v>2280</v>
      </c>
      <c r="AB1019" s="8"/>
      <c r="AC1019" s="15" t="s">
        <v>2281</v>
      </c>
      <c r="AD1019" s="15"/>
      <c r="AE1019" s="16">
        <v>45319</v>
      </c>
      <c r="AF1019" s="19"/>
      <c r="AG1019" t="str">
        <f>VLOOKUP(OfficeForms.Table[[#This Row],[Nama Proyek]],'Nama Proyek'!$D$2:$G$40,4,0)</f>
        <v>-6.35008011,107.02324233</v>
      </c>
      <c r="AH1019" s="5"/>
      <c r="AI1019" s="5"/>
      <c r="AJ1019" s="5"/>
      <c r="AK1019" s="5" t="s">
        <v>2283</v>
      </c>
    </row>
    <row r="1020" spans="1:37" ht="15" customHeight="1">
      <c r="A1020" s="50">
        <v>28</v>
      </c>
      <c r="B1020" s="111">
        <v>45322.484814814816</v>
      </c>
      <c r="C1020" s="29">
        <f>B1020</f>
        <v>45322.484814814816</v>
      </c>
      <c r="D1020" s="9" t="s">
        <v>2266</v>
      </c>
      <c r="E1020" s="9" t="s">
        <v>2284</v>
      </c>
      <c r="F1020" s="5" t="str">
        <f>E1020</f>
        <v>Rizky Saputra</v>
      </c>
      <c r="G1020" s="9" t="s">
        <v>1317</v>
      </c>
      <c r="H1020" s="103">
        <v>45322</v>
      </c>
      <c r="I1020" s="94">
        <v>9.1060999999999996</v>
      </c>
      <c r="J1020" s="94">
        <v>24.038599999999999</v>
      </c>
      <c r="K1020" s="94">
        <v>0.60240000000000005</v>
      </c>
      <c r="L1020" s="94">
        <v>0.127</v>
      </c>
      <c r="M1020" s="94">
        <v>6.13E-2</v>
      </c>
      <c r="N1020" s="94">
        <v>5.1483999999999996</v>
      </c>
      <c r="O1020" s="94">
        <v>8.0299999999999996E-2</v>
      </c>
      <c r="P1020" s="94"/>
      <c r="Q1020" s="94"/>
      <c r="R1020" s="94"/>
      <c r="S1020" s="94"/>
      <c r="T1020" s="94">
        <v>3.0596999999999999</v>
      </c>
      <c r="U1020" s="94"/>
      <c r="V1020" s="94">
        <v>2.69E-2</v>
      </c>
      <c r="W1020" s="94"/>
      <c r="X1020" s="94"/>
      <c r="Y1020" s="94"/>
      <c r="Z1020" s="94"/>
      <c r="AA1020" s="9" t="s">
        <v>2285</v>
      </c>
      <c r="AB1020" s="20" t="s">
        <v>1319</v>
      </c>
      <c r="AC1020" s="9" t="s">
        <v>2286</v>
      </c>
      <c r="AD1020" s="9" t="s">
        <v>2286</v>
      </c>
      <c r="AE1020" s="12">
        <v>45322</v>
      </c>
      <c r="AF1020" s="41" t="s">
        <v>2287</v>
      </c>
      <c r="AG1020" t="str">
        <f>VLOOKUP(OfficeForms.Table[[#This Row],[Nama Proyek]],'Nama Proyek'!$D$2:$G$40,4,0)</f>
        <v>-7.72647690,113.63515320</v>
      </c>
      <c r="AH1020" s="5"/>
      <c r="AI1020" s="5"/>
      <c r="AJ1020" s="5"/>
      <c r="AK1020" s="5" t="s">
        <v>2288</v>
      </c>
    </row>
    <row r="1021" spans="1:37" ht="15" customHeight="1">
      <c r="A1021" s="31">
        <v>29</v>
      </c>
      <c r="B1021" s="110">
        <v>45322.501550925925</v>
      </c>
      <c r="C1021" s="28">
        <f>B1021</f>
        <v>45322.501550925925</v>
      </c>
      <c r="D1021" s="8" t="s">
        <v>2266</v>
      </c>
      <c r="E1021" s="8" t="s">
        <v>2289</v>
      </c>
      <c r="F1021" s="5" t="str">
        <f>E1021</f>
        <v>Muhammad Nuh Tarigan</v>
      </c>
      <c r="G1021" s="15" t="s">
        <v>2290</v>
      </c>
      <c r="H1021" s="105">
        <v>45318</v>
      </c>
      <c r="I1021" s="95">
        <v>8.08</v>
      </c>
      <c r="J1021" s="95">
        <v>746</v>
      </c>
      <c r="K1021" s="95"/>
      <c r="L1021" s="95"/>
      <c r="M1021" s="95"/>
      <c r="N1021" s="95"/>
      <c r="O1021" s="95"/>
      <c r="P1021" s="95"/>
      <c r="Q1021" s="95"/>
      <c r="R1021" s="95"/>
      <c r="S1021" s="95"/>
      <c r="T1021" s="95"/>
      <c r="U1021" s="95"/>
      <c r="V1021" s="95"/>
      <c r="W1021" s="95"/>
      <c r="X1021" s="95"/>
      <c r="Y1021" s="95"/>
      <c r="Z1021" s="95"/>
      <c r="AA1021" s="8" t="s">
        <v>2291</v>
      </c>
      <c r="AB1021" s="8" t="s">
        <v>2291</v>
      </c>
      <c r="AC1021" s="8"/>
      <c r="AD1021" s="8"/>
      <c r="AE1021" s="11">
        <v>45322</v>
      </c>
      <c r="AF1021" s="8"/>
      <c r="AG1021" t="str">
        <f>VLOOKUP(OfficeForms.Table[[#This Row],[Nama Proyek]],'Nama Proyek'!$D$2:$G$40,4,0)</f>
        <v>-0.99046214,116.69024762</v>
      </c>
      <c r="AH1021" s="5"/>
      <c r="AI1021" s="5"/>
      <c r="AJ1021" s="5"/>
      <c r="AK1021" s="5" t="s">
        <v>2292</v>
      </c>
    </row>
    <row r="1022" spans="1:37" ht="15" customHeight="1">
      <c r="A1022" s="30">
        <v>1048</v>
      </c>
      <c r="B1022" s="111">
        <v>45322.553414351853</v>
      </c>
      <c r="C1022" s="29">
        <f>B1022</f>
        <v>45322.553414351853</v>
      </c>
      <c r="D1022" s="9" t="s">
        <v>2266</v>
      </c>
      <c r="E1022" s="9" t="s">
        <v>1109</v>
      </c>
      <c r="F1022" s="5" t="str">
        <f>E1022</f>
        <v>Anzalar Rahman</v>
      </c>
      <c r="G1022" s="9" t="s">
        <v>714</v>
      </c>
      <c r="H1022" s="103">
        <v>45319</v>
      </c>
      <c r="I1022" s="94">
        <v>96.207999999999998</v>
      </c>
      <c r="J1022" s="94">
        <v>94.43</v>
      </c>
      <c r="K1022" s="94">
        <v>2.778</v>
      </c>
      <c r="L1022" s="94">
        <v>0.26600000000000001</v>
      </c>
      <c r="M1022" s="94">
        <v>34.210999999999999</v>
      </c>
      <c r="N1022" s="94"/>
      <c r="O1022" s="94">
        <v>7.27</v>
      </c>
      <c r="P1022" s="94"/>
      <c r="Q1022" s="94">
        <v>48.749000000000002</v>
      </c>
      <c r="R1022" s="94"/>
      <c r="S1022" s="94"/>
      <c r="T1022" s="94">
        <v>2.9329999999999998</v>
      </c>
      <c r="U1022" s="94"/>
      <c r="V1022" s="94"/>
      <c r="W1022" s="94"/>
      <c r="X1022" s="94"/>
      <c r="Y1022" s="94"/>
      <c r="Z1022" s="94"/>
      <c r="AA1022" s="9" t="s">
        <v>2293</v>
      </c>
      <c r="AB1022" s="9" t="s">
        <v>2294</v>
      </c>
      <c r="AC1022" s="9" t="s">
        <v>2295</v>
      </c>
      <c r="AD1022" s="9" t="s">
        <v>2296</v>
      </c>
      <c r="AE1022" s="12"/>
      <c r="AF1022" s="180" t="s">
        <v>2297</v>
      </c>
      <c r="AG1022" t="str">
        <f>VLOOKUP(OfficeForms.Table[[#This Row],[Nama Proyek]],'Nama Proyek'!$D$2:$G$40,4,0)</f>
        <v>-0.95259625,116.71704453</v>
      </c>
      <c r="AH1022" s="5"/>
      <c r="AI1022" s="5"/>
      <c r="AJ1022" s="5"/>
      <c r="AK1022" s="5" t="s">
        <v>2298</v>
      </c>
    </row>
    <row r="1023" spans="1:37" ht="15" customHeight="1">
      <c r="A1023" s="30">
        <v>31</v>
      </c>
      <c r="B1023" s="110">
        <v>45322.605208333334</v>
      </c>
      <c r="C1023" s="28">
        <f>B1023</f>
        <v>45322.605208333334</v>
      </c>
      <c r="D1023" s="8" t="s">
        <v>2266</v>
      </c>
      <c r="E1023" s="8" t="s">
        <v>2299</v>
      </c>
      <c r="F1023" s="5" t="str">
        <f>E1023</f>
        <v>Muhamad Farhan Abimanyu</v>
      </c>
      <c r="G1023" s="39" t="s">
        <v>2300</v>
      </c>
      <c r="H1023" s="102">
        <v>45319</v>
      </c>
      <c r="I1023" s="95">
        <v>28.411999999999999</v>
      </c>
      <c r="J1023" s="95">
        <v>31.161999999999999</v>
      </c>
      <c r="K1023" s="95">
        <v>0.35199999999999998</v>
      </c>
      <c r="L1023" s="95">
        <v>5.3999999999999999E-2</v>
      </c>
      <c r="M1023" s="95">
        <v>27.786999999999999</v>
      </c>
      <c r="N1023" s="95"/>
      <c r="O1023" s="95"/>
      <c r="P1023" s="95"/>
      <c r="Q1023" s="95">
        <v>0.219</v>
      </c>
      <c r="R1023" s="95"/>
      <c r="S1023" s="95"/>
      <c r="T1023" s="95"/>
      <c r="U1023" s="95"/>
      <c r="V1023" s="95"/>
      <c r="W1023" s="95"/>
      <c r="X1023" s="95"/>
      <c r="Y1023" s="95"/>
      <c r="Z1023" s="95"/>
      <c r="AA1023" s="8" t="s">
        <v>2301</v>
      </c>
      <c r="AB1023" s="63" t="s">
        <v>2302</v>
      </c>
      <c r="AC1023" s="8" t="s">
        <v>2303</v>
      </c>
      <c r="AD1023" s="8" t="s">
        <v>2303</v>
      </c>
      <c r="AE1023" s="16"/>
      <c r="AF1023" s="40" t="s">
        <v>2304</v>
      </c>
      <c r="AG1023" t="str">
        <f>VLOOKUP(OfficeForms.Table[[#This Row],[Nama Proyek]],'Nama Proyek'!$D$2:$G$40,4,0)</f>
        <v>-6.92723742,109.95182730</v>
      </c>
      <c r="AH1023" s="5"/>
      <c r="AI1023" s="5"/>
      <c r="AJ1023" s="5"/>
      <c r="AK1023" s="5" t="s">
        <v>2305</v>
      </c>
    </row>
    <row r="1024" spans="1:37" ht="15" customHeight="1">
      <c r="A1024">
        <v>32</v>
      </c>
      <c r="B1024" s="111">
        <v>45322.635081018518</v>
      </c>
      <c r="C1024" s="29">
        <f>B1024</f>
        <v>45322.635081018518</v>
      </c>
      <c r="D1024" s="9" t="s">
        <v>2266</v>
      </c>
      <c r="E1024" s="9" t="s">
        <v>2299</v>
      </c>
      <c r="F1024" s="5" t="str">
        <f>E1024</f>
        <v>Muhamad Farhan Abimanyu</v>
      </c>
      <c r="G1024" s="22" t="s">
        <v>2300</v>
      </c>
      <c r="H1024" s="104">
        <v>45319</v>
      </c>
      <c r="I1024" s="94">
        <v>28.411999999999999</v>
      </c>
      <c r="J1024" s="94">
        <v>31.161999999999999</v>
      </c>
      <c r="K1024" s="94">
        <v>0.35199999999999998</v>
      </c>
      <c r="L1024" s="94">
        <v>5.3999999999999999E-2</v>
      </c>
      <c r="M1024" s="94">
        <v>27.786999999999999</v>
      </c>
      <c r="N1024" s="94"/>
      <c r="O1024" s="94"/>
      <c r="P1024" s="94"/>
      <c r="Q1024" s="94">
        <v>0.219</v>
      </c>
      <c r="R1024" s="94"/>
      <c r="S1024" s="94"/>
      <c r="T1024" s="94"/>
      <c r="U1024" s="94"/>
      <c r="V1024" s="94"/>
      <c r="W1024" s="94"/>
      <c r="X1024" s="94"/>
      <c r="Y1024" s="94"/>
      <c r="Z1024" s="94"/>
      <c r="AA1024" s="9" t="s">
        <v>2301</v>
      </c>
      <c r="AB1024" s="17" t="s">
        <v>2302</v>
      </c>
      <c r="AC1024" s="17" t="s">
        <v>2303</v>
      </c>
      <c r="AD1024" s="17" t="s">
        <v>2303</v>
      </c>
      <c r="AE1024" s="12">
        <v>45319</v>
      </c>
      <c r="AF1024" s="8"/>
      <c r="AG1024" t="str">
        <f>VLOOKUP(OfficeForms.Table[[#This Row],[Nama Proyek]],'Nama Proyek'!$D$2:$G$40,4,0)</f>
        <v>-6.92723742,109.95182730</v>
      </c>
      <c r="AH1024" s="5"/>
      <c r="AI1024" s="5"/>
      <c r="AJ1024" s="5"/>
      <c r="AK1024" s="5" t="s">
        <v>2306</v>
      </c>
    </row>
    <row r="1025" spans="1:37" ht="15" customHeight="1">
      <c r="A1025" s="50">
        <v>524</v>
      </c>
      <c r="B1025" s="111">
        <v>45322.659710648149</v>
      </c>
      <c r="C1025" s="29">
        <f>B1025</f>
        <v>45322.659710648149</v>
      </c>
      <c r="D1025" s="8" t="s">
        <v>2266</v>
      </c>
      <c r="E1025" s="8" t="s">
        <v>998</v>
      </c>
      <c r="F1025" s="5" t="str">
        <f>E1025</f>
        <v>Dani Ramdhani</v>
      </c>
      <c r="G1025" s="54" t="s">
        <v>76</v>
      </c>
      <c r="H1025" s="105">
        <v>45318</v>
      </c>
      <c r="I1025" s="95">
        <v>90.570999999999998</v>
      </c>
      <c r="J1025" s="95">
        <v>91.456999999999994</v>
      </c>
      <c r="K1025" s="95">
        <v>2.2970000000000002</v>
      </c>
      <c r="L1025" s="95">
        <v>11.682</v>
      </c>
      <c r="M1025" s="95">
        <v>20.254999999999999</v>
      </c>
      <c r="N1025" s="95">
        <v>0</v>
      </c>
      <c r="O1025" s="95">
        <v>7.774</v>
      </c>
      <c r="P1025" s="95">
        <v>0</v>
      </c>
      <c r="Q1025" s="95">
        <v>48.463000000000001</v>
      </c>
      <c r="R1025" s="95">
        <v>0</v>
      </c>
      <c r="S1025" s="95">
        <v>0</v>
      </c>
      <c r="T1025" s="95">
        <v>0.10100000000000001</v>
      </c>
      <c r="U1025" s="95"/>
      <c r="V1025" s="95"/>
      <c r="W1025" s="95"/>
      <c r="X1025" s="95"/>
      <c r="Y1025" s="95"/>
      <c r="Z1025" s="95"/>
      <c r="AA1025" s="8" t="s">
        <v>2307</v>
      </c>
      <c r="AB1025" s="8"/>
      <c r="AC1025" s="8" t="s">
        <v>2308</v>
      </c>
      <c r="AD1025" s="8"/>
      <c r="AE1025" s="11">
        <v>45318</v>
      </c>
      <c r="AF1025" s="8"/>
      <c r="AG1025" t="str">
        <f>VLOOKUP(OfficeForms.Table[[#This Row],[Nama Proyek]],'Nama Proyek'!$D$2:$G$40,4,0)</f>
        <v>-2.95293103,104.75455094</v>
      </c>
      <c r="AH1025" s="5"/>
      <c r="AI1025" s="5"/>
      <c r="AJ1025" s="5"/>
      <c r="AK1025" s="5" t="s">
        <v>2309</v>
      </c>
    </row>
    <row r="1026" spans="1:37" ht="15" customHeight="1">
      <c r="A1026" s="31">
        <v>34</v>
      </c>
      <c r="B1026" s="111">
        <v>45322.68922453704</v>
      </c>
      <c r="C1026" s="29">
        <f>B1026</f>
        <v>45322.68922453704</v>
      </c>
      <c r="D1026" s="9" t="s">
        <v>2266</v>
      </c>
      <c r="E1026" s="9" t="s">
        <v>1282</v>
      </c>
      <c r="F1026" s="5" t="str">
        <f>E1026</f>
        <v>Achmad Rival Setyawan, S.T</v>
      </c>
      <c r="G1026" s="32" t="s">
        <v>989</v>
      </c>
      <c r="H1026" s="104">
        <v>45319</v>
      </c>
      <c r="I1026" s="94">
        <v>54.625999999999998</v>
      </c>
      <c r="J1026" s="94">
        <v>54.65</v>
      </c>
      <c r="K1026" s="94">
        <v>2.3199999999999998</v>
      </c>
      <c r="L1026" s="94">
        <v>0.41</v>
      </c>
      <c r="M1026" s="94">
        <v>0</v>
      </c>
      <c r="N1026" s="94">
        <v>18.89</v>
      </c>
      <c r="O1026" s="94">
        <v>0.04</v>
      </c>
      <c r="P1026" s="94">
        <v>0.24</v>
      </c>
      <c r="Q1026" s="94">
        <v>0.18</v>
      </c>
      <c r="R1026" s="94">
        <v>2.09</v>
      </c>
      <c r="S1026" s="94">
        <v>8.7200000000000006</v>
      </c>
      <c r="T1026" s="94">
        <v>20.3</v>
      </c>
      <c r="U1026" s="94">
        <v>0</v>
      </c>
      <c r="V1026" s="94">
        <v>1.43</v>
      </c>
      <c r="W1026" s="94">
        <v>0</v>
      </c>
      <c r="X1026" s="94">
        <v>0</v>
      </c>
      <c r="Y1026" s="94">
        <v>0</v>
      </c>
      <c r="Z1026" s="94">
        <v>0</v>
      </c>
      <c r="AA1026" s="9" t="s">
        <v>2310</v>
      </c>
      <c r="AB1026" s="9" t="s">
        <v>2311</v>
      </c>
      <c r="AC1026" s="9" t="s">
        <v>2312</v>
      </c>
      <c r="AD1026" s="9" t="s">
        <v>2313</v>
      </c>
      <c r="AE1026" s="12">
        <v>45322</v>
      </c>
      <c r="AF1026" s="8" t="s">
        <v>2314</v>
      </c>
      <c r="AG1026" t="str">
        <f>VLOOKUP(OfficeForms.Table[[#This Row],[Nama Proyek]],'Nama Proyek'!$D$2:$G$40,4,0)</f>
        <v>-1.98399270,103.7135193</v>
      </c>
      <c r="AH1026" s="5"/>
      <c r="AI1026" s="5"/>
      <c r="AJ1026" s="5"/>
      <c r="AK1026" s="5" t="s">
        <v>2315</v>
      </c>
    </row>
    <row r="1027" spans="1:37" ht="15" customHeight="1">
      <c r="A1027">
        <v>35</v>
      </c>
      <c r="B1027" s="110">
        <v>45323.370196759257</v>
      </c>
      <c r="C1027" s="28">
        <f>B1027</f>
        <v>45323.370196759257</v>
      </c>
      <c r="D1027" s="8" t="s">
        <v>2266</v>
      </c>
      <c r="E1027" s="8" t="s">
        <v>734</v>
      </c>
      <c r="F1027" s="5" t="str">
        <f>E1027</f>
        <v>Aldian Winata</v>
      </c>
      <c r="G1027" s="8" t="s">
        <v>735</v>
      </c>
      <c r="H1027" s="105">
        <v>45322</v>
      </c>
      <c r="I1027" s="95">
        <v>50.393999999999998</v>
      </c>
      <c r="J1027" s="95">
        <v>77.123000000000005</v>
      </c>
      <c r="K1027" s="95">
        <v>0.35599999999999998</v>
      </c>
      <c r="L1027" s="95">
        <v>2.2189999999999999</v>
      </c>
      <c r="M1027" s="95">
        <v>36.93</v>
      </c>
      <c r="N1027" s="95">
        <v>0</v>
      </c>
      <c r="O1027" s="95">
        <v>0.435</v>
      </c>
      <c r="P1027" s="95">
        <v>2.3079999999999998</v>
      </c>
      <c r="Q1027" s="95">
        <v>0.38400000000000001</v>
      </c>
      <c r="R1027" s="95"/>
      <c r="S1027" s="95"/>
      <c r="T1027" s="95"/>
      <c r="U1027" s="95"/>
      <c r="V1027" s="95"/>
      <c r="W1027" s="95"/>
      <c r="X1027" s="95"/>
      <c r="Y1027" s="95"/>
      <c r="Z1027" s="95"/>
      <c r="AA1027" s="8" t="s">
        <v>2316</v>
      </c>
      <c r="AB1027" s="15" t="s">
        <v>2317</v>
      </c>
      <c r="AC1027" s="15" t="s">
        <v>2318</v>
      </c>
      <c r="AD1027" s="15" t="s">
        <v>2319</v>
      </c>
      <c r="AE1027" s="11">
        <v>45320</v>
      </c>
      <c r="AF1027" s="40" t="s">
        <v>2320</v>
      </c>
      <c r="AG1027" t="str">
        <f>VLOOKUP(OfficeForms.Table[[#This Row],[Nama Proyek]],'Nama Proyek'!$D$2:$G$40,4,0)</f>
        <v>-0.88562397,119.85928375</v>
      </c>
      <c r="AH1027" s="5"/>
      <c r="AI1027" s="5"/>
      <c r="AJ1027" s="5"/>
      <c r="AK1027" s="5" t="s">
        <v>2321</v>
      </c>
    </row>
    <row r="1028" spans="1:37" ht="15" customHeight="1">
      <c r="A1028" s="50">
        <v>36</v>
      </c>
      <c r="B1028" s="111">
        <v>45323.484201388892</v>
      </c>
      <c r="C1028" s="29">
        <f>B1028</f>
        <v>45323.484201388892</v>
      </c>
      <c r="D1028" s="9" t="s">
        <v>2266</v>
      </c>
      <c r="E1028" s="9" t="s">
        <v>2322</v>
      </c>
      <c r="F1028" s="5" t="str">
        <f>E1028</f>
        <v xml:space="preserve">Muhamad Farhan Abimanyu </v>
      </c>
      <c r="G1028" s="32" t="s">
        <v>2300</v>
      </c>
      <c r="H1028" s="104">
        <v>45316</v>
      </c>
      <c r="I1028" s="94"/>
      <c r="J1028" s="94">
        <v>31.161999999999999</v>
      </c>
      <c r="K1028" s="94">
        <v>0.36399999999999999</v>
      </c>
      <c r="L1028" s="94">
        <v>1.4999999999999999E-2</v>
      </c>
      <c r="M1028" s="94">
        <v>29.783000000000001</v>
      </c>
      <c r="N1028" s="94"/>
      <c r="O1028" s="94"/>
      <c r="P1028" s="94"/>
      <c r="Q1028" s="94">
        <v>0.39600000000000002</v>
      </c>
      <c r="R1028" s="94"/>
      <c r="S1028" s="94"/>
      <c r="T1028" s="94"/>
      <c r="U1028" s="94"/>
      <c r="V1028" s="94"/>
      <c r="W1028" s="94"/>
      <c r="X1028" s="94"/>
      <c r="Y1028" s="94"/>
      <c r="Z1028" s="94"/>
      <c r="AA1028" s="9" t="s">
        <v>2301</v>
      </c>
      <c r="AB1028" s="9" t="s">
        <v>2302</v>
      </c>
      <c r="AC1028" s="9" t="s">
        <v>2303</v>
      </c>
      <c r="AD1028" s="9" t="s">
        <v>2303</v>
      </c>
      <c r="AE1028" s="12">
        <v>45316</v>
      </c>
      <c r="AF1028" s="41" t="s">
        <v>2323</v>
      </c>
      <c r="AG1028" t="str">
        <f>VLOOKUP(OfficeForms.Table[[#This Row],[Nama Proyek]],'Nama Proyek'!$D$2:$G$40,4,0)</f>
        <v>-6.92723742,109.95182730</v>
      </c>
      <c r="AH1028" s="5"/>
      <c r="AI1028" s="5"/>
      <c r="AJ1028" s="5"/>
      <c r="AK1028" s="5" t="s">
        <v>2324</v>
      </c>
    </row>
    <row r="1029" spans="1:37" ht="15" customHeight="1">
      <c r="A1029" s="31">
        <v>37</v>
      </c>
      <c r="B1029" s="110">
        <v>45323.519236111111</v>
      </c>
      <c r="C1029" s="28">
        <f>B1029</f>
        <v>45323.519236111111</v>
      </c>
      <c r="D1029" s="8" t="s">
        <v>2266</v>
      </c>
      <c r="E1029" s="8" t="s">
        <v>994</v>
      </c>
      <c r="F1029" s="5" t="str">
        <f>E1029</f>
        <v>Nenes Anggi Puspadi</v>
      </c>
      <c r="G1029" s="23" t="s">
        <v>924</v>
      </c>
      <c r="H1029" s="105">
        <v>45319</v>
      </c>
      <c r="I1029" s="95">
        <v>98.63</v>
      </c>
      <c r="J1029" s="95">
        <v>93.63</v>
      </c>
      <c r="K1029" s="95">
        <v>2.85</v>
      </c>
      <c r="L1029" s="95">
        <v>5.65</v>
      </c>
      <c r="M1029" s="95">
        <v>38.46</v>
      </c>
      <c r="N1029" s="95"/>
      <c r="O1029" s="95">
        <v>13.19</v>
      </c>
      <c r="P1029" s="95">
        <v>25.12</v>
      </c>
      <c r="Q1029" s="95">
        <v>12.82</v>
      </c>
      <c r="R1029" s="95"/>
      <c r="S1029" s="95">
        <v>0.54</v>
      </c>
      <c r="T1029" s="95"/>
      <c r="U1029" s="95"/>
      <c r="V1029" s="95"/>
      <c r="W1029" s="95"/>
      <c r="X1029" s="95"/>
      <c r="Y1029" s="95"/>
      <c r="Z1029" s="95"/>
      <c r="AA1029" s="8" t="s">
        <v>2325</v>
      </c>
      <c r="AB1029" s="8" t="s">
        <v>2326</v>
      </c>
      <c r="AC1029" s="8"/>
      <c r="AD1029" s="8"/>
      <c r="AE1029" s="11">
        <v>45319</v>
      </c>
      <c r="AF1029" s="17"/>
      <c r="AG1029" t="str">
        <f>VLOOKUP(OfficeForms.Table[[#This Row],[Nama Proyek]],'Nama Proyek'!$D$2:$G$40,4,0)</f>
        <v>-3.25078511,134.87791156</v>
      </c>
      <c r="AH1029" s="5"/>
      <c r="AI1029" s="5"/>
      <c r="AJ1029" s="5"/>
      <c r="AK1029" s="5" t="s">
        <v>2327</v>
      </c>
    </row>
    <row r="1030" spans="1:37" ht="15" customHeight="1">
      <c r="A1030" s="30">
        <v>38</v>
      </c>
      <c r="B1030" s="111">
        <v>45323.784467592595</v>
      </c>
      <c r="C1030" s="29">
        <f>B1030</f>
        <v>45323.784467592595</v>
      </c>
      <c r="D1030" s="9" t="s">
        <v>2266</v>
      </c>
      <c r="E1030" s="9" t="s">
        <v>2328</v>
      </c>
      <c r="F1030" s="5" t="str">
        <f>E1030</f>
        <v>Markus Juliano Sinaga</v>
      </c>
      <c r="G1030" s="32" t="s">
        <v>750</v>
      </c>
      <c r="H1030" s="103">
        <v>45319</v>
      </c>
      <c r="I1030" s="94">
        <v>77.019199999999998</v>
      </c>
      <c r="J1030" s="94">
        <v>61.421999999999997</v>
      </c>
      <c r="K1030" s="94">
        <v>1.2161999999999999</v>
      </c>
      <c r="L1030" s="94">
        <v>1.3814</v>
      </c>
      <c r="M1030" s="94">
        <v>21.426100000000002</v>
      </c>
      <c r="N1030" s="94"/>
      <c r="O1030" s="94">
        <v>1.9785999999999999</v>
      </c>
      <c r="P1030" s="94">
        <v>2.9218000000000002</v>
      </c>
      <c r="Q1030" s="94">
        <v>46.139299999999999</v>
      </c>
      <c r="R1030" s="94"/>
      <c r="S1030" s="94">
        <v>1.8489</v>
      </c>
      <c r="T1030" s="94"/>
      <c r="U1030" s="94"/>
      <c r="V1030" s="94"/>
      <c r="W1030" s="94"/>
      <c r="X1030" s="94"/>
      <c r="Y1030" s="94"/>
      <c r="Z1030" s="94"/>
      <c r="AA1030" s="9" t="s">
        <v>2329</v>
      </c>
      <c r="AB1030" s="9" t="s">
        <v>2330</v>
      </c>
      <c r="AC1030" s="9" t="s">
        <v>2331</v>
      </c>
      <c r="AD1030" s="17"/>
      <c r="AE1030" s="18"/>
      <c r="AF1030" s="15"/>
      <c r="AG1030" t="str">
        <f>VLOOKUP(OfficeForms.Table[[#This Row],[Nama Proyek]],'Nama Proyek'!$D$2:$G$40,4,0)</f>
        <v>-1.10415341,116.73424356</v>
      </c>
      <c r="AH1030" s="5"/>
      <c r="AI1030" s="5"/>
      <c r="AJ1030" s="5"/>
      <c r="AK1030" s="5" t="s">
        <v>2332</v>
      </c>
    </row>
    <row r="1031" spans="1:37" ht="15" customHeight="1">
      <c r="A1031" s="31">
        <v>39</v>
      </c>
      <c r="B1031" s="110">
        <v>45324.594467592593</v>
      </c>
      <c r="C1031" s="28">
        <f>B1031</f>
        <v>45324.594467592593</v>
      </c>
      <c r="D1031" s="8" t="s">
        <v>2266</v>
      </c>
      <c r="E1031" s="8" t="s">
        <v>54</v>
      </c>
      <c r="F1031" s="5" t="str">
        <f>E1031</f>
        <v>Haryo Widiandoko</v>
      </c>
      <c r="G1031" s="15" t="s">
        <v>1315</v>
      </c>
      <c r="H1031" s="102">
        <v>45319</v>
      </c>
      <c r="I1031" s="95"/>
      <c r="J1031" s="95"/>
      <c r="K1031" s="95"/>
      <c r="L1031" s="95"/>
      <c r="M1031" s="95"/>
      <c r="N1031" s="95"/>
      <c r="O1031" s="95"/>
      <c r="P1031" s="95"/>
      <c r="Q1031" s="95"/>
      <c r="R1031" s="95"/>
      <c r="S1031" s="95"/>
      <c r="T1031" s="95"/>
      <c r="U1031" s="95"/>
      <c r="V1031" s="95"/>
      <c r="W1031" s="95"/>
      <c r="X1031" s="95"/>
      <c r="Y1031" s="95"/>
      <c r="Z1031" s="95"/>
      <c r="AA1031" s="8" t="s">
        <v>2333</v>
      </c>
      <c r="AB1031" s="8"/>
      <c r="AC1031" s="8"/>
      <c r="AD1031" s="15"/>
      <c r="AE1031" s="16" t="e" vm="1">
        <f>[1]!OfficeForms.Table[[#This Row],[Waktu selesai]]</f>
        <v>#REF!</v>
      </c>
      <c r="AF1031" s="40" t="s">
        <v>2334</v>
      </c>
      <c r="AG1031" t="str">
        <f>VLOOKUP(OfficeForms.Table[[#This Row],[Nama Proyek]],'Nama Proyek'!$D$2:$G$40,4,0)</f>
        <v>-6.42093860,107.18760070</v>
      </c>
      <c r="AH1031" s="5"/>
      <c r="AI1031" s="5"/>
      <c r="AJ1031" s="5"/>
      <c r="AK1031" s="5" t="s">
        <v>2335</v>
      </c>
    </row>
    <row r="1032" spans="1:37" ht="15" customHeight="1">
      <c r="A1032">
        <v>40</v>
      </c>
      <c r="B1032" s="111">
        <v>45324.611759259256</v>
      </c>
      <c r="C1032" s="29">
        <f>B1032</f>
        <v>45324.611759259256</v>
      </c>
      <c r="D1032" s="9" t="s">
        <v>2266</v>
      </c>
      <c r="E1032" s="9" t="s">
        <v>85</v>
      </c>
      <c r="F1032" s="5" t="str">
        <f>E1032</f>
        <v>Nungki Herdiana</v>
      </c>
      <c r="G1032" s="57" t="s">
        <v>2336</v>
      </c>
      <c r="H1032" s="103">
        <v>45318</v>
      </c>
      <c r="I1032" s="94">
        <v>0.127</v>
      </c>
      <c r="J1032" s="94">
        <v>0.83799999999999997</v>
      </c>
      <c r="K1032" s="94">
        <v>1.4999999999999999E-2</v>
      </c>
      <c r="L1032" s="94">
        <v>0</v>
      </c>
      <c r="M1032" s="94">
        <v>0</v>
      </c>
      <c r="N1032" s="94">
        <v>0.112</v>
      </c>
      <c r="O1032" s="94">
        <v>0</v>
      </c>
      <c r="P1032" s="94">
        <v>0</v>
      </c>
      <c r="Q1032" s="94">
        <v>0</v>
      </c>
      <c r="R1032" s="94">
        <v>0</v>
      </c>
      <c r="S1032" s="94">
        <v>0</v>
      </c>
      <c r="T1032" s="94">
        <v>0</v>
      </c>
      <c r="U1032" s="94">
        <v>0</v>
      </c>
      <c r="V1032" s="94">
        <v>0</v>
      </c>
      <c r="W1032" s="94">
        <v>0</v>
      </c>
      <c r="X1032" s="94">
        <v>0</v>
      </c>
      <c r="Y1032" s="94">
        <v>0</v>
      </c>
      <c r="Z1032" s="94">
        <v>0</v>
      </c>
      <c r="AA1032" s="9" t="s">
        <v>2337</v>
      </c>
      <c r="AB1032" s="9" t="s">
        <v>2338</v>
      </c>
      <c r="AC1032" s="17" t="s">
        <v>2339</v>
      </c>
      <c r="AD1032" s="17" t="s">
        <v>2339</v>
      </c>
      <c r="AE1032" s="12">
        <v>45318</v>
      </c>
      <c r="AF1032" s="8"/>
      <c r="AG1032" t="str">
        <f>VLOOKUP(OfficeForms.Table[[#This Row],[Nama Proyek]],'Nama Proyek'!$D$2:$G$40,4,0)</f>
        <v>-6.33533300,107.77576100</v>
      </c>
      <c r="AH1032" s="5"/>
      <c r="AI1032" s="5"/>
      <c r="AJ1032" s="5"/>
      <c r="AK1032" s="5" t="s">
        <v>2340</v>
      </c>
    </row>
    <row r="1033" spans="1:37" ht="15" customHeight="1">
      <c r="A1033" s="50">
        <v>41</v>
      </c>
      <c r="B1033" s="110">
        <v>45324.618726851855</v>
      </c>
      <c r="C1033" s="28">
        <f>B1033</f>
        <v>45324.618726851855</v>
      </c>
      <c r="D1033" s="8" t="s">
        <v>2266</v>
      </c>
      <c r="E1033" s="8" t="s">
        <v>1479</v>
      </c>
      <c r="F1033" s="5" t="str">
        <f>E1033</f>
        <v>Fian Aziz</v>
      </c>
      <c r="G1033" s="23" t="s">
        <v>1480</v>
      </c>
      <c r="H1033" s="102">
        <v>45315</v>
      </c>
      <c r="I1033" s="95">
        <v>29.295000000000002</v>
      </c>
      <c r="J1033" s="95">
        <v>28.841000000000001</v>
      </c>
      <c r="K1033" s="95"/>
      <c r="L1033" s="95"/>
      <c r="M1033" s="95"/>
      <c r="N1033" s="95"/>
      <c r="O1033" s="95"/>
      <c r="P1033" s="95"/>
      <c r="Q1033" s="95"/>
      <c r="R1033" s="95"/>
      <c r="S1033" s="95"/>
      <c r="T1033" s="95"/>
      <c r="U1033" s="95"/>
      <c r="V1033" s="95"/>
      <c r="W1033" s="95"/>
      <c r="X1033" s="95"/>
      <c r="Y1033" s="95"/>
      <c r="Z1033" s="95"/>
      <c r="AA1033" s="8"/>
      <c r="AB1033" s="8"/>
      <c r="AC1033" s="8"/>
      <c r="AD1033" s="8"/>
      <c r="AE1033" s="11"/>
      <c r="AF1033" s="46" t="s">
        <v>2341</v>
      </c>
      <c r="AG1033" t="str">
        <f>VLOOKUP(OfficeForms.Table[[#This Row],[Nama Proyek]],'Nama Proyek'!$D$2:$G$40,4,0)</f>
        <v>-6.23191260,107.90813480</v>
      </c>
      <c r="AH1033" s="5"/>
      <c r="AI1033" s="5"/>
      <c r="AJ1033" s="5"/>
      <c r="AK1033" s="5" t="s">
        <v>2342</v>
      </c>
    </row>
    <row r="1034" spans="1:37" ht="15" customHeight="1">
      <c r="A1034" s="31">
        <v>42</v>
      </c>
      <c r="B1034" s="111">
        <v>45327.487013888887</v>
      </c>
      <c r="C1034" s="29">
        <f>B1034</f>
        <v>45327.487013888887</v>
      </c>
      <c r="D1034" s="9" t="s">
        <v>2266</v>
      </c>
      <c r="E1034" s="9" t="s">
        <v>1090</v>
      </c>
      <c r="F1034" s="5" t="str">
        <f>E1034</f>
        <v>Imam Nur Aziz</v>
      </c>
      <c r="G1034" s="32" t="s">
        <v>1472</v>
      </c>
      <c r="H1034" s="103">
        <v>45326</v>
      </c>
      <c r="I1034" s="94">
        <v>50.408000000000001</v>
      </c>
      <c r="J1034" s="94">
        <v>47.103999999999999</v>
      </c>
      <c r="K1034" s="94">
        <v>0.77300000000000002</v>
      </c>
      <c r="L1034" s="94">
        <v>1.4E-2</v>
      </c>
      <c r="M1034" s="94">
        <v>22.882000000000001</v>
      </c>
      <c r="N1034" s="94">
        <v>0</v>
      </c>
      <c r="O1034" s="94">
        <v>0</v>
      </c>
      <c r="P1034" s="94">
        <v>0</v>
      </c>
      <c r="Q1034" s="94">
        <v>26.379000000000001</v>
      </c>
      <c r="R1034" s="94">
        <v>0</v>
      </c>
      <c r="S1034" s="94">
        <v>0</v>
      </c>
      <c r="T1034" s="94">
        <v>0</v>
      </c>
      <c r="U1034" s="94">
        <v>0</v>
      </c>
      <c r="V1034" s="94">
        <v>0</v>
      </c>
      <c r="W1034" s="94">
        <v>0</v>
      </c>
      <c r="X1034" s="94">
        <v>0</v>
      </c>
      <c r="Y1034" s="94">
        <v>0</v>
      </c>
      <c r="Z1034" s="94">
        <v>0</v>
      </c>
      <c r="AA1034" s="9" t="s">
        <v>2343</v>
      </c>
      <c r="AB1034" s="20" t="s">
        <v>2344</v>
      </c>
      <c r="AC1034" s="9" t="s">
        <v>2344</v>
      </c>
      <c r="AD1034" s="9"/>
      <c r="AE1034" s="18">
        <v>45326</v>
      </c>
      <c r="AF1034" s="41" t="s">
        <v>2345</v>
      </c>
      <c r="AG1034" t="str">
        <f>VLOOKUP(OfficeForms.Table[[#This Row],[Nama Proyek]],'Nama Proyek'!$D$2:$G$40,4,0)</f>
        <v>-0.96849430,116.70188410</v>
      </c>
      <c r="AH1034" s="5"/>
      <c r="AI1034" s="5"/>
      <c r="AJ1034" s="5"/>
      <c r="AK1034" s="5" t="s">
        <v>2346</v>
      </c>
    </row>
    <row r="1035" spans="1:37" ht="15" customHeight="1">
      <c r="A1035" s="30">
        <v>43</v>
      </c>
      <c r="B1035" s="110">
        <v>45327.847534722219</v>
      </c>
      <c r="C1035" s="28">
        <f>B1035</f>
        <v>45327.847534722219</v>
      </c>
      <c r="D1035" s="8" t="s">
        <v>2266</v>
      </c>
      <c r="E1035" s="8" t="s">
        <v>85</v>
      </c>
      <c r="F1035" s="5" t="str">
        <f>E1035</f>
        <v>Nungki Herdiana</v>
      </c>
      <c r="G1035" s="57" t="s">
        <v>2336</v>
      </c>
      <c r="H1035" s="105">
        <v>45325</v>
      </c>
      <c r="I1035" s="95">
        <v>0.13700000000000001</v>
      </c>
      <c r="J1035" s="95">
        <v>0.18</v>
      </c>
      <c r="K1035" s="95">
        <v>0.02</v>
      </c>
      <c r="L1035" s="95">
        <v>0</v>
      </c>
      <c r="M1035" s="95">
        <v>0</v>
      </c>
      <c r="N1035" s="95">
        <v>0.11700000000000001</v>
      </c>
      <c r="O1035" s="95">
        <v>0</v>
      </c>
      <c r="P1035" s="95">
        <v>0</v>
      </c>
      <c r="Q1035" s="95">
        <v>0</v>
      </c>
      <c r="R1035" s="95">
        <v>0</v>
      </c>
      <c r="S1035" s="95">
        <v>0</v>
      </c>
      <c r="T1035" s="95">
        <v>0</v>
      </c>
      <c r="U1035" s="95">
        <v>0</v>
      </c>
      <c r="V1035" s="95">
        <v>0</v>
      </c>
      <c r="W1035" s="95">
        <v>0</v>
      </c>
      <c r="X1035" s="95">
        <v>0</v>
      </c>
      <c r="Y1035" s="95">
        <v>0</v>
      </c>
      <c r="Z1035" s="95">
        <v>0</v>
      </c>
      <c r="AA1035" s="8" t="s">
        <v>2347</v>
      </c>
      <c r="AB1035" s="8" t="s">
        <v>2348</v>
      </c>
      <c r="AC1035" s="8" t="s">
        <v>2349</v>
      </c>
      <c r="AD1035" s="8" t="s">
        <v>2349</v>
      </c>
      <c r="AE1035" s="11">
        <v>45325</v>
      </c>
      <c r="AF1035" s="46" t="s">
        <v>2350</v>
      </c>
      <c r="AG1035" t="str">
        <f>VLOOKUP(OfficeForms.Table[[#This Row],[Nama Proyek]],'Nama Proyek'!$D$2:$G$40,4,0)</f>
        <v>-6.33533300,107.77576100</v>
      </c>
      <c r="AH1035" s="5"/>
      <c r="AI1035" s="5"/>
      <c r="AJ1035" s="5"/>
      <c r="AK1035" s="5" t="s">
        <v>2351</v>
      </c>
    </row>
    <row r="1036" spans="1:37" ht="15" customHeight="1">
      <c r="A1036" s="31">
        <v>44</v>
      </c>
      <c r="B1036" s="111">
        <v>45343.650902777779</v>
      </c>
      <c r="C1036" s="29">
        <f>B1036</f>
        <v>45343.650902777779</v>
      </c>
      <c r="D1036" s="9" t="s">
        <v>2266</v>
      </c>
      <c r="E1036" s="9" t="s">
        <v>85</v>
      </c>
      <c r="F1036" s="5" t="str">
        <f>E1036</f>
        <v>Nungki Herdiana</v>
      </c>
      <c r="G1036" s="57" t="s">
        <v>2336</v>
      </c>
      <c r="H1036" s="103">
        <v>45333</v>
      </c>
      <c r="I1036" s="94">
        <v>0.189</v>
      </c>
      <c r="J1036" s="94">
        <v>1.7729999999999999</v>
      </c>
      <c r="K1036" s="94">
        <v>0.02</v>
      </c>
      <c r="L1036" s="94">
        <v>0</v>
      </c>
      <c r="M1036" s="94">
        <v>0</v>
      </c>
      <c r="N1036" s="94">
        <v>0.11700000000000001</v>
      </c>
      <c r="O1036" s="94">
        <v>0</v>
      </c>
      <c r="P1036" s="94">
        <v>0</v>
      </c>
      <c r="Q1036" s="94">
        <v>0</v>
      </c>
      <c r="R1036" s="94">
        <v>0</v>
      </c>
      <c r="S1036" s="94">
        <v>0</v>
      </c>
      <c r="T1036" s="94">
        <v>5.1999999999999998E-2</v>
      </c>
      <c r="U1036" s="94">
        <v>0</v>
      </c>
      <c r="V1036" s="94">
        <v>0</v>
      </c>
      <c r="W1036" s="94">
        <v>0</v>
      </c>
      <c r="X1036" s="94">
        <v>0</v>
      </c>
      <c r="Y1036" s="94">
        <v>0</v>
      </c>
      <c r="Z1036" s="94">
        <v>0</v>
      </c>
      <c r="AA1036" s="9" t="s">
        <v>2352</v>
      </c>
      <c r="AB1036" s="9" t="s">
        <v>2352</v>
      </c>
      <c r="AC1036" s="17" t="s">
        <v>2353</v>
      </c>
      <c r="AD1036" s="17" t="s">
        <v>2353</v>
      </c>
      <c r="AE1036" s="18">
        <v>45332</v>
      </c>
      <c r="AF1036" s="26" t="s">
        <v>2354</v>
      </c>
      <c r="AG1036" t="str">
        <f>VLOOKUP(OfficeForms.Table[[#This Row],[Nama Proyek]],'Nama Proyek'!$D$2:$G$40,4,0)</f>
        <v>-6.33533300,107.77576100</v>
      </c>
      <c r="AH1036" s="5"/>
      <c r="AI1036" s="5"/>
      <c r="AJ1036" s="5"/>
      <c r="AK1036" s="5" t="s">
        <v>2355</v>
      </c>
    </row>
    <row r="1037" spans="1:37" ht="15" customHeight="1">
      <c r="A1037">
        <v>45</v>
      </c>
      <c r="B1037" s="110">
        <v>45343.683206018519</v>
      </c>
      <c r="C1037" s="28">
        <f>B1037</f>
        <v>45343.683206018519</v>
      </c>
      <c r="D1037" s="8" t="s">
        <v>2266</v>
      </c>
      <c r="E1037" s="8" t="s">
        <v>85</v>
      </c>
      <c r="F1037" s="5" t="str">
        <f>E1037</f>
        <v>Nungki Herdiana</v>
      </c>
      <c r="G1037" s="57" t="s">
        <v>2336</v>
      </c>
      <c r="H1037" s="102">
        <v>45340</v>
      </c>
      <c r="I1037" s="95">
        <v>0.224</v>
      </c>
      <c r="J1037" s="95">
        <v>2.3450000000000002</v>
      </c>
      <c r="K1037" s="95">
        <v>2.5999999999999999E-2</v>
      </c>
      <c r="L1037" s="95">
        <v>0</v>
      </c>
      <c r="M1037" s="95">
        <v>0</v>
      </c>
      <c r="N1037" s="95">
        <v>0.11700000000000001</v>
      </c>
      <c r="O1037" s="95">
        <v>0</v>
      </c>
      <c r="P1037" s="95">
        <v>0</v>
      </c>
      <c r="Q1037" s="95">
        <v>0</v>
      </c>
      <c r="R1037" s="95">
        <v>0</v>
      </c>
      <c r="S1037" s="95">
        <v>0</v>
      </c>
      <c r="T1037" s="95">
        <v>8.1000000000000003E-2</v>
      </c>
      <c r="U1037" s="95">
        <v>0</v>
      </c>
      <c r="V1037" s="95">
        <v>0</v>
      </c>
      <c r="W1037" s="95">
        <v>0</v>
      </c>
      <c r="X1037" s="95">
        <v>0</v>
      </c>
      <c r="Y1037" s="95">
        <v>0</v>
      </c>
      <c r="Z1037" s="95">
        <v>0</v>
      </c>
      <c r="AA1037" s="8" t="s">
        <v>2356</v>
      </c>
      <c r="AB1037" s="8" t="s">
        <v>2356</v>
      </c>
      <c r="AC1037" s="8" t="s">
        <v>2357</v>
      </c>
      <c r="AD1037" s="15" t="s">
        <v>2357</v>
      </c>
      <c r="AE1037" s="16">
        <v>45340</v>
      </c>
      <c r="AF1037" s="40" t="s">
        <v>2358</v>
      </c>
      <c r="AG1037" t="str">
        <f>VLOOKUP(OfficeForms.Table[[#This Row],[Nama Proyek]],'Nama Proyek'!$D$2:$G$40,4,0)</f>
        <v>-6.33533300,107.77576100</v>
      </c>
      <c r="AH1037" s="5"/>
      <c r="AI1037" s="5"/>
      <c r="AJ1037" s="5"/>
      <c r="AK1037" s="5" t="s">
        <v>2359</v>
      </c>
    </row>
    <row r="1038" spans="1:37" ht="15" customHeight="1">
      <c r="A1038" s="50">
        <v>46</v>
      </c>
      <c r="B1038" s="111">
        <v>45349.412326388891</v>
      </c>
      <c r="C1038" s="29">
        <f>B1038</f>
        <v>45349.412326388891</v>
      </c>
      <c r="D1038" s="9" t="s">
        <v>2266</v>
      </c>
      <c r="E1038" s="9" t="s">
        <v>85</v>
      </c>
      <c r="F1038" s="5" t="str">
        <f>E1038</f>
        <v>Nungki Herdiana</v>
      </c>
      <c r="G1038" s="57" t="s">
        <v>2336</v>
      </c>
      <c r="H1038" s="104">
        <v>45347</v>
      </c>
      <c r="I1038" s="94">
        <v>0.73899999999999999</v>
      </c>
      <c r="J1038" s="94">
        <v>2.9750000000000001</v>
      </c>
      <c r="K1038" s="94">
        <v>0.52100000000000002</v>
      </c>
      <c r="L1038" s="94">
        <v>0</v>
      </c>
      <c r="M1038" s="94">
        <v>0</v>
      </c>
      <c r="N1038" s="94">
        <v>0.11700000000000001</v>
      </c>
      <c r="O1038" s="94">
        <v>0</v>
      </c>
      <c r="P1038" s="94">
        <v>0</v>
      </c>
      <c r="Q1038" s="94">
        <v>0</v>
      </c>
      <c r="R1038" s="94">
        <v>0</v>
      </c>
      <c r="S1038" s="94">
        <v>0</v>
      </c>
      <c r="T1038" s="94">
        <v>0.10100000000000001</v>
      </c>
      <c r="U1038" s="94">
        <v>0</v>
      </c>
      <c r="V1038" s="94">
        <v>0</v>
      </c>
      <c r="W1038" s="94">
        <v>0</v>
      </c>
      <c r="X1038" s="94">
        <v>0</v>
      </c>
      <c r="Y1038" s="94">
        <v>0</v>
      </c>
      <c r="Z1038" s="94">
        <v>0</v>
      </c>
      <c r="AA1038" s="9" t="s">
        <v>2360</v>
      </c>
      <c r="AB1038" s="9" t="s">
        <v>2361</v>
      </c>
      <c r="AC1038" s="9" t="s">
        <v>2362</v>
      </c>
      <c r="AD1038" s="9" t="s">
        <v>2362</v>
      </c>
      <c r="AE1038" s="12">
        <v>45347</v>
      </c>
      <c r="AF1038" s="26" t="s">
        <v>2363</v>
      </c>
      <c r="AG1038" t="str">
        <f>VLOOKUP(OfficeForms.Table[[#This Row],[Nama Proyek]],'Nama Proyek'!$D$2:$G$40,4,0)</f>
        <v>-6.33533300,107.77576100</v>
      </c>
      <c r="AH1038" s="5"/>
      <c r="AI1038" s="5"/>
      <c r="AJ1038" s="5"/>
      <c r="AK1038" s="5" t="s">
        <v>2364</v>
      </c>
    </row>
    <row r="1039" spans="1:37" ht="15" customHeight="1">
      <c r="A1039" s="31">
        <v>47</v>
      </c>
      <c r="B1039" s="110">
        <v>45350.41070601852</v>
      </c>
      <c r="C1039" s="28">
        <f>B1039</f>
        <v>45350.41070601852</v>
      </c>
      <c r="D1039" s="8" t="s">
        <v>2266</v>
      </c>
      <c r="E1039" s="8" t="s">
        <v>57</v>
      </c>
      <c r="F1039" s="5" t="str">
        <f>E1039</f>
        <v>Alfian Budi Prasetya</v>
      </c>
      <c r="G1039" s="23" t="s">
        <v>1484</v>
      </c>
      <c r="H1039" s="102">
        <v>45347</v>
      </c>
      <c r="I1039" s="95">
        <v>18.02</v>
      </c>
      <c r="J1039" s="95">
        <v>15.631</v>
      </c>
      <c r="K1039" s="95">
        <v>1.2929999999999999</v>
      </c>
      <c r="L1039" s="95"/>
      <c r="M1039" s="95">
        <v>14.648</v>
      </c>
      <c r="N1039" s="95"/>
      <c r="O1039" s="95"/>
      <c r="P1039" s="95"/>
      <c r="Q1039" s="95">
        <v>2.0790000000000002</v>
      </c>
      <c r="R1039" s="95"/>
      <c r="S1039" s="95"/>
      <c r="T1039" s="95"/>
      <c r="U1039" s="95"/>
      <c r="V1039" s="95"/>
      <c r="W1039" s="95"/>
      <c r="X1039" s="95"/>
      <c r="Y1039" s="95"/>
      <c r="Z1039" s="95"/>
      <c r="AA1039" s="8" t="s">
        <v>2365</v>
      </c>
      <c r="AB1039" s="8" t="s">
        <v>2365</v>
      </c>
      <c r="AC1039" s="8" t="s">
        <v>2366</v>
      </c>
      <c r="AD1039" s="8" t="s">
        <v>2366</v>
      </c>
      <c r="AE1039" s="16">
        <v>45343</v>
      </c>
      <c r="AF1039" s="40" t="s">
        <v>2367</v>
      </c>
      <c r="AG1039" t="str">
        <f>VLOOKUP(OfficeForms.Table[[#This Row],[Nama Proyek]],'Nama Proyek'!$D$2:$G$40,4,0)</f>
        <v>-8.01003300,110.33312900</v>
      </c>
      <c r="AH1039" s="5"/>
      <c r="AI1039" s="5"/>
      <c r="AJ1039" s="5"/>
      <c r="AK1039" s="5" t="s">
        <v>2368</v>
      </c>
    </row>
    <row r="1040" spans="1:37" ht="15" customHeight="1">
      <c r="A1040" s="31">
        <v>48</v>
      </c>
      <c r="B1040" s="111">
        <v>45350.423067129632</v>
      </c>
      <c r="C1040" s="29">
        <f>B1040</f>
        <v>45350.423067129632</v>
      </c>
      <c r="D1040" s="9" t="s">
        <v>2266</v>
      </c>
      <c r="E1040" s="9" t="s">
        <v>109</v>
      </c>
      <c r="F1040" s="5" t="str">
        <f>E1040</f>
        <v>Muhamad Saifudin Ashari</v>
      </c>
      <c r="G1040" s="15" t="s">
        <v>2267</v>
      </c>
      <c r="H1040" s="103">
        <v>45347</v>
      </c>
      <c r="I1040" s="94">
        <v>0.56599999999999995</v>
      </c>
      <c r="J1040" s="94">
        <v>1.7090000000000001</v>
      </c>
      <c r="K1040" s="94">
        <v>13.35</v>
      </c>
      <c r="L1040" s="94">
        <v>6.21</v>
      </c>
      <c r="M1040" s="94">
        <v>3.34</v>
      </c>
      <c r="N1040" s="94">
        <v>0</v>
      </c>
      <c r="O1040" s="94">
        <v>456</v>
      </c>
      <c r="P1040" s="94">
        <v>0</v>
      </c>
      <c r="Q1040" s="94">
        <v>0</v>
      </c>
      <c r="R1040" s="94">
        <v>0</v>
      </c>
      <c r="S1040" s="94">
        <v>0</v>
      </c>
      <c r="T1040" s="94">
        <v>24</v>
      </c>
      <c r="U1040" s="94">
        <v>0</v>
      </c>
      <c r="V1040" s="94">
        <v>0</v>
      </c>
      <c r="W1040" s="94">
        <v>0</v>
      </c>
      <c r="X1040" s="94">
        <v>0</v>
      </c>
      <c r="Y1040" s="94">
        <v>0</v>
      </c>
      <c r="Z1040" s="94">
        <v>0</v>
      </c>
      <c r="AA1040" s="9" t="s">
        <v>2369</v>
      </c>
      <c r="AB1040" s="9" t="s">
        <v>2370</v>
      </c>
      <c r="AC1040" s="9" t="s">
        <v>2371</v>
      </c>
      <c r="AD1040" s="9" t="s">
        <v>2372</v>
      </c>
      <c r="AE1040" s="12">
        <v>45347</v>
      </c>
      <c r="AF1040" s="8" t="s">
        <v>2373</v>
      </c>
      <c r="AG1040" t="str">
        <f>VLOOKUP(OfficeForms.Table[[#This Row],[Nama Proyek]],'Nama Proyek'!$D$2:$G$40,4,0)</f>
        <v>-6.88120502,106.78938277</v>
      </c>
      <c r="AH1040" s="5"/>
      <c r="AI1040" s="5"/>
      <c r="AJ1040" s="5"/>
      <c r="AK1040" s="5" t="s">
        <v>2374</v>
      </c>
    </row>
    <row r="1041" spans="1:37" ht="15" customHeight="1">
      <c r="A1041" s="30">
        <v>49</v>
      </c>
      <c r="B1041" s="110">
        <v>45350.709675925929</v>
      </c>
      <c r="C1041" s="28">
        <f>B1041</f>
        <v>45350.709675925929</v>
      </c>
      <c r="D1041" s="8" t="s">
        <v>2266</v>
      </c>
      <c r="E1041" s="8" t="s">
        <v>136</v>
      </c>
      <c r="F1041" s="5" t="str">
        <f>E1041</f>
        <v>Utomo Aryowibowo</v>
      </c>
      <c r="G1041" s="32" t="s">
        <v>1472</v>
      </c>
      <c r="H1041" s="105">
        <v>45347</v>
      </c>
      <c r="I1041" s="95">
        <v>55.826999999999998</v>
      </c>
      <c r="J1041" s="95">
        <v>55.715000000000003</v>
      </c>
      <c r="K1041" s="95">
        <v>0.80400000000000005</v>
      </c>
      <c r="L1041" s="95">
        <v>1.4E-2</v>
      </c>
      <c r="M1041" s="95">
        <v>24.431000000000001</v>
      </c>
      <c r="N1041" s="95">
        <v>0</v>
      </c>
      <c r="O1041" s="95">
        <v>0</v>
      </c>
      <c r="P1041" s="95">
        <v>0</v>
      </c>
      <c r="Q1041" s="95">
        <v>30.643999999999998</v>
      </c>
      <c r="R1041" s="95">
        <v>0</v>
      </c>
      <c r="S1041" s="95">
        <v>0</v>
      </c>
      <c r="T1041" s="95">
        <v>0</v>
      </c>
      <c r="U1041" s="95">
        <v>0</v>
      </c>
      <c r="V1041" s="95">
        <v>0</v>
      </c>
      <c r="W1041" s="95">
        <v>0</v>
      </c>
      <c r="X1041" s="95">
        <v>0</v>
      </c>
      <c r="Y1041" s="95">
        <v>0</v>
      </c>
      <c r="Z1041" s="95">
        <v>0</v>
      </c>
      <c r="AA1041" s="8" t="s">
        <v>2375</v>
      </c>
      <c r="AB1041" s="8" t="s">
        <v>2375</v>
      </c>
      <c r="AC1041" s="8" t="s">
        <v>2376</v>
      </c>
      <c r="AD1041" s="8" t="s">
        <v>2376</v>
      </c>
      <c r="AE1041" s="11">
        <v>45347</v>
      </c>
      <c r="AF1041" s="8"/>
      <c r="AG1041" t="str">
        <f>VLOOKUP(OfficeForms.Table[[#This Row],[Nama Proyek]],'Nama Proyek'!$D$2:$G$40,4,0)</f>
        <v>-0.96849430,116.70188410</v>
      </c>
      <c r="AH1041" s="5"/>
      <c r="AI1041" s="5"/>
      <c r="AJ1041" s="5"/>
      <c r="AK1041" s="5" t="s">
        <v>2377</v>
      </c>
    </row>
    <row r="1042" spans="1:37" ht="16.5">
      <c r="A1042" s="50">
        <v>539</v>
      </c>
      <c r="B1042" s="110">
        <v>45352.501875000002</v>
      </c>
      <c r="C1042" s="28">
        <f>B1042</f>
        <v>45352.501875000002</v>
      </c>
      <c r="D1042" s="19" t="s">
        <v>2266</v>
      </c>
      <c r="E1042" s="19" t="s">
        <v>998</v>
      </c>
      <c r="F1042" s="5" t="str">
        <f>E1042</f>
        <v>Dani Ramdhani</v>
      </c>
      <c r="G1042" s="34" t="s">
        <v>76</v>
      </c>
      <c r="H1042" s="101">
        <v>45346</v>
      </c>
      <c r="I1042" s="96">
        <v>93.453999999999994</v>
      </c>
      <c r="J1042" s="96">
        <v>94.081000000000003</v>
      </c>
      <c r="K1042" s="96">
        <v>2.4569999999999999</v>
      </c>
      <c r="L1042" s="96">
        <v>11.874000000000001</v>
      </c>
      <c r="M1042" s="96">
        <v>20.731000000000002</v>
      </c>
      <c r="N1042" s="96">
        <v>0</v>
      </c>
      <c r="O1042" s="96">
        <v>9.1110000000000007</v>
      </c>
      <c r="P1042" s="96">
        <v>0</v>
      </c>
      <c r="Q1042" s="96">
        <v>48.959000000000003</v>
      </c>
      <c r="R1042" s="96">
        <v>0</v>
      </c>
      <c r="S1042" s="96">
        <v>0</v>
      </c>
      <c r="T1042" s="96">
        <v>0.32200000000000001</v>
      </c>
      <c r="U1042" s="96"/>
      <c r="V1042" s="96"/>
      <c r="W1042" s="96"/>
      <c r="X1042" s="96"/>
      <c r="Y1042" s="96"/>
      <c r="Z1042" s="96"/>
      <c r="AA1042" s="19" t="s">
        <v>2378</v>
      </c>
      <c r="AB1042" s="19" t="s">
        <v>2379</v>
      </c>
      <c r="AC1042" s="42" t="s">
        <v>2378</v>
      </c>
      <c r="AD1042" s="42"/>
      <c r="AE1042" s="13">
        <v>45346</v>
      </c>
      <c r="AF1042" s="15"/>
      <c r="AG1042" t="str">
        <f>VLOOKUP(OfficeForms.Table[[#This Row],[Nama Proyek]],'Nama Proyek'!$D$2:$G$40,4,0)</f>
        <v>-2.95293103,104.75455094</v>
      </c>
      <c r="AH1042" s="5"/>
      <c r="AI1042" s="5"/>
      <c r="AJ1042" s="5"/>
      <c r="AK1042" s="5" t="s">
        <v>2380</v>
      </c>
    </row>
    <row r="1043" spans="1:37" ht="137.25">
      <c r="A1043" s="50">
        <v>51</v>
      </c>
      <c r="B1043" s="110">
        <v>45352.713576388887</v>
      </c>
      <c r="C1043" s="28">
        <f>B1043</f>
        <v>45352.713576388887</v>
      </c>
      <c r="D1043" s="8" t="s">
        <v>2266</v>
      </c>
      <c r="E1043" s="8" t="s">
        <v>2210</v>
      </c>
      <c r="F1043" s="5" t="s">
        <v>2210</v>
      </c>
      <c r="G1043" s="42" t="s">
        <v>1315</v>
      </c>
      <c r="H1043" s="102">
        <v>45347</v>
      </c>
      <c r="I1043" s="95">
        <v>32.444000000000003</v>
      </c>
      <c r="J1043" s="95">
        <v>69.039000000000001</v>
      </c>
      <c r="K1043" s="95">
        <v>4.1319999999999997</v>
      </c>
      <c r="L1043" s="95">
        <v>0.76900000000000002</v>
      </c>
      <c r="M1043" s="95">
        <v>0.158</v>
      </c>
      <c r="N1043" s="95">
        <v>14.089</v>
      </c>
      <c r="O1043" s="95">
        <v>0.51400000000000001</v>
      </c>
      <c r="P1043" s="95">
        <v>0.36499999999999999</v>
      </c>
      <c r="Q1043" s="95">
        <v>2E-3</v>
      </c>
      <c r="R1043" s="95">
        <v>0.08</v>
      </c>
      <c r="S1043" s="95">
        <v>0.64</v>
      </c>
      <c r="T1043" s="95">
        <v>7.141</v>
      </c>
      <c r="U1043" s="95">
        <v>3.0150000000000001</v>
      </c>
      <c r="V1043" s="95">
        <v>0</v>
      </c>
      <c r="W1043" s="95">
        <v>0</v>
      </c>
      <c r="X1043" s="95">
        <v>0</v>
      </c>
      <c r="Y1043" s="95">
        <v>1.538</v>
      </c>
      <c r="Z1043" s="95">
        <v>0</v>
      </c>
      <c r="AA1043" s="8" t="s">
        <v>2381</v>
      </c>
      <c r="AB1043" s="8" t="s">
        <v>2381</v>
      </c>
      <c r="AC1043" s="8"/>
      <c r="AD1043" s="8"/>
      <c r="AE1043" s="16" t="e" vm="1">
        <f>[1]!OfficeForms.Table[[#This Row],[Waktu selesai]]</f>
        <v>#REF!</v>
      </c>
      <c r="AF1043" s="40" t="s">
        <v>2382</v>
      </c>
      <c r="AG1043" t="str">
        <f>VLOOKUP(OfficeForms.Table[[#This Row],[Nama Proyek]],'Nama Proyek'!$D$2:$G$40,4,0)</f>
        <v>-6.42093860,107.18760070</v>
      </c>
      <c r="AH1043" s="5"/>
      <c r="AI1043" s="5"/>
      <c r="AJ1043" s="5"/>
      <c r="AK1043" s="5" t="s">
        <v>2383</v>
      </c>
    </row>
    <row r="1044" spans="1:37">
      <c r="A1044" s="31">
        <v>52</v>
      </c>
      <c r="B1044" s="111">
        <v>45352.72824074074</v>
      </c>
      <c r="C1044" s="29">
        <f>B1044</f>
        <v>45352.72824074074</v>
      </c>
      <c r="D1044" s="9" t="s">
        <v>2266</v>
      </c>
      <c r="E1044" s="9" t="s">
        <v>994</v>
      </c>
      <c r="F1044" s="5" t="str">
        <f>E1044</f>
        <v>Nenes Anggi Puspadi</v>
      </c>
      <c r="G1044" s="23" t="s">
        <v>924</v>
      </c>
      <c r="H1044" s="103">
        <v>45350</v>
      </c>
      <c r="I1044" s="94">
        <v>99.89</v>
      </c>
      <c r="J1044" s="94">
        <v>98.52</v>
      </c>
      <c r="K1044" s="94">
        <v>2.9</v>
      </c>
      <c r="L1044" s="94">
        <v>3.15</v>
      </c>
      <c r="M1044" s="94">
        <v>38.47</v>
      </c>
      <c r="N1044" s="94"/>
      <c r="O1044" s="94">
        <v>13.19</v>
      </c>
      <c r="P1044" s="94">
        <v>25.12</v>
      </c>
      <c r="Q1044" s="94">
        <v>15.35</v>
      </c>
      <c r="R1044" s="94"/>
      <c r="S1044" s="94">
        <v>1.71</v>
      </c>
      <c r="T1044" s="94"/>
      <c r="U1044" s="94"/>
      <c r="V1044" s="94"/>
      <c r="W1044" s="94"/>
      <c r="X1044" s="94"/>
      <c r="Y1044" s="94"/>
      <c r="Z1044" s="94"/>
      <c r="AA1044" s="9" t="s">
        <v>2384</v>
      </c>
      <c r="AB1044" s="9" t="s">
        <v>2385</v>
      </c>
      <c r="AC1044" s="9"/>
      <c r="AD1044" s="9"/>
      <c r="AE1044" s="12">
        <v>45350</v>
      </c>
      <c r="AF1044" s="15"/>
      <c r="AG1044" t="str">
        <f>VLOOKUP(OfficeForms.Table[[#This Row],[Nama Proyek]],'Nama Proyek'!$D$2:$G$40,4,0)</f>
        <v>-3.25078511,134.87791156</v>
      </c>
      <c r="AH1044" s="5"/>
      <c r="AI1044" s="5"/>
      <c r="AJ1044" s="5"/>
      <c r="AK1044" s="5" t="s">
        <v>2386</v>
      </c>
    </row>
    <row r="1045" spans="1:37">
      <c r="A1045" s="31">
        <v>1049</v>
      </c>
      <c r="B1045" s="110">
        <v>45353.429479166669</v>
      </c>
      <c r="C1045" s="28">
        <f>B1045</f>
        <v>45353.429479166669</v>
      </c>
      <c r="D1045" s="8" t="s">
        <v>2266</v>
      </c>
      <c r="E1045" s="8" t="s">
        <v>1109</v>
      </c>
      <c r="F1045" s="5" t="str">
        <f>E1045</f>
        <v>Anzalar Rahman</v>
      </c>
      <c r="G1045" s="15" t="s">
        <v>714</v>
      </c>
      <c r="H1045" s="102">
        <v>45354</v>
      </c>
      <c r="I1045" s="95">
        <v>97.742999999999995</v>
      </c>
      <c r="J1045" s="95">
        <v>96.51</v>
      </c>
      <c r="K1045" s="95">
        <v>2.778</v>
      </c>
      <c r="L1045" s="95">
        <v>0.252</v>
      </c>
      <c r="M1045" s="95">
        <v>34.005000000000003</v>
      </c>
      <c r="N1045" s="95"/>
      <c r="O1045" s="95">
        <v>6.8940000000000001</v>
      </c>
      <c r="P1045" s="95"/>
      <c r="Q1045" s="95">
        <v>49.345999999999997</v>
      </c>
      <c r="R1045" s="95"/>
      <c r="S1045" s="95"/>
      <c r="T1045" s="95">
        <v>4.468</v>
      </c>
      <c r="U1045" s="95"/>
      <c r="V1045" s="95"/>
      <c r="W1045" s="95"/>
      <c r="X1045" s="95"/>
      <c r="Y1045" s="95"/>
      <c r="Z1045" s="95"/>
      <c r="AA1045" s="8" t="s">
        <v>2387</v>
      </c>
      <c r="AB1045" s="90" t="s">
        <v>2388</v>
      </c>
      <c r="AC1045" s="8" t="s">
        <v>2389</v>
      </c>
      <c r="AD1045" s="8" t="s">
        <v>2390</v>
      </c>
      <c r="AE1045" s="16"/>
      <c r="AF1045" s="9"/>
      <c r="AG1045" t="str">
        <f>VLOOKUP(OfficeForms.Table[[#This Row],[Nama Proyek]],'Nama Proyek'!$D$2:$G$40,4,0)</f>
        <v>-0.95259625,116.71704453</v>
      </c>
      <c r="AH1045" s="5"/>
      <c r="AI1045" s="5"/>
      <c r="AJ1045" s="5"/>
      <c r="AK1045" s="5" t="s">
        <v>2391</v>
      </c>
    </row>
    <row r="1046" spans="1:37">
      <c r="A1046" s="30">
        <v>54</v>
      </c>
      <c r="B1046" s="111">
        <v>45354.483842592592</v>
      </c>
      <c r="C1046" s="29">
        <f>B1046</f>
        <v>45354.483842592592</v>
      </c>
      <c r="D1046" s="9" t="s">
        <v>2266</v>
      </c>
      <c r="E1046" s="9" t="s">
        <v>1282</v>
      </c>
      <c r="F1046" s="5" t="str">
        <f>E1046</f>
        <v>Achmad Rival Setyawan, S.T</v>
      </c>
      <c r="G1046" s="32" t="s">
        <v>989</v>
      </c>
      <c r="H1046" s="103">
        <v>45347</v>
      </c>
      <c r="I1046" s="94">
        <v>63.936</v>
      </c>
      <c r="J1046" s="94">
        <v>64.852000000000004</v>
      </c>
      <c r="K1046" s="94">
        <v>2.4089999999999998</v>
      </c>
      <c r="L1046" s="94">
        <v>0.40699999999999997</v>
      </c>
      <c r="M1046" s="94">
        <v>0</v>
      </c>
      <c r="N1046" s="94">
        <v>19.701000000000001</v>
      </c>
      <c r="O1046" s="94">
        <v>4.3999999999999997E-2</v>
      </c>
      <c r="P1046" s="94">
        <v>0.40200000000000002</v>
      </c>
      <c r="Q1046" s="94">
        <v>0.18</v>
      </c>
      <c r="R1046" s="94">
        <v>2.1619999999999999</v>
      </c>
      <c r="S1046" s="94">
        <v>10.477</v>
      </c>
      <c r="T1046" s="94">
        <v>26.32</v>
      </c>
      <c r="U1046" s="94">
        <v>0</v>
      </c>
      <c r="V1046" s="94">
        <v>1.7989999999999999</v>
      </c>
      <c r="W1046" s="94">
        <v>1.4999999999999999E-2</v>
      </c>
      <c r="X1046" s="94">
        <v>0</v>
      </c>
      <c r="Y1046" s="94">
        <v>0</v>
      </c>
      <c r="Z1046" s="94">
        <v>1.7999999999999999E-2</v>
      </c>
      <c r="AA1046" s="9"/>
      <c r="AB1046" s="9"/>
      <c r="AC1046" s="9" t="s">
        <v>2392</v>
      </c>
      <c r="AD1046" s="9" t="s">
        <v>2393</v>
      </c>
      <c r="AE1046" s="12">
        <v>45352</v>
      </c>
      <c r="AF1046" s="8" t="s">
        <v>2394</v>
      </c>
      <c r="AG1046" t="str">
        <f>VLOOKUP(OfficeForms.Table[[#This Row],[Nama Proyek]],'Nama Proyek'!$D$2:$G$40,4,0)</f>
        <v>-1.98399270,103.7135193</v>
      </c>
      <c r="AH1046" s="5"/>
      <c r="AI1046" s="5"/>
      <c r="AJ1046" s="5"/>
      <c r="AK1046" s="5" t="s">
        <v>2395</v>
      </c>
    </row>
    <row r="1047" spans="1:37">
      <c r="A1047">
        <v>55</v>
      </c>
      <c r="B1047" s="110">
        <v>45355.361909722225</v>
      </c>
      <c r="C1047" s="28">
        <f>B1047</f>
        <v>45355.361909722225</v>
      </c>
      <c r="D1047" s="8" t="s">
        <v>2266</v>
      </c>
      <c r="E1047" s="8" t="s">
        <v>687</v>
      </c>
      <c r="F1047" s="5" t="str">
        <f>E1047</f>
        <v>Andri Julio Hermawan</v>
      </c>
      <c r="G1047" s="23" t="s">
        <v>750</v>
      </c>
      <c r="H1047" s="105">
        <v>45351</v>
      </c>
      <c r="I1047" s="95">
        <v>78.578999999999994</v>
      </c>
      <c r="J1047" s="95">
        <v>78.471000000000004</v>
      </c>
      <c r="K1047" s="95">
        <v>1.216</v>
      </c>
      <c r="L1047" s="95">
        <v>1.577</v>
      </c>
      <c r="M1047" s="95">
        <v>21.577000000000002</v>
      </c>
      <c r="N1047" s="95">
        <v>0</v>
      </c>
      <c r="O1047" s="95">
        <v>1.9790000000000001</v>
      </c>
      <c r="P1047" s="95">
        <v>2.8769999999999998</v>
      </c>
      <c r="Q1047" s="95">
        <v>47.585000000000001</v>
      </c>
      <c r="R1047" s="95">
        <v>0</v>
      </c>
      <c r="S1047" s="95">
        <v>1.768</v>
      </c>
      <c r="T1047" s="95">
        <v>0</v>
      </c>
      <c r="U1047" s="95">
        <v>0</v>
      </c>
      <c r="V1047" s="95">
        <v>0</v>
      </c>
      <c r="W1047" s="95">
        <v>0</v>
      </c>
      <c r="X1047" s="95">
        <v>0</v>
      </c>
      <c r="Y1047" s="95">
        <v>0</v>
      </c>
      <c r="Z1047" s="95">
        <v>0</v>
      </c>
      <c r="AA1047" s="8" t="s">
        <v>2396</v>
      </c>
      <c r="AB1047" s="8" t="s">
        <v>2397</v>
      </c>
      <c r="AC1047" s="8" t="s">
        <v>2398</v>
      </c>
      <c r="AD1047" s="8" t="s">
        <v>2398</v>
      </c>
      <c r="AE1047" s="11">
        <v>45352</v>
      </c>
      <c r="AF1047" s="9" t="s">
        <v>2399</v>
      </c>
      <c r="AG1047" t="str">
        <f>VLOOKUP(OfficeForms.Table[[#This Row],[Nama Proyek]],'Nama Proyek'!$D$2:$G$40,4,0)</f>
        <v>-1.10415341,116.73424356</v>
      </c>
      <c r="AH1047" s="5"/>
      <c r="AI1047" s="5"/>
      <c r="AJ1047" s="5"/>
      <c r="AK1047" s="5" t="s">
        <v>2400</v>
      </c>
    </row>
    <row r="1048" spans="1:37">
      <c r="A1048" s="50">
        <v>56</v>
      </c>
      <c r="B1048" s="111">
        <v>45355.436736111114</v>
      </c>
      <c r="C1048" s="29">
        <f>B1048</f>
        <v>45355.436736111114</v>
      </c>
      <c r="D1048" s="9" t="s">
        <v>2266</v>
      </c>
      <c r="E1048" s="9" t="s">
        <v>2088</v>
      </c>
      <c r="F1048" s="5" t="str">
        <f>E1048</f>
        <v>Aldian WInata</v>
      </c>
      <c r="G1048" s="17" t="s">
        <v>735</v>
      </c>
      <c r="H1048" s="104">
        <v>45351</v>
      </c>
      <c r="I1048" s="94">
        <v>52.058</v>
      </c>
      <c r="J1048" s="94">
        <v>83.27</v>
      </c>
      <c r="K1048" s="94">
        <v>0.36299999999999999</v>
      </c>
      <c r="L1048" s="94">
        <v>2.2189999999999999</v>
      </c>
      <c r="M1048" s="94">
        <v>38.116</v>
      </c>
      <c r="N1048" s="94">
        <v>0</v>
      </c>
      <c r="O1048" s="94">
        <v>0.47299999999999998</v>
      </c>
      <c r="P1048" s="94">
        <v>2.996</v>
      </c>
      <c r="Q1048" s="94">
        <v>0.38400000000000001</v>
      </c>
      <c r="R1048" s="94"/>
      <c r="S1048" s="94"/>
      <c r="T1048" s="94"/>
      <c r="U1048" s="94"/>
      <c r="V1048" s="94"/>
      <c r="W1048" s="94"/>
      <c r="X1048" s="94"/>
      <c r="Y1048" s="94"/>
      <c r="Z1048" s="94"/>
      <c r="AA1048" s="9" t="s">
        <v>2401</v>
      </c>
      <c r="AB1048" s="9" t="s">
        <v>2402</v>
      </c>
      <c r="AC1048" s="9" t="s">
        <v>2403</v>
      </c>
      <c r="AD1048" s="9"/>
      <c r="AE1048" s="12">
        <v>45348</v>
      </c>
      <c r="AF1048" s="19"/>
      <c r="AG1048" t="str">
        <f>VLOOKUP(OfficeForms.Table[[#This Row],[Nama Proyek]],'Nama Proyek'!$D$2:$G$40,4,0)</f>
        <v>-0.88562397,119.85928375</v>
      </c>
      <c r="AH1048" s="5"/>
      <c r="AI1048" s="5"/>
      <c r="AJ1048" s="5"/>
      <c r="AK1048" s="5" t="s">
        <v>2404</v>
      </c>
    </row>
    <row r="1049" spans="1:37">
      <c r="A1049" s="30">
        <v>1091</v>
      </c>
      <c r="B1049" s="110">
        <v>45355.59542824074</v>
      </c>
      <c r="C1049" s="28">
        <f>B1049</f>
        <v>45355.59542824074</v>
      </c>
      <c r="D1049" s="8" t="s">
        <v>2266</v>
      </c>
      <c r="E1049" s="8" t="s">
        <v>64</v>
      </c>
      <c r="F1049" s="5" t="str">
        <f>E1049</f>
        <v>Nizar Zulkarnain</v>
      </c>
      <c r="G1049" s="42" t="s">
        <v>65</v>
      </c>
      <c r="H1049" s="106"/>
      <c r="I1049" s="95"/>
      <c r="J1049" s="95"/>
      <c r="K1049" s="95"/>
      <c r="L1049" s="95"/>
      <c r="M1049" s="95"/>
      <c r="N1049" s="95"/>
      <c r="O1049" s="95"/>
      <c r="P1049" s="95"/>
      <c r="Q1049" s="95"/>
      <c r="R1049" s="95"/>
      <c r="S1049" s="95"/>
      <c r="T1049" s="95"/>
      <c r="U1049" s="95"/>
      <c r="V1049" s="95"/>
      <c r="W1049" s="95"/>
      <c r="X1049" s="95"/>
      <c r="Y1049" s="95"/>
      <c r="Z1049" s="95"/>
      <c r="AA1049" s="8" t="s">
        <v>2405</v>
      </c>
      <c r="AB1049" s="8"/>
      <c r="AC1049" s="8" t="s">
        <v>2406</v>
      </c>
      <c r="AD1049" s="8"/>
      <c r="AE1049" s="11"/>
      <c r="AF1049" s="8"/>
      <c r="AG1049" t="str">
        <f>VLOOKUP(OfficeForms.Table[[#This Row],[Nama Proyek]],'Nama Proyek'!$D$2:$G$40,4,0)</f>
        <v>-6.35008011,107.02324233</v>
      </c>
      <c r="AH1049" s="5"/>
      <c r="AI1049" s="5"/>
      <c r="AJ1049" s="5"/>
      <c r="AK1049" s="5" t="s">
        <v>2407</v>
      </c>
    </row>
    <row r="1050" spans="1:37">
      <c r="A1050">
        <v>58</v>
      </c>
      <c r="B1050" s="111">
        <v>45355.601458333331</v>
      </c>
      <c r="C1050" s="29">
        <f>B1050</f>
        <v>45355.601458333331</v>
      </c>
      <c r="D1050" s="9" t="s">
        <v>2266</v>
      </c>
      <c r="E1050" s="9" t="s">
        <v>2088</v>
      </c>
      <c r="F1050" s="5" t="str">
        <f>E1050</f>
        <v>Aldian WInata</v>
      </c>
      <c r="G1050" s="17" t="s">
        <v>735</v>
      </c>
      <c r="H1050" s="104">
        <v>45351</v>
      </c>
      <c r="I1050" s="94"/>
      <c r="J1050" s="94"/>
      <c r="K1050" s="94"/>
      <c r="L1050" s="94"/>
      <c r="M1050" s="94"/>
      <c r="N1050" s="94"/>
      <c r="O1050" s="94"/>
      <c r="P1050" s="94"/>
      <c r="Q1050" s="94"/>
      <c r="R1050" s="94"/>
      <c r="S1050" s="94"/>
      <c r="T1050" s="94"/>
      <c r="U1050" s="94"/>
      <c r="V1050" s="94"/>
      <c r="W1050" s="94"/>
      <c r="X1050" s="94"/>
      <c r="Y1050" s="94"/>
      <c r="Z1050" s="94"/>
      <c r="AA1050" s="9"/>
      <c r="AB1050" s="9"/>
      <c r="AC1050" s="9" t="s">
        <v>2408</v>
      </c>
      <c r="AD1050" s="9" t="s">
        <v>2409</v>
      </c>
      <c r="AE1050" s="12"/>
      <c r="AF1050" s="8"/>
      <c r="AG1050" t="str">
        <f>VLOOKUP(OfficeForms.Table[[#This Row],[Nama Proyek]],'Nama Proyek'!$D$2:$G$40,4,0)</f>
        <v>-0.88562397,119.85928375</v>
      </c>
      <c r="AH1050" s="5"/>
      <c r="AI1050" s="5"/>
      <c r="AJ1050" s="5"/>
      <c r="AK1050" s="5" t="s">
        <v>2410</v>
      </c>
    </row>
    <row r="1051" spans="1:37">
      <c r="A1051">
        <v>1057</v>
      </c>
      <c r="B1051" s="110">
        <v>45355.65016203704</v>
      </c>
      <c r="C1051" s="28">
        <f>B1051</f>
        <v>45355.65016203704</v>
      </c>
      <c r="D1051" s="8" t="s">
        <v>2266</v>
      </c>
      <c r="E1051" s="8" t="s">
        <v>64</v>
      </c>
      <c r="F1051" s="5" t="str">
        <f>E1051</f>
        <v>Nizar Zulkarnain</v>
      </c>
      <c r="G1051" s="42" t="s">
        <v>65</v>
      </c>
      <c r="H1051" s="102">
        <v>45347</v>
      </c>
      <c r="I1051" s="95">
        <v>89.893000000000001</v>
      </c>
      <c r="J1051" s="95">
        <v>96.225999999999999</v>
      </c>
      <c r="K1051" s="95">
        <v>88</v>
      </c>
      <c r="L1051" s="95">
        <v>86.25</v>
      </c>
      <c r="M1051" s="95">
        <v>98.49</v>
      </c>
      <c r="N1051" s="95">
        <v>95.85</v>
      </c>
      <c r="O1051" s="95">
        <v>94.1</v>
      </c>
      <c r="P1051" s="95">
        <v>84.85</v>
      </c>
      <c r="Q1051" s="95">
        <v>82.06</v>
      </c>
      <c r="R1051" s="95">
        <v>84.4</v>
      </c>
      <c r="S1051" s="95">
        <v>73.75</v>
      </c>
      <c r="T1051" s="95">
        <v>96.34</v>
      </c>
      <c r="U1051" s="95">
        <v>98.95</v>
      </c>
      <c r="V1051" s="95">
        <v>63.43</v>
      </c>
      <c r="W1051" s="95">
        <v>35.15</v>
      </c>
      <c r="X1051" s="95"/>
      <c r="Y1051" s="95">
        <v>98.36</v>
      </c>
      <c r="Z1051" s="95">
        <v>41.48</v>
      </c>
      <c r="AA1051" s="8"/>
      <c r="AB1051" s="8"/>
      <c r="AC1051" s="8"/>
      <c r="AD1051" s="8"/>
      <c r="AE1051" s="11"/>
      <c r="AF1051" s="15"/>
      <c r="AG1051" t="str">
        <f>VLOOKUP(OfficeForms.Table[[#This Row],[Nama Proyek]],'Nama Proyek'!$D$2:$G$40,4,0)</f>
        <v>-6.35008011,107.02324233</v>
      </c>
      <c r="AH1051" s="5"/>
      <c r="AI1051" s="5"/>
      <c r="AJ1051" s="5"/>
      <c r="AK1051" s="5" t="s">
        <v>2411</v>
      </c>
    </row>
    <row r="1052" spans="1:37">
      <c r="A1052" s="31">
        <v>60</v>
      </c>
      <c r="B1052" s="111">
        <v>45355.658055555556</v>
      </c>
      <c r="C1052" s="29">
        <f>B1052</f>
        <v>45355.658055555556</v>
      </c>
      <c r="D1052" s="9" t="s">
        <v>2266</v>
      </c>
      <c r="E1052" s="9" t="s">
        <v>2284</v>
      </c>
      <c r="F1052" s="5" t="str">
        <f>E1052</f>
        <v>Rizky Saputra</v>
      </c>
      <c r="G1052" s="17" t="s">
        <v>1317</v>
      </c>
      <c r="H1052" s="103">
        <v>45354</v>
      </c>
      <c r="I1052" s="94">
        <v>18.916</v>
      </c>
      <c r="J1052" s="94">
        <v>21.472999999999999</v>
      </c>
      <c r="K1052" s="94">
        <v>0.6</v>
      </c>
      <c r="L1052" s="94">
        <v>0.14000000000000001</v>
      </c>
      <c r="M1052" s="94">
        <v>0.06</v>
      </c>
      <c r="N1052" s="94">
        <v>13.85</v>
      </c>
      <c r="O1052" s="94">
        <v>0.09</v>
      </c>
      <c r="P1052" s="94">
        <v>0</v>
      </c>
      <c r="Q1052" s="94">
        <v>0</v>
      </c>
      <c r="R1052" s="94">
        <v>0</v>
      </c>
      <c r="S1052" s="94">
        <v>0</v>
      </c>
      <c r="T1052" s="94">
        <v>4.1500000000000004</v>
      </c>
      <c r="U1052" s="94">
        <v>0</v>
      </c>
      <c r="V1052" s="94">
        <v>0.03</v>
      </c>
      <c r="W1052" s="94">
        <v>0</v>
      </c>
      <c r="X1052" s="94">
        <v>0</v>
      </c>
      <c r="Y1052" s="94">
        <v>0</v>
      </c>
      <c r="Z1052" s="94">
        <v>0</v>
      </c>
      <c r="AA1052" s="9" t="s">
        <v>2412</v>
      </c>
      <c r="AB1052" s="9" t="s">
        <v>1319</v>
      </c>
      <c r="AC1052" s="9" t="s">
        <v>2413</v>
      </c>
      <c r="AD1052" s="9" t="s">
        <v>2413</v>
      </c>
      <c r="AE1052" s="18">
        <v>45354</v>
      </c>
      <c r="AF1052" s="19"/>
      <c r="AG1052" t="str">
        <f>VLOOKUP(OfficeForms.Table[[#This Row],[Nama Proyek]],'Nama Proyek'!$D$2:$G$40,4,0)</f>
        <v>-7.72647690,113.63515320</v>
      </c>
      <c r="AH1052" s="5"/>
      <c r="AI1052" s="5"/>
      <c r="AJ1052" s="5"/>
      <c r="AK1052" s="5" t="s">
        <v>2414</v>
      </c>
    </row>
    <row r="1053" spans="1:37">
      <c r="A1053" s="30">
        <v>1058</v>
      </c>
      <c r="B1053" s="111">
        <v>45356.39912037037</v>
      </c>
      <c r="C1053" s="29">
        <f>B1053</f>
        <v>45356.39912037037</v>
      </c>
      <c r="D1053" s="8" t="s">
        <v>2266</v>
      </c>
      <c r="E1053" s="8" t="s">
        <v>64</v>
      </c>
      <c r="F1053" s="5" t="str">
        <f>E1053</f>
        <v>Nizar Zulkarnain</v>
      </c>
      <c r="G1053" s="17" t="s">
        <v>65</v>
      </c>
      <c r="H1053" s="105">
        <v>45354</v>
      </c>
      <c r="I1053" s="95">
        <v>91.007000000000005</v>
      </c>
      <c r="J1053" s="95">
        <v>97.177000000000007</v>
      </c>
      <c r="K1053" s="95">
        <v>88</v>
      </c>
      <c r="L1053" s="95">
        <v>86.25</v>
      </c>
      <c r="M1053" s="95">
        <v>98.49</v>
      </c>
      <c r="N1053" s="95">
        <v>95.96</v>
      </c>
      <c r="O1053" s="95">
        <v>94.1</v>
      </c>
      <c r="P1053" s="95">
        <v>84.85</v>
      </c>
      <c r="Q1053" s="95">
        <v>82.91</v>
      </c>
      <c r="R1053" s="95">
        <v>89.29</v>
      </c>
      <c r="S1053" s="95">
        <v>76.400000000000006</v>
      </c>
      <c r="T1053" s="95">
        <v>96.38</v>
      </c>
      <c r="U1053" s="95">
        <v>98.95</v>
      </c>
      <c r="V1053" s="95">
        <v>70.66</v>
      </c>
      <c r="W1053" s="95">
        <v>39.57</v>
      </c>
      <c r="X1053" s="95"/>
      <c r="Y1053" s="95">
        <v>98.36</v>
      </c>
      <c r="Z1053" s="95">
        <v>41.48</v>
      </c>
      <c r="AA1053" s="8"/>
      <c r="AB1053" s="8"/>
      <c r="AC1053" s="8"/>
      <c r="AD1053" s="8"/>
      <c r="AE1053" s="11"/>
      <c r="AF1053" s="19"/>
      <c r="AG1053" t="str">
        <f>VLOOKUP(OfficeForms.Table[[#This Row],[Nama Proyek]],'Nama Proyek'!$D$2:$G$40,4,0)</f>
        <v>-6.35008011,107.02324233</v>
      </c>
      <c r="AH1053" s="5"/>
      <c r="AI1053" s="5"/>
      <c r="AJ1053" s="5"/>
      <c r="AK1053" s="5" t="s">
        <v>2415</v>
      </c>
    </row>
    <row r="1054" spans="1:37" ht="167.25">
      <c r="A1054" s="31">
        <v>62</v>
      </c>
      <c r="B1054" s="111">
        <v>45356.443055555559</v>
      </c>
      <c r="C1054" s="29">
        <f>B1054</f>
        <v>45356.443055555559</v>
      </c>
      <c r="D1054" s="9" t="s">
        <v>2266</v>
      </c>
      <c r="E1054" s="9" t="s">
        <v>85</v>
      </c>
      <c r="F1054" s="5" t="str">
        <f>E1054</f>
        <v>Nungki Herdiana</v>
      </c>
      <c r="G1054" s="57" t="s">
        <v>2336</v>
      </c>
      <c r="H1054" s="104">
        <v>45354</v>
      </c>
      <c r="I1054" s="94">
        <v>0.84299999999999997</v>
      </c>
      <c r="J1054" s="94">
        <v>3.6909999999999998</v>
      </c>
      <c r="K1054" s="94">
        <v>0.58599999999999997</v>
      </c>
      <c r="L1054" s="94">
        <v>5.0000000000000001E-3</v>
      </c>
      <c r="M1054" s="94">
        <v>0</v>
      </c>
      <c r="N1054" s="94">
        <v>0.11700000000000001</v>
      </c>
      <c r="O1054" s="94">
        <v>0</v>
      </c>
      <c r="P1054" s="94">
        <v>0</v>
      </c>
      <c r="Q1054" s="94">
        <v>0</v>
      </c>
      <c r="R1054" s="94">
        <v>0</v>
      </c>
      <c r="S1054" s="94">
        <v>0</v>
      </c>
      <c r="T1054" s="94">
        <v>0.13600000000000001</v>
      </c>
      <c r="U1054" s="94">
        <v>0</v>
      </c>
      <c r="V1054" s="94">
        <v>0</v>
      </c>
      <c r="W1054" s="94">
        <v>0</v>
      </c>
      <c r="X1054" s="94">
        <v>0</v>
      </c>
      <c r="Y1054" s="94">
        <v>0</v>
      </c>
      <c r="Z1054" s="94">
        <v>0</v>
      </c>
      <c r="AA1054" s="9" t="s">
        <v>2416</v>
      </c>
      <c r="AB1054" s="9" t="s">
        <v>2417</v>
      </c>
      <c r="AC1054" s="9" t="s">
        <v>2418</v>
      </c>
      <c r="AD1054" s="9" t="s">
        <v>2418</v>
      </c>
      <c r="AE1054" s="12">
        <v>45354</v>
      </c>
      <c r="AF1054" s="26" t="s">
        <v>2419</v>
      </c>
      <c r="AG1054" t="str">
        <f>VLOOKUP(OfficeForms.Table[[#This Row],[Nama Proyek]],'Nama Proyek'!$D$2:$G$40,4,0)</f>
        <v>-6.33533300,107.77576100</v>
      </c>
      <c r="AH1054" s="5"/>
      <c r="AI1054" s="5"/>
      <c r="AJ1054" s="5"/>
      <c r="AK1054" s="5" t="s">
        <v>2420</v>
      </c>
    </row>
    <row r="1055" spans="1:37">
      <c r="A1055">
        <v>63</v>
      </c>
      <c r="B1055" s="110">
        <v>45376.578564814816</v>
      </c>
      <c r="C1055" s="28">
        <f>B1055</f>
        <v>45376.578564814816</v>
      </c>
      <c r="D1055" s="8" t="s">
        <v>2266</v>
      </c>
      <c r="E1055" s="8" t="s">
        <v>2421</v>
      </c>
      <c r="F1055" s="5" t="str">
        <f>E1055</f>
        <v xml:space="preserve">Nungki Herdiana </v>
      </c>
      <c r="G1055" s="57" t="s">
        <v>2336</v>
      </c>
      <c r="H1055" s="105">
        <v>45375</v>
      </c>
      <c r="I1055" s="95">
        <v>1.087</v>
      </c>
      <c r="J1055" s="95">
        <v>1.228</v>
      </c>
      <c r="K1055" s="95">
        <v>0.62</v>
      </c>
      <c r="L1055" s="95">
        <v>0.04</v>
      </c>
      <c r="M1055" s="95">
        <v>0</v>
      </c>
      <c r="N1055" s="95">
        <v>0.11700000000000001</v>
      </c>
      <c r="O1055" s="95">
        <v>0</v>
      </c>
      <c r="P1055" s="95">
        <v>0</v>
      </c>
      <c r="Q1055" s="95">
        <v>0</v>
      </c>
      <c r="R1055" s="95">
        <v>0</v>
      </c>
      <c r="S1055" s="95">
        <v>0</v>
      </c>
      <c r="T1055" s="95">
        <v>0.31</v>
      </c>
      <c r="U1055" s="95">
        <v>0</v>
      </c>
      <c r="V1055" s="95">
        <v>0</v>
      </c>
      <c r="W1055" s="95">
        <v>0</v>
      </c>
      <c r="X1055" s="95">
        <v>0</v>
      </c>
      <c r="Y1055" s="95">
        <v>0</v>
      </c>
      <c r="Z1055" s="95">
        <v>0</v>
      </c>
      <c r="AA1055" s="8" t="s">
        <v>2337</v>
      </c>
      <c r="AB1055" s="8" t="s">
        <v>2361</v>
      </c>
      <c r="AC1055" s="15" t="s">
        <v>2362</v>
      </c>
      <c r="AD1055" s="15" t="s">
        <v>2362</v>
      </c>
      <c r="AE1055" s="16">
        <v>45375</v>
      </c>
      <c r="AF1055" s="9"/>
      <c r="AG1055" t="str">
        <f>VLOOKUP(OfficeForms.Table[[#This Row],[Nama Proyek]],'Nama Proyek'!$D$2:$G$40,4,0)</f>
        <v>-6.33533300,107.77576100</v>
      </c>
      <c r="AH1055" s="5"/>
      <c r="AI1055" s="5"/>
      <c r="AJ1055" s="5"/>
      <c r="AK1055" s="5" t="s">
        <v>2422</v>
      </c>
    </row>
    <row r="1056" spans="1:37">
      <c r="A1056" s="50">
        <v>64</v>
      </c>
      <c r="B1056" s="111">
        <v>45378.418171296296</v>
      </c>
      <c r="C1056" s="29">
        <f>B1056</f>
        <v>45378.418171296296</v>
      </c>
      <c r="D1056" s="9" t="s">
        <v>2266</v>
      </c>
      <c r="E1056" s="9" t="s">
        <v>1479</v>
      </c>
      <c r="F1056" s="5" t="str">
        <f>E1056</f>
        <v>Fian Aziz</v>
      </c>
      <c r="G1056" s="23" t="s">
        <v>1480</v>
      </c>
      <c r="H1056" s="104">
        <v>45376</v>
      </c>
      <c r="I1056" s="94">
        <v>38.533000000000001</v>
      </c>
      <c r="J1056" s="94">
        <v>36.585999999999999</v>
      </c>
      <c r="K1056" s="94"/>
      <c r="L1056" s="94"/>
      <c r="M1056" s="94"/>
      <c r="N1056" s="94"/>
      <c r="O1056" s="94"/>
      <c r="P1056" s="94"/>
      <c r="Q1056" s="94"/>
      <c r="R1056" s="94"/>
      <c r="S1056" s="94"/>
      <c r="T1056" s="94"/>
      <c r="U1056" s="94"/>
      <c r="V1056" s="94"/>
      <c r="W1056" s="94"/>
      <c r="X1056" s="94"/>
      <c r="Y1056" s="94"/>
      <c r="Z1056" s="94"/>
      <c r="AA1056" s="20" t="s">
        <v>2423</v>
      </c>
      <c r="AB1056" s="9"/>
      <c r="AC1056" s="9"/>
      <c r="AD1056" s="9"/>
      <c r="AE1056" s="12"/>
      <c r="AF1056" s="8"/>
      <c r="AG1056" t="str">
        <f>VLOOKUP(OfficeForms.Table[[#This Row],[Nama Proyek]],'Nama Proyek'!$D$2:$G$40,4,0)</f>
        <v>-6.23191260,107.90813480</v>
      </c>
      <c r="AH1056" s="5"/>
      <c r="AI1056" s="5"/>
      <c r="AJ1056" s="5"/>
      <c r="AK1056" s="5" t="s">
        <v>2424</v>
      </c>
    </row>
    <row r="1057" spans="1:37">
      <c r="A1057" s="31">
        <v>65</v>
      </c>
      <c r="B1057" s="110">
        <v>45378.424502314818</v>
      </c>
      <c r="C1057" s="28">
        <f>B1057</f>
        <v>45378.424502314818</v>
      </c>
      <c r="D1057" s="8" t="s">
        <v>2266</v>
      </c>
      <c r="E1057" s="8" t="s">
        <v>2425</v>
      </c>
      <c r="F1057" s="5" t="str">
        <f>E1057</f>
        <v>Arif Setiawan</v>
      </c>
      <c r="G1057" s="23" t="s">
        <v>2300</v>
      </c>
      <c r="H1057" s="102">
        <v>45374</v>
      </c>
      <c r="I1057" s="95">
        <v>46.985999999999997</v>
      </c>
      <c r="J1057" s="95">
        <v>46.502000000000002</v>
      </c>
      <c r="K1057" s="95">
        <v>0.46400000000000002</v>
      </c>
      <c r="L1057" s="95">
        <v>0.156</v>
      </c>
      <c r="M1057" s="95">
        <v>43.838999999999999</v>
      </c>
      <c r="N1057" s="95">
        <v>0</v>
      </c>
      <c r="O1057" s="95">
        <v>0</v>
      </c>
      <c r="P1057" s="95">
        <v>0</v>
      </c>
      <c r="Q1057" s="95">
        <v>2.452</v>
      </c>
      <c r="R1057" s="95">
        <v>0</v>
      </c>
      <c r="S1057" s="95">
        <v>7.4999999999999997E-2</v>
      </c>
      <c r="T1057" s="95">
        <v>0</v>
      </c>
      <c r="U1057" s="95">
        <v>0</v>
      </c>
      <c r="V1057" s="95">
        <v>0</v>
      </c>
      <c r="W1057" s="95">
        <v>0</v>
      </c>
      <c r="X1057" s="95">
        <v>0</v>
      </c>
      <c r="Y1057" s="95">
        <v>0</v>
      </c>
      <c r="Z1057" s="95">
        <v>0</v>
      </c>
      <c r="AA1057" s="63" t="s">
        <v>2426</v>
      </c>
      <c r="AB1057" s="8"/>
      <c r="AC1057" s="8"/>
      <c r="AD1057" s="8"/>
      <c r="AE1057" s="11"/>
      <c r="AF1057" s="17" t="s">
        <v>2427</v>
      </c>
      <c r="AG1057" t="str">
        <f>VLOOKUP(OfficeForms.Table[[#This Row],[Nama Proyek]],'Nama Proyek'!$D$2:$G$40,4,0)</f>
        <v>-6.92723742,109.95182730</v>
      </c>
      <c r="AH1057" s="5"/>
      <c r="AI1057" s="5"/>
      <c r="AJ1057" s="5"/>
      <c r="AK1057" s="5" t="s">
        <v>2428</v>
      </c>
    </row>
    <row r="1058" spans="1:37">
      <c r="A1058" s="30">
        <v>66</v>
      </c>
      <c r="B1058" s="111">
        <v>45378.432129629633</v>
      </c>
      <c r="C1058" s="29">
        <f>B1058</f>
        <v>45378.432129629633</v>
      </c>
      <c r="D1058" s="9" t="s">
        <v>2266</v>
      </c>
      <c r="E1058" s="9" t="s">
        <v>687</v>
      </c>
      <c r="F1058" s="5" t="str">
        <f>E1058</f>
        <v>Andri Julio Hermawan</v>
      </c>
      <c r="G1058" s="32" t="s">
        <v>750</v>
      </c>
      <c r="H1058" s="103">
        <v>45378</v>
      </c>
      <c r="I1058" s="94">
        <v>80.483999999999995</v>
      </c>
      <c r="J1058" s="94">
        <v>80.376000000000005</v>
      </c>
      <c r="K1058" s="94">
        <v>1.244</v>
      </c>
      <c r="L1058" s="94">
        <v>1.5329999999999999</v>
      </c>
      <c r="M1058" s="94">
        <v>21.902000000000001</v>
      </c>
      <c r="N1058" s="94">
        <v>0</v>
      </c>
      <c r="O1058" s="94">
        <v>1.93</v>
      </c>
      <c r="P1058" s="94">
        <v>2.1269999999999998</v>
      </c>
      <c r="Q1058" s="94">
        <v>50.363</v>
      </c>
      <c r="R1058" s="94">
        <v>0</v>
      </c>
      <c r="S1058" s="94">
        <v>1.3640000000000001</v>
      </c>
      <c r="T1058" s="94"/>
      <c r="U1058" s="94"/>
      <c r="V1058" s="94"/>
      <c r="W1058" s="94"/>
      <c r="X1058" s="94"/>
      <c r="Y1058" s="94"/>
      <c r="Z1058" s="94"/>
      <c r="AA1058" s="9" t="s">
        <v>2429</v>
      </c>
      <c r="AB1058" s="9" t="s">
        <v>2430</v>
      </c>
      <c r="AC1058" s="17" t="s">
        <v>2431</v>
      </c>
      <c r="AD1058" s="17" t="s">
        <v>2431</v>
      </c>
      <c r="AE1058" s="18">
        <v>45378</v>
      </c>
      <c r="AF1058" s="15" t="s">
        <v>2432</v>
      </c>
      <c r="AG1058" t="str">
        <f>VLOOKUP(OfficeForms.Table[[#This Row],[Nama Proyek]],'Nama Proyek'!$D$2:$G$40,4,0)</f>
        <v>-1.10415341,116.73424356</v>
      </c>
      <c r="AH1058" s="5"/>
      <c r="AI1058" s="5"/>
      <c r="AJ1058" s="5"/>
      <c r="AK1058" s="5" t="s">
        <v>2433</v>
      </c>
    </row>
    <row r="1059" spans="1:37">
      <c r="A1059" s="31">
        <v>67</v>
      </c>
      <c r="B1059" s="110">
        <v>45378.462627314817</v>
      </c>
      <c r="C1059" s="28">
        <f>B1059</f>
        <v>45378.462627314817</v>
      </c>
      <c r="D1059" s="8" t="s">
        <v>2266</v>
      </c>
      <c r="E1059" s="8" t="s">
        <v>109</v>
      </c>
      <c r="F1059" s="5" t="str">
        <f>E1059</f>
        <v>Muhamad Saifudin Ashari</v>
      </c>
      <c r="G1059" s="15" t="s">
        <v>2267</v>
      </c>
      <c r="H1059" s="102">
        <v>45378</v>
      </c>
      <c r="I1059" s="95">
        <v>0.95199999999999996</v>
      </c>
      <c r="J1059" s="95">
        <v>2.867</v>
      </c>
      <c r="K1059" s="95">
        <v>14.38</v>
      </c>
      <c r="L1059" s="95">
        <v>13.68</v>
      </c>
      <c r="M1059" s="95">
        <v>8.1999999999999993</v>
      </c>
      <c r="N1059" s="95">
        <v>0</v>
      </c>
      <c r="O1059" s="95">
        <v>4.8099999999999996</v>
      </c>
      <c r="P1059" s="95">
        <v>0</v>
      </c>
      <c r="Q1059" s="95">
        <v>0</v>
      </c>
      <c r="R1059" s="95">
        <v>0</v>
      </c>
      <c r="S1059" s="95">
        <v>0</v>
      </c>
      <c r="T1059" s="95">
        <v>0.91</v>
      </c>
      <c r="U1059" s="95">
        <v>0</v>
      </c>
      <c r="V1059" s="95">
        <v>0</v>
      </c>
      <c r="W1059" s="95">
        <v>0</v>
      </c>
      <c r="X1059" s="95">
        <v>0</v>
      </c>
      <c r="Y1059" s="95">
        <v>0</v>
      </c>
      <c r="Z1059" s="95">
        <v>0</v>
      </c>
      <c r="AA1059" s="8" t="s">
        <v>2434</v>
      </c>
      <c r="AB1059" s="8" t="s">
        <v>2435</v>
      </c>
      <c r="AC1059" s="8" t="s">
        <v>2436</v>
      </c>
      <c r="AD1059" s="8" t="s">
        <v>2437</v>
      </c>
      <c r="AE1059" s="16">
        <v>45376</v>
      </c>
      <c r="AF1059" s="17" t="s">
        <v>2438</v>
      </c>
      <c r="AG1059" t="str">
        <f>VLOOKUP(OfficeForms.Table[[#This Row],[Nama Proyek]],'Nama Proyek'!$D$2:$G$40,4,0)</f>
        <v>-6.88120502,106.78938277</v>
      </c>
      <c r="AH1059" s="5"/>
      <c r="AI1059" s="5"/>
      <c r="AJ1059" s="5"/>
      <c r="AK1059" s="5" t="s">
        <v>2439</v>
      </c>
    </row>
    <row r="1060" spans="1:37">
      <c r="A1060">
        <v>68</v>
      </c>
      <c r="B1060" s="111">
        <v>45378.647199074076</v>
      </c>
      <c r="C1060" s="29">
        <f>B1060</f>
        <v>45378.647199074076</v>
      </c>
      <c r="D1060" s="9" t="s">
        <v>2266</v>
      </c>
      <c r="E1060" s="9" t="s">
        <v>57</v>
      </c>
      <c r="F1060" s="5" t="str">
        <f>E1060</f>
        <v>Alfian Budi Prasetya</v>
      </c>
      <c r="G1060" s="17" t="s">
        <v>1484</v>
      </c>
      <c r="H1060" s="103">
        <v>45373</v>
      </c>
      <c r="I1060" s="94">
        <v>21.852</v>
      </c>
      <c r="J1060" s="94">
        <v>19.803999999999998</v>
      </c>
      <c r="K1060" s="94">
        <v>1.2929999999999999</v>
      </c>
      <c r="L1060" s="94">
        <v>0.14299999999999999</v>
      </c>
      <c r="M1060" s="94">
        <v>17.332999999999998</v>
      </c>
      <c r="N1060" s="94"/>
      <c r="O1060" s="94"/>
      <c r="P1060" s="94"/>
      <c r="Q1060" s="94">
        <v>3.0830000000000002</v>
      </c>
      <c r="R1060" s="94"/>
      <c r="S1060" s="94"/>
      <c r="T1060" s="94"/>
      <c r="U1060" s="94"/>
      <c r="V1060" s="94"/>
      <c r="W1060" s="94"/>
      <c r="X1060" s="94"/>
      <c r="Y1060" s="94"/>
      <c r="Z1060" s="94"/>
      <c r="AA1060" s="9" t="s">
        <v>2440</v>
      </c>
      <c r="AB1060" s="9" t="s">
        <v>2440</v>
      </c>
      <c r="AC1060" s="9"/>
      <c r="AD1060" s="17"/>
      <c r="AE1060" s="18">
        <v>45373</v>
      </c>
      <c r="AF1060" s="19"/>
      <c r="AG1060" t="str">
        <f>VLOOKUP(OfficeForms.Table[[#This Row],[Nama Proyek]],'Nama Proyek'!$D$2:$G$40,4,0)</f>
        <v>-8.01003300,110.33312900</v>
      </c>
      <c r="AH1060" s="5"/>
      <c r="AI1060" s="5"/>
      <c r="AJ1060" s="5"/>
      <c r="AK1060" s="5" t="s">
        <v>2441</v>
      </c>
    </row>
    <row r="1061" spans="1:37">
      <c r="A1061">
        <v>1075</v>
      </c>
      <c r="B1061" s="110">
        <v>45379.37164351852</v>
      </c>
      <c r="C1061" s="28">
        <f>B1061</f>
        <v>45379.37164351852</v>
      </c>
      <c r="D1061" s="8" t="s">
        <v>2266</v>
      </c>
      <c r="E1061" s="8" t="s">
        <v>64</v>
      </c>
      <c r="F1061" s="5" t="str">
        <f>E1061</f>
        <v>Nizar Zulkarnain</v>
      </c>
      <c r="G1061" s="42" t="s">
        <v>65</v>
      </c>
      <c r="H1061" s="105">
        <v>45375</v>
      </c>
      <c r="I1061" s="95">
        <v>93.197000000000003</v>
      </c>
      <c r="J1061" s="95">
        <v>99.495999999999995</v>
      </c>
      <c r="K1061" s="95">
        <v>88.01</v>
      </c>
      <c r="L1061" s="95">
        <v>99</v>
      </c>
      <c r="M1061" s="95">
        <v>98</v>
      </c>
      <c r="N1061" s="95">
        <v>96</v>
      </c>
      <c r="O1061" s="95">
        <v>94</v>
      </c>
      <c r="P1061" s="95">
        <v>89</v>
      </c>
      <c r="Q1061" s="95">
        <v>90</v>
      </c>
      <c r="R1061" s="95">
        <v>96</v>
      </c>
      <c r="S1061" s="95">
        <v>83</v>
      </c>
      <c r="T1061" s="95">
        <v>97</v>
      </c>
      <c r="U1061" s="95">
        <v>99</v>
      </c>
      <c r="V1061" s="95">
        <v>73</v>
      </c>
      <c r="W1061" s="95">
        <v>52</v>
      </c>
      <c r="X1061" s="95"/>
      <c r="Y1061" s="95">
        <v>98</v>
      </c>
      <c r="Z1061" s="95">
        <v>41</v>
      </c>
      <c r="AA1061" s="8" t="s">
        <v>2442</v>
      </c>
      <c r="AB1061" s="8"/>
      <c r="AC1061" s="8"/>
      <c r="AD1061" s="8"/>
      <c r="AE1061" s="11"/>
      <c r="AF1061" s="8" t="s">
        <v>2443</v>
      </c>
      <c r="AG1061" t="str">
        <f>VLOOKUP(OfficeForms.Table[[#This Row],[Nama Proyek]],'Nama Proyek'!$D$2:$G$40,4,0)</f>
        <v>-6.35008011,107.02324233</v>
      </c>
      <c r="AH1061" s="5"/>
      <c r="AI1061" s="5"/>
      <c r="AJ1061" s="5"/>
      <c r="AK1061" s="5" t="s">
        <v>2444</v>
      </c>
    </row>
    <row r="1062" spans="1:37">
      <c r="A1062" s="31">
        <v>70</v>
      </c>
      <c r="B1062" s="111">
        <v>45379.511458333334</v>
      </c>
      <c r="C1062" s="29">
        <f>B1062</f>
        <v>45379.511458333334</v>
      </c>
      <c r="D1062" s="9" t="s">
        <v>2266</v>
      </c>
      <c r="E1062" s="9" t="s">
        <v>2289</v>
      </c>
      <c r="F1062" s="5" t="str">
        <f>E1062</f>
        <v>Muhammad Nuh Tarigan</v>
      </c>
      <c r="G1062" s="17" t="s">
        <v>2290</v>
      </c>
      <c r="H1062" s="103">
        <v>45374</v>
      </c>
      <c r="I1062" s="94">
        <v>10.798999999999999</v>
      </c>
      <c r="J1062" s="94">
        <v>5.9279999999999999</v>
      </c>
      <c r="K1062" s="94">
        <v>0.113</v>
      </c>
      <c r="L1062" s="94">
        <v>0</v>
      </c>
      <c r="M1062" s="94">
        <v>9.0009999999999994</v>
      </c>
      <c r="N1062" s="94">
        <v>0</v>
      </c>
      <c r="O1062" s="94">
        <v>0</v>
      </c>
      <c r="P1062" s="94">
        <v>0</v>
      </c>
      <c r="Q1062" s="94">
        <v>1.661</v>
      </c>
      <c r="R1062" s="94">
        <v>0</v>
      </c>
      <c r="S1062" s="94">
        <v>0</v>
      </c>
      <c r="T1062" s="94">
        <v>0</v>
      </c>
      <c r="U1062" s="94">
        <v>0</v>
      </c>
      <c r="V1062" s="94">
        <v>0</v>
      </c>
      <c r="W1062" s="94">
        <v>0</v>
      </c>
      <c r="X1062" s="94">
        <v>0</v>
      </c>
      <c r="Y1062" s="94">
        <v>0</v>
      </c>
      <c r="Z1062" s="94">
        <v>0</v>
      </c>
      <c r="AA1062" s="9" t="s">
        <v>2445</v>
      </c>
      <c r="AB1062" s="9" t="s">
        <v>2446</v>
      </c>
      <c r="AC1062" s="20" t="s">
        <v>2447</v>
      </c>
      <c r="AD1062" s="21" t="s">
        <v>2297</v>
      </c>
      <c r="AE1062" s="12">
        <v>45379</v>
      </c>
      <c r="AF1062" s="15" t="s">
        <v>2448</v>
      </c>
      <c r="AG1062" t="str">
        <f>VLOOKUP(OfficeForms.Table[[#This Row],[Nama Proyek]],'Nama Proyek'!$D$2:$G$40,4,0)</f>
        <v>-0.99046214,116.69024762</v>
      </c>
      <c r="AH1062" s="5"/>
      <c r="AI1062" s="5"/>
      <c r="AJ1062" s="5"/>
      <c r="AK1062" s="5" t="s">
        <v>2449</v>
      </c>
    </row>
    <row r="1063" spans="1:37" ht="16.5">
      <c r="A1063" s="31">
        <v>71</v>
      </c>
      <c r="B1063" s="110">
        <v>45379.574317129627</v>
      </c>
      <c r="C1063" s="28">
        <f>B1063</f>
        <v>45379.574317129627</v>
      </c>
      <c r="D1063" s="8" t="s">
        <v>2266</v>
      </c>
      <c r="E1063" s="8" t="s">
        <v>214</v>
      </c>
      <c r="F1063" s="5" t="str">
        <f>E1063</f>
        <v>BASUKI RAHMAT HAKIM</v>
      </c>
      <c r="G1063" s="59" t="s">
        <v>48</v>
      </c>
      <c r="H1063" s="105">
        <v>45376</v>
      </c>
      <c r="I1063" s="95">
        <v>98.45</v>
      </c>
      <c r="J1063" s="95">
        <v>99.93</v>
      </c>
      <c r="K1063" s="95">
        <v>3.18</v>
      </c>
      <c r="L1063" s="95">
        <v>0.98</v>
      </c>
      <c r="M1063" s="95">
        <v>91.96</v>
      </c>
      <c r="N1063" s="95"/>
      <c r="O1063" s="95"/>
      <c r="P1063" s="95"/>
      <c r="Q1063" s="95">
        <v>1.95</v>
      </c>
      <c r="R1063" s="95"/>
      <c r="S1063" s="95">
        <v>0.38</v>
      </c>
      <c r="T1063" s="95"/>
      <c r="U1063" s="95"/>
      <c r="V1063" s="95"/>
      <c r="W1063" s="95"/>
      <c r="X1063" s="95"/>
      <c r="Y1063" s="95"/>
      <c r="Z1063" s="95"/>
      <c r="AA1063" s="8" t="s">
        <v>2450</v>
      </c>
      <c r="AB1063" s="8" t="s">
        <v>2451</v>
      </c>
      <c r="AC1063" s="8" t="s">
        <v>2452</v>
      </c>
      <c r="AD1063" s="8"/>
      <c r="AE1063" s="16">
        <v>45372</v>
      </c>
      <c r="AF1063" s="9"/>
      <c r="AG1063" t="str">
        <f>VLOOKUP(OfficeForms.Table[[#This Row],[Nama Proyek]],'Nama Proyek'!$D$2:$G$40,4,0)</f>
        <v>3.76047575,115.89977678</v>
      </c>
      <c r="AH1063" s="5"/>
      <c r="AI1063" s="5"/>
      <c r="AJ1063" s="5"/>
      <c r="AK1063" s="5" t="s">
        <v>2453</v>
      </c>
    </row>
    <row r="1064" spans="1:37">
      <c r="A1064" s="30">
        <v>72</v>
      </c>
      <c r="B1064" s="111">
        <v>45379.632141203707</v>
      </c>
      <c r="C1064" s="29">
        <f>B1064</f>
        <v>45379.632141203707</v>
      </c>
      <c r="D1064" s="9" t="s">
        <v>2266</v>
      </c>
      <c r="E1064" s="9" t="s">
        <v>2214</v>
      </c>
      <c r="F1064" s="5" t="str">
        <f>E1064</f>
        <v>Muhammad Ragil Ridho</v>
      </c>
      <c r="G1064" s="17" t="s">
        <v>1315</v>
      </c>
      <c r="H1064" s="104">
        <v>45379</v>
      </c>
      <c r="I1064" s="94">
        <v>34.636000000000003</v>
      </c>
      <c r="J1064" s="94">
        <v>96.819000000000003</v>
      </c>
      <c r="K1064" s="94">
        <v>4.1449999999999996</v>
      </c>
      <c r="L1064" s="94">
        <v>0.76900000000000002</v>
      </c>
      <c r="M1064" s="94">
        <v>0.158</v>
      </c>
      <c r="N1064" s="94">
        <v>15.901999999999999</v>
      </c>
      <c r="O1064" s="94">
        <v>0.51400000000000001</v>
      </c>
      <c r="P1064" s="94">
        <v>0.36499999999999999</v>
      </c>
      <c r="Q1064" s="94">
        <v>2.1000000000000001E-2</v>
      </c>
      <c r="R1064" s="94">
        <v>0.08</v>
      </c>
      <c r="S1064" s="94">
        <v>0.64</v>
      </c>
      <c r="T1064" s="94">
        <v>7.4880000000000004</v>
      </c>
      <c r="U1064" s="94">
        <v>3.0150000000000001</v>
      </c>
      <c r="V1064" s="94"/>
      <c r="W1064" s="94"/>
      <c r="X1064" s="94"/>
      <c r="Y1064" s="94">
        <v>1.538</v>
      </c>
      <c r="Z1064" s="94"/>
      <c r="AA1064" s="9"/>
      <c r="AB1064" s="9" t="s">
        <v>2454</v>
      </c>
      <c r="AC1064" s="9"/>
      <c r="AD1064" s="9"/>
      <c r="AE1064" s="12" t="e" vm="1">
        <f>[1]!OfficeForms.Table[[#This Row],[Waktu selesai]]</f>
        <v>#REF!</v>
      </c>
      <c r="AF1064" s="15" t="s">
        <v>2455</v>
      </c>
      <c r="AG1064" t="str">
        <f>VLOOKUP(OfficeForms.Table[[#This Row],[Nama Proyek]],'Nama Proyek'!$D$2:$G$40,4,0)</f>
        <v>-6.42093860,107.18760070</v>
      </c>
      <c r="AH1064" s="5"/>
      <c r="AI1064" s="5"/>
      <c r="AJ1064" s="5"/>
      <c r="AK1064" s="5" t="s">
        <v>2456</v>
      </c>
    </row>
    <row r="1065" spans="1:37" ht="409.6">
      <c r="A1065">
        <v>73</v>
      </c>
      <c r="B1065" s="110">
        <v>45380.574988425928</v>
      </c>
      <c r="C1065" s="28">
        <f>B1065</f>
        <v>45380.574988425928</v>
      </c>
      <c r="D1065" s="8" t="s">
        <v>2266</v>
      </c>
      <c r="E1065" s="8" t="s">
        <v>734</v>
      </c>
      <c r="F1065" s="5" t="str">
        <f>E1065</f>
        <v>Aldian Winata</v>
      </c>
      <c r="G1065" s="15" t="s">
        <v>735</v>
      </c>
      <c r="H1065" s="102">
        <v>45382</v>
      </c>
      <c r="I1065" s="95">
        <v>55.131</v>
      </c>
      <c r="J1065" s="95">
        <v>89.613</v>
      </c>
      <c r="K1065" s="95">
        <v>0.371</v>
      </c>
      <c r="L1065" s="95">
        <v>2.2189999999999999</v>
      </c>
      <c r="M1065" s="95">
        <v>41.573</v>
      </c>
      <c r="N1065" s="95">
        <v>0</v>
      </c>
      <c r="O1065" s="95">
        <v>0.47299999999999998</v>
      </c>
      <c r="P1065" s="95">
        <v>3.6280000000000001</v>
      </c>
      <c r="Q1065" s="95">
        <v>0.38400000000000001</v>
      </c>
      <c r="R1065" s="95"/>
      <c r="S1065" s="95"/>
      <c r="T1065" s="95"/>
      <c r="U1065" s="95"/>
      <c r="V1065" s="95"/>
      <c r="W1065" s="95"/>
      <c r="X1065" s="95"/>
      <c r="Y1065" s="95"/>
      <c r="Z1065" s="95"/>
      <c r="AA1065" s="8" t="s">
        <v>2457</v>
      </c>
      <c r="AB1065" s="15" t="s">
        <v>2458</v>
      </c>
      <c r="AC1065" s="15" t="s">
        <v>2459</v>
      </c>
      <c r="AD1065" s="15"/>
      <c r="AE1065" s="16">
        <v>45379</v>
      </c>
      <c r="AF1065" s="40" t="s">
        <v>2460</v>
      </c>
      <c r="AG1065" t="str">
        <f>VLOOKUP(OfficeForms.Table[[#This Row],[Nama Proyek]],'Nama Proyek'!$D$2:$G$40,4,0)</f>
        <v>-0.88562397,119.85928375</v>
      </c>
      <c r="AH1065" s="5"/>
      <c r="AI1065" s="5"/>
      <c r="AJ1065" s="5"/>
      <c r="AK1065" s="5" t="s">
        <v>2461</v>
      </c>
    </row>
    <row r="1066" spans="1:37">
      <c r="A1066" s="50">
        <v>74</v>
      </c>
      <c r="B1066" s="111">
        <v>45380.665810185186</v>
      </c>
      <c r="C1066" s="29">
        <f>B1066</f>
        <v>45380.665810185186</v>
      </c>
      <c r="D1066" s="9" t="s">
        <v>2266</v>
      </c>
      <c r="E1066" s="9" t="s">
        <v>2284</v>
      </c>
      <c r="F1066" s="5" t="str">
        <f>E1066</f>
        <v>Rizky Saputra</v>
      </c>
      <c r="G1066" s="17" t="s">
        <v>1317</v>
      </c>
      <c r="H1066" s="104">
        <v>45380</v>
      </c>
      <c r="I1066" s="94">
        <v>23.175999999999998</v>
      </c>
      <c r="J1066" s="94">
        <v>25.295000000000002</v>
      </c>
      <c r="K1066" s="94">
        <v>0.6</v>
      </c>
      <c r="L1066" s="94">
        <v>0.15</v>
      </c>
      <c r="M1066" s="94">
        <v>0.06</v>
      </c>
      <c r="N1066" s="94">
        <v>17.41</v>
      </c>
      <c r="O1066" s="94">
        <v>0.11</v>
      </c>
      <c r="P1066" s="94">
        <v>0</v>
      </c>
      <c r="Q1066" s="94">
        <v>0</v>
      </c>
      <c r="R1066" s="94">
        <v>0</v>
      </c>
      <c r="S1066" s="94">
        <v>0</v>
      </c>
      <c r="T1066" s="94">
        <v>4.8099999999999996</v>
      </c>
      <c r="U1066" s="94">
        <v>0</v>
      </c>
      <c r="V1066" s="94">
        <v>0.03</v>
      </c>
      <c r="W1066" s="94">
        <v>0</v>
      </c>
      <c r="X1066" s="94">
        <v>0</v>
      </c>
      <c r="Y1066" s="94">
        <v>0</v>
      </c>
      <c r="Z1066" s="94">
        <v>0</v>
      </c>
      <c r="AA1066" s="9" t="s">
        <v>2462</v>
      </c>
      <c r="AB1066" s="17" t="s">
        <v>2463</v>
      </c>
      <c r="AC1066" s="17" t="s">
        <v>2413</v>
      </c>
      <c r="AD1066" s="17" t="s">
        <v>2413</v>
      </c>
      <c r="AE1066" s="12">
        <v>45380</v>
      </c>
      <c r="AF1066" s="8"/>
      <c r="AG1066" t="str">
        <f>VLOOKUP(OfficeForms.Table[[#This Row],[Nama Proyek]],'Nama Proyek'!$D$2:$G$40,4,0)</f>
        <v>-7.72647690,113.63515320</v>
      </c>
      <c r="AH1066" s="5"/>
      <c r="AI1066" s="5"/>
      <c r="AJ1066" s="5"/>
      <c r="AK1066" s="5" t="s">
        <v>2464</v>
      </c>
    </row>
    <row r="1067" spans="1:37" ht="45.75">
      <c r="A1067" s="31">
        <v>75</v>
      </c>
      <c r="B1067" s="110">
        <v>45380.669594907406</v>
      </c>
      <c r="C1067" s="28">
        <f>B1067</f>
        <v>45380.669594907406</v>
      </c>
      <c r="D1067" s="8" t="s">
        <v>2266</v>
      </c>
      <c r="E1067" s="8" t="s">
        <v>734</v>
      </c>
      <c r="F1067" s="5" t="str">
        <f>E1067</f>
        <v>Aldian Winata</v>
      </c>
      <c r="G1067" s="15" t="s">
        <v>735</v>
      </c>
      <c r="H1067" s="102">
        <v>45382</v>
      </c>
      <c r="I1067" s="95"/>
      <c r="J1067" s="95"/>
      <c r="K1067" s="95"/>
      <c r="L1067" s="95"/>
      <c r="M1067" s="95"/>
      <c r="N1067" s="95"/>
      <c r="O1067" s="95"/>
      <c r="P1067" s="95"/>
      <c r="Q1067" s="95"/>
      <c r="R1067" s="95"/>
      <c r="S1067" s="95"/>
      <c r="T1067" s="95"/>
      <c r="U1067" s="95"/>
      <c r="V1067" s="95"/>
      <c r="W1067" s="95"/>
      <c r="X1067" s="95"/>
      <c r="Y1067" s="95"/>
      <c r="Z1067" s="95"/>
      <c r="AA1067" s="8"/>
      <c r="AB1067" s="8"/>
      <c r="AC1067" s="8" t="s">
        <v>2465</v>
      </c>
      <c r="AD1067" s="8" t="s">
        <v>2466</v>
      </c>
      <c r="AE1067" s="11"/>
      <c r="AF1067" s="40" t="s">
        <v>2467</v>
      </c>
      <c r="AG1067" t="str">
        <f>VLOOKUP(OfficeForms.Table[[#This Row],[Nama Proyek]],'Nama Proyek'!$D$2:$G$40,4,0)</f>
        <v>-0.88562397,119.85928375</v>
      </c>
      <c r="AH1067" s="5"/>
      <c r="AI1067" s="5"/>
      <c r="AJ1067" s="5"/>
      <c r="AK1067" s="5" t="s">
        <v>2468</v>
      </c>
    </row>
    <row r="1068" spans="1:37">
      <c r="A1068" s="31">
        <v>76</v>
      </c>
      <c r="B1068" s="111">
        <v>45381.906608796293</v>
      </c>
      <c r="C1068" s="29">
        <f>B1068</f>
        <v>45381.906608796293</v>
      </c>
      <c r="D1068" s="9" t="s">
        <v>2266</v>
      </c>
      <c r="E1068" s="9" t="s">
        <v>994</v>
      </c>
      <c r="F1068" s="5" t="str">
        <f>E1068</f>
        <v>Nenes Anggi Puspadi</v>
      </c>
      <c r="G1068" s="23" t="s">
        <v>924</v>
      </c>
      <c r="H1068" s="103">
        <v>45379</v>
      </c>
      <c r="I1068" s="94">
        <v>100</v>
      </c>
      <c r="J1068" s="94">
        <v>99.35</v>
      </c>
      <c r="K1068" s="94">
        <v>2.96</v>
      </c>
      <c r="L1068" s="94">
        <v>3.15</v>
      </c>
      <c r="M1068" s="94">
        <v>38.47</v>
      </c>
      <c r="N1068" s="94"/>
      <c r="O1068" s="94">
        <v>13.19</v>
      </c>
      <c r="P1068" s="94">
        <v>25.12</v>
      </c>
      <c r="Q1068" s="94">
        <v>15.35</v>
      </c>
      <c r="R1068" s="94">
        <v>1.77</v>
      </c>
      <c r="S1068" s="94"/>
      <c r="T1068" s="94"/>
      <c r="U1068" s="94"/>
      <c r="V1068" s="94"/>
      <c r="W1068" s="94"/>
      <c r="X1068" s="94"/>
      <c r="Y1068" s="94"/>
      <c r="Z1068" s="94"/>
      <c r="AA1068" s="9" t="s">
        <v>2469</v>
      </c>
      <c r="AB1068" s="20" t="s">
        <v>2470</v>
      </c>
      <c r="AC1068" s="9"/>
      <c r="AD1068" s="9"/>
      <c r="AE1068" s="12">
        <v>45379</v>
      </c>
      <c r="AF1068" s="8" t="s">
        <v>2471</v>
      </c>
      <c r="AG1068" t="str">
        <f>VLOOKUP(OfficeForms.Table[[#This Row],[Nama Proyek]],'Nama Proyek'!$D$2:$G$40,4,0)</f>
        <v>-3.25078511,134.87791156</v>
      </c>
      <c r="AH1068" s="5"/>
      <c r="AI1068" s="5"/>
      <c r="AJ1068" s="5"/>
      <c r="AK1068" s="5" t="s">
        <v>2472</v>
      </c>
    </row>
    <row r="1069" spans="1:37">
      <c r="A1069" s="30">
        <v>77</v>
      </c>
      <c r="B1069" s="110">
        <v>45382.894155092596</v>
      </c>
      <c r="C1069" s="28">
        <f>B1069</f>
        <v>45382.894155092596</v>
      </c>
      <c r="D1069" s="8" t="s">
        <v>2266</v>
      </c>
      <c r="E1069" s="8" t="s">
        <v>1282</v>
      </c>
      <c r="F1069" s="5" t="str">
        <f>E1069</f>
        <v>Achmad Rival Setyawan, S.T</v>
      </c>
      <c r="G1069" s="23" t="s">
        <v>989</v>
      </c>
      <c r="H1069" s="102">
        <v>45382</v>
      </c>
      <c r="I1069" s="95">
        <v>80.430999999999997</v>
      </c>
      <c r="J1069" s="95">
        <v>84.600999999999999</v>
      </c>
      <c r="K1069" s="95">
        <v>2.6269999999999998</v>
      </c>
      <c r="L1069" s="95">
        <v>0.57499999999999996</v>
      </c>
      <c r="M1069" s="95">
        <v>0</v>
      </c>
      <c r="N1069" s="95">
        <v>21.725999999999999</v>
      </c>
      <c r="O1069" s="95">
        <v>6.4000000000000001E-2</v>
      </c>
      <c r="P1069" s="95">
        <v>1.607</v>
      </c>
      <c r="Q1069" s="95">
        <v>0.188</v>
      </c>
      <c r="R1069" s="95">
        <v>2.58</v>
      </c>
      <c r="S1069" s="95">
        <v>12.85</v>
      </c>
      <c r="T1069" s="95">
        <v>33.659999999999997</v>
      </c>
      <c r="U1069" s="95">
        <v>0</v>
      </c>
      <c r="V1069" s="95">
        <v>2.96</v>
      </c>
      <c r="W1069" s="95">
        <v>1.17</v>
      </c>
      <c r="X1069" s="95">
        <v>0.22</v>
      </c>
      <c r="Y1069" s="95">
        <v>0</v>
      </c>
      <c r="Z1069" s="95">
        <v>0.2</v>
      </c>
      <c r="AA1069" s="8" t="s">
        <v>2473</v>
      </c>
      <c r="AB1069" s="8"/>
      <c r="AC1069" s="8" t="s">
        <v>2474</v>
      </c>
      <c r="AD1069" s="8" t="s">
        <v>2475</v>
      </c>
      <c r="AE1069" s="11">
        <v>45382</v>
      </c>
      <c r="AF1069" s="9" t="s">
        <v>2476</v>
      </c>
      <c r="AG1069" t="str">
        <f>VLOOKUP(OfficeForms.Table[[#This Row],[Nama Proyek]],'Nama Proyek'!$D$2:$G$40,4,0)</f>
        <v>-1.98399270,103.7135193</v>
      </c>
      <c r="AH1069" s="5"/>
      <c r="AI1069" s="5"/>
      <c r="AJ1069" s="5"/>
      <c r="AK1069" s="5" t="s">
        <v>2477</v>
      </c>
    </row>
    <row r="1070" spans="1:37">
      <c r="A1070">
        <v>78</v>
      </c>
      <c r="B1070" s="111">
        <v>45384.409953703704</v>
      </c>
      <c r="C1070" s="29">
        <f>B1070</f>
        <v>45384.409953703704</v>
      </c>
      <c r="D1070" s="9" t="s">
        <v>2266</v>
      </c>
      <c r="E1070" s="9" t="s">
        <v>57</v>
      </c>
      <c r="F1070" s="5" t="str">
        <f>E1070</f>
        <v>Alfian Budi Prasetya</v>
      </c>
      <c r="G1070" s="32" t="s">
        <v>1484</v>
      </c>
      <c r="H1070" s="104">
        <v>45380</v>
      </c>
      <c r="I1070" s="94">
        <v>23.468</v>
      </c>
      <c r="J1070" s="94">
        <v>20.285</v>
      </c>
      <c r="K1070" s="94">
        <v>1.446</v>
      </c>
      <c r="L1070" s="94">
        <v>0.40500000000000003</v>
      </c>
      <c r="M1070" s="94">
        <v>17.420999999999999</v>
      </c>
      <c r="N1070" s="94"/>
      <c r="O1070" s="94"/>
      <c r="P1070" s="94"/>
      <c r="Q1070" s="94">
        <v>4.1970000000000001</v>
      </c>
      <c r="R1070" s="94"/>
      <c r="S1070" s="94"/>
      <c r="T1070" s="94"/>
      <c r="U1070" s="94"/>
      <c r="V1070" s="94"/>
      <c r="W1070" s="94"/>
      <c r="X1070" s="94"/>
      <c r="Y1070" s="94"/>
      <c r="Z1070" s="94"/>
      <c r="AA1070" s="9" t="s">
        <v>2478</v>
      </c>
      <c r="AB1070" s="9" t="s">
        <v>2478</v>
      </c>
      <c r="AC1070" s="9"/>
      <c r="AD1070" s="9"/>
      <c r="AE1070" s="12">
        <v>45380</v>
      </c>
      <c r="AF1070" s="8"/>
      <c r="AG1070" t="str">
        <f>VLOOKUP(OfficeForms.Table[[#This Row],[Nama Proyek]],'Nama Proyek'!$D$2:$G$40,4,0)</f>
        <v>-8.01003300,110.33312900</v>
      </c>
      <c r="AH1070" s="5"/>
      <c r="AI1070" s="5"/>
      <c r="AJ1070" s="5"/>
      <c r="AK1070" s="5" t="s">
        <v>2479</v>
      </c>
    </row>
    <row r="1071" spans="1:37" ht="16.5">
      <c r="A1071">
        <v>540</v>
      </c>
      <c r="B1071" s="111">
        <v>45384.632569444446</v>
      </c>
      <c r="C1071" s="29">
        <f>B1071</f>
        <v>45384.632569444446</v>
      </c>
      <c r="D1071" s="8" t="s">
        <v>2266</v>
      </c>
      <c r="E1071" s="8" t="s">
        <v>998</v>
      </c>
      <c r="F1071" s="5" t="str">
        <f>E1071</f>
        <v>Dani Ramdhani</v>
      </c>
      <c r="G1071" s="37" t="s">
        <v>76</v>
      </c>
      <c r="H1071" s="102">
        <v>45375</v>
      </c>
      <c r="I1071" s="95">
        <v>97.457999999999998</v>
      </c>
      <c r="J1071" s="95">
        <v>98.56</v>
      </c>
      <c r="K1071" s="95">
        <v>2.4569999999999999</v>
      </c>
      <c r="L1071" s="95">
        <v>11.965999999999999</v>
      </c>
      <c r="M1071" s="95">
        <v>20.797000000000001</v>
      </c>
      <c r="N1071" s="95">
        <v>0</v>
      </c>
      <c r="O1071" s="95">
        <v>11.029</v>
      </c>
      <c r="P1071" s="95">
        <v>0.30599999999999999</v>
      </c>
      <c r="Q1071" s="95">
        <v>49.948999999999998</v>
      </c>
      <c r="R1071" s="95">
        <v>0</v>
      </c>
      <c r="S1071" s="95">
        <v>0.93899999999999995</v>
      </c>
      <c r="T1071" s="95">
        <v>1.4999999999999999E-2</v>
      </c>
      <c r="U1071" s="95"/>
      <c r="V1071" s="95"/>
      <c r="W1071" s="95"/>
      <c r="X1071" s="95"/>
      <c r="Y1071" s="95"/>
      <c r="Z1071" s="95"/>
      <c r="AA1071" s="63" t="s">
        <v>2480</v>
      </c>
      <c r="AB1071" s="63" t="s">
        <v>2481</v>
      </c>
      <c r="AC1071" s="8" t="s">
        <v>2482</v>
      </c>
      <c r="AD1071" s="8"/>
      <c r="AE1071" s="11"/>
      <c r="AF1071" s="19"/>
      <c r="AG1071" t="str">
        <f>VLOOKUP(OfficeForms.Table[[#This Row],[Nama Proyek]],'Nama Proyek'!$D$2:$G$40,4,0)</f>
        <v>-2.95293103,104.75455094</v>
      </c>
      <c r="AH1071" s="5"/>
      <c r="AI1071" s="5"/>
      <c r="AJ1071" s="5"/>
      <c r="AK1071" s="5" t="s">
        <v>2483</v>
      </c>
    </row>
    <row r="1072" spans="1:37">
      <c r="A1072" s="31">
        <v>80</v>
      </c>
      <c r="B1072" s="111">
        <v>45384.68005787037</v>
      </c>
      <c r="C1072" s="29">
        <f>B1072</f>
        <v>45384.68005787037</v>
      </c>
      <c r="D1072" s="9" t="s">
        <v>2266</v>
      </c>
      <c r="E1072" s="9" t="s">
        <v>1952</v>
      </c>
      <c r="F1072" s="5" t="str">
        <f>E1072</f>
        <v>Fajar Kurniawan</v>
      </c>
      <c r="G1072" s="57" t="s">
        <v>2484</v>
      </c>
      <c r="H1072" s="103">
        <v>45379</v>
      </c>
      <c r="I1072" s="94">
        <v>16.09</v>
      </c>
      <c r="J1072" s="94">
        <v>2.9319999999999999</v>
      </c>
      <c r="K1072" s="94">
        <v>0.35199999999999998</v>
      </c>
      <c r="L1072" s="94">
        <v>0.70499999999999996</v>
      </c>
      <c r="M1072" s="94">
        <v>13.239000000000001</v>
      </c>
      <c r="N1072" s="94">
        <v>0</v>
      </c>
      <c r="O1072" s="94">
        <v>0</v>
      </c>
      <c r="P1072" s="94">
        <v>0</v>
      </c>
      <c r="Q1072" s="94">
        <v>1.7929999999999999</v>
      </c>
      <c r="R1072" s="94">
        <v>0</v>
      </c>
      <c r="S1072" s="94">
        <v>0</v>
      </c>
      <c r="T1072" s="94">
        <v>0</v>
      </c>
      <c r="U1072" s="94">
        <v>0</v>
      </c>
      <c r="V1072" s="94">
        <v>0</v>
      </c>
      <c r="W1072" s="94">
        <v>0</v>
      </c>
      <c r="X1072" s="94">
        <v>0</v>
      </c>
      <c r="Y1072" s="94">
        <v>0</v>
      </c>
      <c r="Z1072" s="94">
        <v>0</v>
      </c>
      <c r="AA1072" s="9" t="s">
        <v>2485</v>
      </c>
      <c r="AB1072" s="9" t="s">
        <v>2486</v>
      </c>
      <c r="AC1072" s="9" t="s">
        <v>2487</v>
      </c>
      <c r="AD1072" s="9" t="s">
        <v>2488</v>
      </c>
      <c r="AE1072" s="12">
        <v>45379</v>
      </c>
      <c r="AF1072" s="42"/>
      <c r="AG1072" t="str">
        <f>VLOOKUP(OfficeForms.Table[[#This Row],[Nama Proyek]],'Nama Proyek'!$D$2:$G$40,4,0)</f>
        <v>-8.30961900,112.11101000</v>
      </c>
      <c r="AH1072" s="5"/>
      <c r="AI1072" s="5"/>
      <c r="AJ1072" s="5"/>
      <c r="AK1072" s="5" t="s">
        <v>2489</v>
      </c>
    </row>
    <row r="1073" spans="1:37">
      <c r="A1073">
        <v>21</v>
      </c>
      <c r="B1073" s="110">
        <v>45401.388043981482</v>
      </c>
      <c r="C1073" s="28">
        <f>B1073</f>
        <v>45401.388043981482</v>
      </c>
      <c r="D1073" s="8" t="s">
        <v>2266</v>
      </c>
      <c r="E1073" s="51" t="s">
        <v>85</v>
      </c>
      <c r="F1073" s="5" t="s">
        <v>85</v>
      </c>
      <c r="G1073" s="57" t="s">
        <v>2336</v>
      </c>
      <c r="H1073" s="112">
        <v>45318</v>
      </c>
      <c r="I1073" s="98">
        <v>0.127</v>
      </c>
      <c r="J1073" s="98">
        <v>0.83799999999999997</v>
      </c>
      <c r="K1073" s="98">
        <v>1.4999999999999999E-2</v>
      </c>
      <c r="L1073" s="98"/>
      <c r="M1073" s="98"/>
      <c r="N1073" s="98">
        <v>0.112</v>
      </c>
      <c r="O1073" s="98"/>
      <c r="P1073" s="98"/>
      <c r="Q1073" s="98"/>
      <c r="R1073" s="98"/>
      <c r="S1073" s="98"/>
      <c r="T1073" s="98"/>
      <c r="U1073" s="98"/>
      <c r="V1073" s="98"/>
      <c r="W1073" s="98"/>
      <c r="X1073" s="98"/>
      <c r="Y1073" s="98"/>
      <c r="Z1073" s="98"/>
      <c r="AA1073" s="51" t="s">
        <v>2490</v>
      </c>
      <c r="AB1073" s="51" t="s">
        <v>2491</v>
      </c>
      <c r="AC1073" s="14" t="s">
        <v>2492</v>
      </c>
      <c r="AD1073" s="14" t="s">
        <v>2492</v>
      </c>
      <c r="AE1073" s="176"/>
      <c r="AF1073" s="52"/>
      <c r="AG1073" t="str">
        <f>VLOOKUP(OfficeForms.Table[[#This Row],[Nama Proyek]],'Nama Proyek'!$D$2:$G$40,4,0)</f>
        <v>-6.33533300,107.77576100</v>
      </c>
      <c r="AH1073" s="5"/>
      <c r="AI1073" s="5"/>
      <c r="AJ1073" s="5"/>
      <c r="AK1073" s="5" t="s">
        <v>2493</v>
      </c>
    </row>
    <row r="1074" spans="1:37" ht="16.5">
      <c r="A1074">
        <v>4</v>
      </c>
      <c r="B1074" s="111">
        <v>45401.388680555603</v>
      </c>
      <c r="C1074" s="29">
        <v>45401.389594907399</v>
      </c>
      <c r="D1074" s="52" t="s">
        <v>2494</v>
      </c>
      <c r="E1074" s="52" t="s">
        <v>2495</v>
      </c>
      <c r="F1074" s="5" t="s">
        <v>47</v>
      </c>
      <c r="G1074" s="59" t="s">
        <v>48</v>
      </c>
      <c r="H1074" s="149">
        <v>45320</v>
      </c>
      <c r="I1074" s="144">
        <v>94.78</v>
      </c>
      <c r="J1074" s="144">
        <v>97.36</v>
      </c>
      <c r="K1074" s="144">
        <v>2.48</v>
      </c>
      <c r="L1074" s="144">
        <v>0.83</v>
      </c>
      <c r="M1074" s="144">
        <v>91.07</v>
      </c>
      <c r="N1074" s="97"/>
      <c r="O1074" s="97"/>
      <c r="P1074" s="97"/>
      <c r="Q1074" s="144">
        <v>2.66</v>
      </c>
      <c r="R1074" s="97"/>
      <c r="S1074" s="144">
        <v>0.32</v>
      </c>
      <c r="T1074" s="97"/>
      <c r="U1074" s="97"/>
      <c r="V1074" s="97"/>
      <c r="W1074" s="97"/>
      <c r="X1074" s="97"/>
      <c r="Y1074" s="97"/>
      <c r="Z1074" s="97"/>
      <c r="AA1074" s="52" t="s">
        <v>2496</v>
      </c>
      <c r="AB1074" s="52" t="s">
        <v>2497</v>
      </c>
      <c r="AC1074" s="52" t="s">
        <v>2498</v>
      </c>
      <c r="AD1074" s="52"/>
      <c r="AE1074" s="61"/>
      <c r="AF1074" s="51"/>
      <c r="AG1074" t="str">
        <f>VLOOKUP(OfficeForms.Table[[#This Row],[Nama Proyek]],'Nama Proyek'!$D$2:$G$40,4,0)</f>
        <v>3.76047575,115.89977678</v>
      </c>
      <c r="AH1074" s="5"/>
      <c r="AI1074" s="5"/>
      <c r="AJ1074" s="5"/>
      <c r="AK1074" s="5" t="s">
        <v>2499</v>
      </c>
    </row>
    <row r="1075" spans="1:37" ht="16.5">
      <c r="A1075" s="31">
        <v>22</v>
      </c>
      <c r="B1075" s="111">
        <v>45401.389594907399</v>
      </c>
      <c r="C1075" s="29">
        <f>B1075</f>
        <v>45401.389594907399</v>
      </c>
      <c r="D1075" s="9" t="s">
        <v>2266</v>
      </c>
      <c r="E1075" s="52" t="s">
        <v>47</v>
      </c>
      <c r="F1075" s="5" t="str">
        <f>E1075</f>
        <v>Basuki Rahmat Hakim</v>
      </c>
      <c r="G1075" s="59" t="s">
        <v>48</v>
      </c>
      <c r="H1075" s="149">
        <v>45320</v>
      </c>
      <c r="I1075" s="97">
        <v>94.78</v>
      </c>
      <c r="J1075" s="97">
        <v>97.36</v>
      </c>
      <c r="K1075" s="97">
        <v>2.48</v>
      </c>
      <c r="L1075" s="97">
        <v>0.83</v>
      </c>
      <c r="M1075" s="97">
        <v>91.07</v>
      </c>
      <c r="N1075" s="97"/>
      <c r="O1075" s="97"/>
      <c r="P1075" s="97"/>
      <c r="Q1075" s="97">
        <v>2.66</v>
      </c>
      <c r="R1075" s="97"/>
      <c r="S1075" s="97">
        <v>0.32</v>
      </c>
      <c r="T1075" s="97"/>
      <c r="U1075" s="97"/>
      <c r="V1075" s="97"/>
      <c r="W1075" s="97"/>
      <c r="X1075" s="97"/>
      <c r="Y1075" s="97"/>
      <c r="Z1075" s="97"/>
      <c r="AA1075" s="52" t="s">
        <v>2496</v>
      </c>
      <c r="AB1075" s="52" t="s">
        <v>2497</v>
      </c>
      <c r="AC1075" s="52" t="s">
        <v>2498</v>
      </c>
      <c r="AD1075" s="52"/>
      <c r="AE1075" s="61"/>
      <c r="AF1075" s="8" t="s">
        <v>2500</v>
      </c>
      <c r="AG1075" t="str">
        <f>VLOOKUP(OfficeForms.Table[[#This Row],[Nama Proyek]],'Nama Proyek'!$D$2:$G$40,4,0)</f>
        <v>3.76047575,115.89977678</v>
      </c>
      <c r="AH1075" s="5"/>
      <c r="AI1075" s="5"/>
      <c r="AJ1075" s="5"/>
      <c r="AK1075" s="5" t="s">
        <v>2501</v>
      </c>
    </row>
    <row r="1076" spans="1:37">
      <c r="A1076" s="30">
        <v>8</v>
      </c>
      <c r="B1076" s="111">
        <v>45411.471076388902</v>
      </c>
      <c r="C1076" s="29">
        <v>45411.557256944398</v>
      </c>
      <c r="D1076" s="52" t="s">
        <v>2502</v>
      </c>
      <c r="E1076" s="52" t="s">
        <v>2284</v>
      </c>
      <c r="F1076" s="5" t="s">
        <v>2284</v>
      </c>
      <c r="G1076" s="10" t="s">
        <v>1317</v>
      </c>
      <c r="H1076" s="107">
        <v>45410</v>
      </c>
      <c r="I1076" s="144">
        <v>25.247</v>
      </c>
      <c r="J1076" s="144">
        <v>28.655000000000001</v>
      </c>
      <c r="K1076" s="144">
        <v>0.68</v>
      </c>
      <c r="L1076" s="144">
        <v>0.2</v>
      </c>
      <c r="M1076" s="144">
        <v>0.08</v>
      </c>
      <c r="N1076" s="144">
        <v>20.71</v>
      </c>
      <c r="O1076" s="144">
        <v>0.17</v>
      </c>
      <c r="P1076" s="144">
        <v>0</v>
      </c>
      <c r="Q1076" s="144">
        <v>0.01</v>
      </c>
      <c r="R1076" s="144">
        <v>0.1</v>
      </c>
      <c r="S1076" s="144">
        <v>0</v>
      </c>
      <c r="T1076" s="144">
        <v>6.54</v>
      </c>
      <c r="U1076" s="144">
        <v>0</v>
      </c>
      <c r="V1076" s="144">
        <v>0.09</v>
      </c>
      <c r="W1076" s="144">
        <v>0</v>
      </c>
      <c r="X1076" s="144">
        <v>0</v>
      </c>
      <c r="Y1076" s="144">
        <v>0</v>
      </c>
      <c r="Z1076" s="144">
        <v>0</v>
      </c>
      <c r="AA1076" s="52" t="s">
        <v>2503</v>
      </c>
      <c r="AB1076" s="20" t="s">
        <v>1319</v>
      </c>
      <c r="AC1076" s="52" t="s">
        <v>2413</v>
      </c>
      <c r="AD1076" s="52" t="s">
        <v>2413</v>
      </c>
      <c r="AE1076" s="61">
        <v>45410</v>
      </c>
      <c r="AF1076" s="14"/>
      <c r="AG1076" t="str">
        <f>VLOOKUP(OfficeForms.Table[[#This Row],[Nama Proyek]],'Nama Proyek'!$D$2:$G$40,4,0)</f>
        <v>-7.72647690,113.63515320</v>
      </c>
      <c r="AH1076" s="5"/>
      <c r="AI1076" s="5"/>
      <c r="AJ1076" s="5"/>
      <c r="AK1076" s="5" t="s">
        <v>2504</v>
      </c>
    </row>
    <row r="1077" spans="1:37">
      <c r="A1077" s="31">
        <v>7</v>
      </c>
      <c r="B1077" s="110">
        <v>45411.473078703697</v>
      </c>
      <c r="C1077" s="28">
        <v>45411.475127314799</v>
      </c>
      <c r="D1077" s="51" t="s">
        <v>2256</v>
      </c>
      <c r="E1077" s="51" t="s">
        <v>734</v>
      </c>
      <c r="F1077" s="53" t="s">
        <v>734</v>
      </c>
      <c r="G1077" s="14" t="s">
        <v>735</v>
      </c>
      <c r="H1077" s="112">
        <v>45412</v>
      </c>
      <c r="I1077" s="143">
        <v>55.831000000000003</v>
      </c>
      <c r="J1077" s="143">
        <v>94.62</v>
      </c>
      <c r="K1077" s="143">
        <v>0.378</v>
      </c>
      <c r="L1077" s="143">
        <v>2.2189999999999999</v>
      </c>
      <c r="M1077" s="143">
        <v>42.067</v>
      </c>
      <c r="N1077" s="143">
        <v>0</v>
      </c>
      <c r="O1077" s="143">
        <v>0.47299999999999998</v>
      </c>
      <c r="P1077" s="143">
        <v>3.8940000000000001</v>
      </c>
      <c r="Q1077" s="143">
        <v>0.38400000000000001</v>
      </c>
      <c r="R1077" s="98"/>
      <c r="S1077" s="98"/>
      <c r="T1077" s="98"/>
      <c r="U1077" s="98"/>
      <c r="V1077" s="98"/>
      <c r="W1077" s="98"/>
      <c r="X1077" s="98"/>
      <c r="Y1077" s="98"/>
      <c r="Z1077" s="98"/>
      <c r="AA1077" s="51"/>
      <c r="AB1077" s="51"/>
      <c r="AC1077" s="51"/>
      <c r="AD1077" s="51"/>
      <c r="AE1077" s="176"/>
      <c r="AF1077" s="52" t="s">
        <v>2505</v>
      </c>
      <c r="AG1077" t="str">
        <f>VLOOKUP(OfficeForms.Table[[#This Row],[Nama Proyek]],'Nama Proyek'!$D$2:$G$40,4,0)</f>
        <v>-0.88562397,119.85928375</v>
      </c>
      <c r="AH1077" s="5"/>
      <c r="AI1077" s="5"/>
      <c r="AJ1077" s="5"/>
      <c r="AK1077" s="5" t="s">
        <v>2506</v>
      </c>
    </row>
    <row r="1078" spans="1:37">
      <c r="A1078">
        <v>1092</v>
      </c>
      <c r="B1078" s="111">
        <v>45411.475127314799</v>
      </c>
      <c r="C1078" s="29">
        <f>B1078</f>
        <v>45411.475127314799</v>
      </c>
      <c r="D1078" s="8" t="s">
        <v>2256</v>
      </c>
      <c r="E1078" s="8" t="s">
        <v>734</v>
      </c>
      <c r="F1078" s="5" t="str">
        <f>E1078</f>
        <v>Aldian Winata</v>
      </c>
      <c r="G1078" s="15" t="s">
        <v>735</v>
      </c>
      <c r="H1078" s="104">
        <v>45412</v>
      </c>
      <c r="I1078" s="95">
        <v>55.831000000000003</v>
      </c>
      <c r="J1078" s="95">
        <v>94.62</v>
      </c>
      <c r="K1078" s="95">
        <v>0.378</v>
      </c>
      <c r="L1078" s="95">
        <v>2.2189999999999999</v>
      </c>
      <c r="M1078" s="95">
        <v>42.067</v>
      </c>
      <c r="N1078" s="95">
        <v>0</v>
      </c>
      <c r="O1078" s="95">
        <v>0.47299999999999998</v>
      </c>
      <c r="P1078" s="95">
        <v>3.8940000000000001</v>
      </c>
      <c r="Q1078" s="95">
        <v>0.38400000000000001</v>
      </c>
      <c r="R1078" s="95"/>
      <c r="S1078" s="95"/>
      <c r="T1078" s="95"/>
      <c r="U1078" s="95"/>
      <c r="V1078" s="95"/>
      <c r="W1078" s="95"/>
      <c r="X1078" s="95"/>
      <c r="Y1078" s="95"/>
      <c r="Z1078" s="95"/>
      <c r="AA1078" s="8"/>
      <c r="AB1078" s="8"/>
      <c r="AC1078" s="8"/>
      <c r="AD1078" s="8"/>
      <c r="AE1078" s="11"/>
      <c r="AF1078" s="8" t="s">
        <v>2505</v>
      </c>
      <c r="AG1078" t="str">
        <f>VLOOKUP(OfficeForms.Table[[#This Row],[Nama Proyek]],'Nama Proyek'!$D$2:$G$40,4,0)</f>
        <v>-0.88562397,119.85928375</v>
      </c>
      <c r="AH1078" s="5"/>
      <c r="AI1078" s="5"/>
      <c r="AJ1078" s="5"/>
      <c r="AK1078" s="5" t="s">
        <v>2507</v>
      </c>
    </row>
    <row r="1079" spans="1:37">
      <c r="A1079">
        <v>1093</v>
      </c>
      <c r="B1079" s="110">
        <v>45411.557256944398</v>
      </c>
      <c r="C1079" s="28">
        <f>B1079</f>
        <v>45411.557256944398</v>
      </c>
      <c r="D1079" s="8" t="s">
        <v>2502</v>
      </c>
      <c r="E1079" s="8" t="s">
        <v>2284</v>
      </c>
      <c r="F1079" s="5" t="str">
        <f>E1079</f>
        <v>Rizky Saputra</v>
      </c>
      <c r="G1079" s="42" t="s">
        <v>1317</v>
      </c>
      <c r="H1079" s="106">
        <v>45410</v>
      </c>
      <c r="I1079" s="95">
        <v>25.247</v>
      </c>
      <c r="J1079" s="95">
        <v>28.655000000000001</v>
      </c>
      <c r="K1079" s="95">
        <v>0.68</v>
      </c>
      <c r="L1079" s="95">
        <v>0.2</v>
      </c>
      <c r="M1079" s="95">
        <v>0.08</v>
      </c>
      <c r="N1079" s="95">
        <v>20.71</v>
      </c>
      <c r="O1079" s="95">
        <v>0.17</v>
      </c>
      <c r="P1079" s="95">
        <v>0</v>
      </c>
      <c r="Q1079" s="95">
        <v>0.01</v>
      </c>
      <c r="R1079" s="95">
        <v>0.1</v>
      </c>
      <c r="S1079" s="95">
        <v>0</v>
      </c>
      <c r="T1079" s="95">
        <v>6.54</v>
      </c>
      <c r="U1079" s="95">
        <v>0</v>
      </c>
      <c r="V1079" s="95">
        <v>0.09</v>
      </c>
      <c r="W1079" s="95">
        <v>0</v>
      </c>
      <c r="X1079" s="95">
        <v>0</v>
      </c>
      <c r="Y1079" s="95">
        <v>0</v>
      </c>
      <c r="Z1079" s="95">
        <v>0</v>
      </c>
      <c r="AA1079" s="8" t="s">
        <v>2503</v>
      </c>
      <c r="AB1079" s="8" t="s">
        <v>1319</v>
      </c>
      <c r="AC1079" s="8" t="s">
        <v>2413</v>
      </c>
      <c r="AD1079" s="8" t="s">
        <v>2413</v>
      </c>
      <c r="AE1079" s="11">
        <v>45410</v>
      </c>
      <c r="AF1079" s="41"/>
      <c r="AG1079" t="str">
        <f>VLOOKUP(OfficeForms.Table[[#This Row],[Nama Proyek]],'Nama Proyek'!$D$2:$G$40,4,0)</f>
        <v>-7.72647690,113.63515320</v>
      </c>
      <c r="AH1079" s="5"/>
      <c r="AI1079" s="5"/>
      <c r="AJ1079" s="5"/>
      <c r="AK1079" s="5" t="s">
        <v>2508</v>
      </c>
    </row>
    <row r="1080" spans="1:37">
      <c r="A1080" s="31">
        <v>9</v>
      </c>
      <c r="B1080" s="110">
        <v>45411.681516203702</v>
      </c>
      <c r="C1080" s="28">
        <v>45411.683148148099</v>
      </c>
      <c r="D1080" s="51" t="s">
        <v>2509</v>
      </c>
      <c r="E1080" s="51" t="s">
        <v>687</v>
      </c>
      <c r="F1080" s="53" t="s">
        <v>687</v>
      </c>
      <c r="G1080" s="14" t="s">
        <v>750</v>
      </c>
      <c r="H1080" s="112">
        <v>45411</v>
      </c>
      <c r="I1080" s="143">
        <v>84.450599999999994</v>
      </c>
      <c r="J1080" s="143">
        <v>84.335300000000004</v>
      </c>
      <c r="K1080" s="98"/>
      <c r="L1080" s="98"/>
      <c r="M1080" s="98"/>
      <c r="N1080" s="98"/>
      <c r="O1080" s="98"/>
      <c r="P1080" s="98"/>
      <c r="Q1080" s="98"/>
      <c r="R1080" s="98"/>
      <c r="S1080" s="98"/>
      <c r="T1080" s="98"/>
      <c r="U1080" s="98"/>
      <c r="V1080" s="98"/>
      <c r="W1080" s="98"/>
      <c r="X1080" s="98"/>
      <c r="Y1080" s="98"/>
      <c r="Z1080" s="98"/>
      <c r="AA1080" s="51" t="s">
        <v>2510</v>
      </c>
      <c r="AB1080" s="51" t="s">
        <v>2511</v>
      </c>
      <c r="AC1080" s="51" t="s">
        <v>2512</v>
      </c>
      <c r="AD1080" s="51" t="s">
        <v>2512</v>
      </c>
      <c r="AE1080" s="56"/>
      <c r="AF1080" s="52"/>
      <c r="AG1080" t="str">
        <f>VLOOKUP(OfficeForms.Table[[#This Row],[Nama Proyek]],'Nama Proyek'!$D$2:$G$40,4,0)</f>
        <v>-1.10415341,116.73424356</v>
      </c>
      <c r="AH1080" s="5"/>
      <c r="AI1080" s="5"/>
      <c r="AJ1080" s="5"/>
      <c r="AK1080" s="5" t="s">
        <v>2513</v>
      </c>
    </row>
    <row r="1081" spans="1:37">
      <c r="A1081" s="30">
        <v>1094</v>
      </c>
      <c r="B1081" s="111">
        <v>45411.683148148099</v>
      </c>
      <c r="C1081" s="29">
        <f>B1081</f>
        <v>45411.683148148099</v>
      </c>
      <c r="D1081" s="8" t="s">
        <v>2509</v>
      </c>
      <c r="E1081" s="8" t="s">
        <v>687</v>
      </c>
      <c r="F1081" s="5" t="str">
        <f>E1081</f>
        <v>Andri Julio Hermawan</v>
      </c>
      <c r="G1081" s="32" t="s">
        <v>750</v>
      </c>
      <c r="H1081" s="103">
        <v>45411</v>
      </c>
      <c r="I1081" s="95">
        <v>84.450599999999994</v>
      </c>
      <c r="J1081" s="95">
        <v>84.335300000000004</v>
      </c>
      <c r="K1081" s="95"/>
      <c r="L1081" s="95"/>
      <c r="M1081" s="95"/>
      <c r="N1081" s="95"/>
      <c r="O1081" s="95"/>
      <c r="P1081" s="95"/>
      <c r="Q1081" s="95"/>
      <c r="R1081" s="95"/>
      <c r="S1081" s="95"/>
      <c r="T1081" s="95"/>
      <c r="U1081" s="95"/>
      <c r="V1081" s="95"/>
      <c r="W1081" s="95"/>
      <c r="X1081" s="95"/>
      <c r="Y1081" s="95"/>
      <c r="Z1081" s="95"/>
      <c r="AA1081" s="8" t="s">
        <v>2510</v>
      </c>
      <c r="AB1081" s="8" t="s">
        <v>2511</v>
      </c>
      <c r="AC1081" s="8" t="s">
        <v>2512</v>
      </c>
      <c r="AD1081" s="8" t="s">
        <v>2512</v>
      </c>
      <c r="AE1081" s="11"/>
      <c r="AF1081" s="26"/>
      <c r="AG1081" t="str">
        <f>VLOOKUP(OfficeForms.Table[[#This Row],[Nama Proyek]],'Nama Proyek'!$D$2:$G$40,4,0)</f>
        <v>-1.10415341,116.73424356</v>
      </c>
      <c r="AH1081" s="5"/>
      <c r="AI1081" s="5"/>
      <c r="AJ1081" s="5"/>
      <c r="AK1081" s="5" t="s">
        <v>2514</v>
      </c>
    </row>
    <row r="1082" spans="1:37">
      <c r="A1082" s="30">
        <v>10</v>
      </c>
      <c r="B1082" s="111">
        <v>45411.720625000002</v>
      </c>
      <c r="C1082" s="29">
        <v>45411.722037036998</v>
      </c>
      <c r="D1082" s="52" t="s">
        <v>2515</v>
      </c>
      <c r="E1082" s="52" t="s">
        <v>64</v>
      </c>
      <c r="F1082" s="5" t="s">
        <v>64</v>
      </c>
      <c r="G1082" s="17" t="s">
        <v>65</v>
      </c>
      <c r="H1082" s="107">
        <v>45410</v>
      </c>
      <c r="I1082" s="144">
        <v>95.578999999999994</v>
      </c>
      <c r="J1082" s="144">
        <v>97.01</v>
      </c>
      <c r="K1082" s="144">
        <v>95</v>
      </c>
      <c r="L1082" s="144">
        <v>98.97</v>
      </c>
      <c r="M1082" s="144">
        <v>99.38</v>
      </c>
      <c r="N1082" s="144">
        <v>96.73</v>
      </c>
      <c r="O1082" s="144">
        <v>94.85</v>
      </c>
      <c r="P1082" s="144">
        <v>93.9</v>
      </c>
      <c r="Q1082" s="144">
        <v>91.43</v>
      </c>
      <c r="R1082" s="144">
        <v>96.96</v>
      </c>
      <c r="S1082" s="144">
        <v>86.02</v>
      </c>
      <c r="T1082" s="144">
        <v>96.79</v>
      </c>
      <c r="U1082" s="144">
        <v>98.95</v>
      </c>
      <c r="V1082" s="144">
        <v>80.34</v>
      </c>
      <c r="W1082" s="144">
        <v>71.680000000000007</v>
      </c>
      <c r="X1082" s="97"/>
      <c r="Y1082" s="144">
        <v>98.36</v>
      </c>
      <c r="Z1082" s="144">
        <v>100</v>
      </c>
      <c r="AA1082" s="52" t="s">
        <v>2516</v>
      </c>
      <c r="AB1082" s="52"/>
      <c r="AC1082" s="52"/>
      <c r="AD1082" s="10"/>
      <c r="AE1082" s="4"/>
      <c r="AF1082" s="14"/>
      <c r="AG1082" t="str">
        <f>VLOOKUP(OfficeForms.Table[[#This Row],[Nama Proyek]],'Nama Proyek'!$D$2:$G$40,4,0)</f>
        <v>-6.35008011,107.02324233</v>
      </c>
      <c r="AH1082" s="5"/>
      <c r="AI1082" s="5"/>
      <c r="AJ1082" s="5"/>
      <c r="AK1082" s="5" t="s">
        <v>2517</v>
      </c>
    </row>
    <row r="1083" spans="1:37">
      <c r="A1083">
        <v>1095</v>
      </c>
      <c r="B1083" s="110">
        <v>45411.722037036998</v>
      </c>
      <c r="C1083" s="28">
        <f>B1083</f>
        <v>45411.722037036998</v>
      </c>
      <c r="D1083" s="15" t="s">
        <v>2515</v>
      </c>
      <c r="E1083" s="15" t="s">
        <v>64</v>
      </c>
      <c r="F1083" s="5" t="str">
        <f>E1083</f>
        <v>Nizar Zulkarnain</v>
      </c>
      <c r="G1083" s="42" t="s">
        <v>65</v>
      </c>
      <c r="H1083" s="101">
        <v>45410</v>
      </c>
      <c r="I1083" s="92">
        <v>95.578999999999994</v>
      </c>
      <c r="J1083" s="92">
        <v>97.01</v>
      </c>
      <c r="K1083" s="92">
        <v>95</v>
      </c>
      <c r="L1083" s="92">
        <v>98.97</v>
      </c>
      <c r="M1083" s="92">
        <v>99.38</v>
      </c>
      <c r="N1083" s="92">
        <v>96.73</v>
      </c>
      <c r="O1083" s="92">
        <v>94.85</v>
      </c>
      <c r="P1083" s="92">
        <v>93.9</v>
      </c>
      <c r="Q1083" s="92">
        <v>91.43</v>
      </c>
      <c r="R1083" s="92">
        <v>96.96</v>
      </c>
      <c r="S1083" s="92">
        <v>86.02</v>
      </c>
      <c r="T1083" s="92">
        <v>96.79</v>
      </c>
      <c r="U1083" s="92">
        <v>98.95</v>
      </c>
      <c r="V1083" s="92">
        <v>80.34</v>
      </c>
      <c r="W1083" s="92">
        <v>71.680000000000007</v>
      </c>
      <c r="X1083" s="92"/>
      <c r="Y1083" s="92">
        <v>98.36</v>
      </c>
      <c r="Z1083" s="92">
        <v>100</v>
      </c>
      <c r="AA1083" s="15" t="s">
        <v>2516</v>
      </c>
      <c r="AB1083" s="15"/>
      <c r="AC1083" s="15" t="s">
        <v>2518</v>
      </c>
      <c r="AD1083" s="15"/>
      <c r="AE1083" s="16"/>
      <c r="AF1083" s="26" t="s">
        <v>2519</v>
      </c>
      <c r="AG1083" t="str">
        <f>VLOOKUP(OfficeForms.Table[[#This Row],[Nama Proyek]],'Nama Proyek'!$D$2:$G$40,4,0)</f>
        <v>-6.35008011,107.02324233</v>
      </c>
      <c r="AH1083" s="5"/>
      <c r="AI1083" s="5"/>
      <c r="AJ1083" s="5"/>
      <c r="AK1083" s="5" t="s">
        <v>2520</v>
      </c>
    </row>
    <row r="1084" spans="1:37">
      <c r="A1084">
        <v>11</v>
      </c>
      <c r="B1084" s="110">
        <v>45411.729143518503</v>
      </c>
      <c r="C1084" s="28">
        <v>45411.731006944399</v>
      </c>
      <c r="D1084" s="14" t="s">
        <v>2515</v>
      </c>
      <c r="E1084" s="14" t="s">
        <v>64</v>
      </c>
      <c r="F1084" s="53" t="s">
        <v>64</v>
      </c>
      <c r="G1084" s="17" t="s">
        <v>65</v>
      </c>
      <c r="H1084" s="112">
        <v>45384</v>
      </c>
      <c r="I1084" s="114"/>
      <c r="J1084" s="114"/>
      <c r="K1084" s="114"/>
      <c r="L1084" s="114"/>
      <c r="M1084" s="114"/>
      <c r="N1084" s="114"/>
      <c r="O1084" s="114"/>
      <c r="P1084" s="114"/>
      <c r="Q1084" s="114"/>
      <c r="R1084" s="114"/>
      <c r="S1084" s="114"/>
      <c r="T1084" s="114"/>
      <c r="U1084" s="114"/>
      <c r="V1084" s="114"/>
      <c r="W1084" s="114"/>
      <c r="X1084" s="114"/>
      <c r="Y1084" s="114"/>
      <c r="Z1084" s="114"/>
      <c r="AA1084" s="14"/>
      <c r="AB1084" s="14"/>
      <c r="AC1084" s="14" t="s">
        <v>2518</v>
      </c>
      <c r="AD1084" s="14"/>
      <c r="AE1084" s="176"/>
      <c r="AF1084" s="10" t="s">
        <v>2519</v>
      </c>
      <c r="AG1084" t="str">
        <f>VLOOKUP(OfficeForms.Table[[#This Row],[Nama Proyek]],'Nama Proyek'!$D$2:$G$40,4,0)</f>
        <v>-6.35008011,107.02324233</v>
      </c>
      <c r="AH1084" s="5"/>
      <c r="AI1084" s="5"/>
      <c r="AJ1084" s="5"/>
      <c r="AK1084" s="5" t="s">
        <v>2521</v>
      </c>
    </row>
    <row r="1085" spans="1:37">
      <c r="A1085" s="30">
        <v>13</v>
      </c>
      <c r="B1085" s="110">
        <v>45412.476782407401</v>
      </c>
      <c r="C1085" s="28">
        <v>45412.578773148103</v>
      </c>
      <c r="D1085" s="14" t="s">
        <v>2522</v>
      </c>
      <c r="E1085" s="14" t="s">
        <v>1282</v>
      </c>
      <c r="F1085" s="53" t="s">
        <v>1282</v>
      </c>
      <c r="G1085" s="14" t="s">
        <v>989</v>
      </c>
      <c r="H1085" s="112">
        <v>45410</v>
      </c>
      <c r="I1085" s="175">
        <v>86.462000000000003</v>
      </c>
      <c r="J1085" s="175">
        <v>90.11</v>
      </c>
      <c r="K1085" s="175">
        <v>2.63</v>
      </c>
      <c r="L1085" s="175">
        <v>0.57999999999999996</v>
      </c>
      <c r="M1085" s="175">
        <v>0</v>
      </c>
      <c r="N1085" s="175">
        <v>22.3</v>
      </c>
      <c r="O1085" s="175">
        <v>0.06</v>
      </c>
      <c r="P1085" s="175">
        <v>1.96</v>
      </c>
      <c r="Q1085" s="175">
        <v>0.21</v>
      </c>
      <c r="R1085" s="175">
        <v>2.96</v>
      </c>
      <c r="S1085" s="175">
        <v>14.04</v>
      </c>
      <c r="T1085" s="175">
        <v>36.020000000000003</v>
      </c>
      <c r="U1085" s="175">
        <v>0</v>
      </c>
      <c r="V1085" s="175">
        <v>3.45</v>
      </c>
      <c r="W1085" s="175">
        <v>1.52</v>
      </c>
      <c r="X1085" s="175">
        <v>0.32</v>
      </c>
      <c r="Y1085" s="175">
        <v>0</v>
      </c>
      <c r="Z1085" s="175">
        <v>0.43</v>
      </c>
      <c r="AA1085" s="14"/>
      <c r="AB1085" s="14"/>
      <c r="AC1085" s="14"/>
      <c r="AD1085" s="14"/>
      <c r="AE1085" s="176">
        <v>45410</v>
      </c>
      <c r="AF1085" s="10" t="s">
        <v>2523</v>
      </c>
      <c r="AG1085" t="str">
        <f>VLOOKUP(OfficeForms.Table[[#This Row],[Nama Proyek]],'Nama Proyek'!$D$2:$G$40,4,0)</f>
        <v>-1.98399270,103.7135193</v>
      </c>
      <c r="AH1085" s="5"/>
      <c r="AI1085" s="5"/>
      <c r="AJ1085" s="5"/>
      <c r="AK1085" s="5" t="s">
        <v>2524</v>
      </c>
    </row>
    <row r="1086" spans="1:37" ht="16.5">
      <c r="A1086" s="31">
        <v>12</v>
      </c>
      <c r="B1086" s="111">
        <v>45412.522824074098</v>
      </c>
      <c r="C1086" s="29">
        <v>45412.536111111098</v>
      </c>
      <c r="D1086" s="10" t="s">
        <v>2525</v>
      </c>
      <c r="E1086" s="10" t="s">
        <v>47</v>
      </c>
      <c r="F1086" s="5" t="s">
        <v>214</v>
      </c>
      <c r="G1086" s="59" t="s">
        <v>48</v>
      </c>
      <c r="H1086" s="149">
        <v>45407</v>
      </c>
      <c r="I1086" s="174">
        <v>99.54</v>
      </c>
      <c r="J1086" s="174">
        <v>99.86</v>
      </c>
      <c r="K1086" s="174">
        <v>3.25</v>
      </c>
      <c r="L1086" s="174">
        <v>1.18</v>
      </c>
      <c r="M1086" s="174">
        <v>92.53</v>
      </c>
      <c r="N1086" s="164"/>
      <c r="O1086" s="164"/>
      <c r="P1086" s="164"/>
      <c r="Q1086" s="174">
        <v>2.06</v>
      </c>
      <c r="R1086" s="164"/>
      <c r="S1086" s="174">
        <v>0.52</v>
      </c>
      <c r="T1086" s="164"/>
      <c r="U1086" s="164"/>
      <c r="V1086" s="164"/>
      <c r="W1086" s="164"/>
      <c r="X1086" s="164"/>
      <c r="Y1086" s="164"/>
      <c r="Z1086" s="164"/>
      <c r="AA1086" s="10" t="s">
        <v>2526</v>
      </c>
      <c r="AB1086" s="74" t="s">
        <v>2527</v>
      </c>
      <c r="AC1086" s="10" t="s">
        <v>2528</v>
      </c>
      <c r="AD1086" s="10"/>
      <c r="AE1086" s="4">
        <v>45407</v>
      </c>
      <c r="AF1086" s="14" t="s">
        <v>2529</v>
      </c>
      <c r="AG1086" t="str">
        <f>VLOOKUP(OfficeForms.Table[[#This Row],[Nama Proyek]],'Nama Proyek'!$D$2:$G$40,4,0)</f>
        <v>3.76047575,115.89977678</v>
      </c>
      <c r="AH1086" s="5"/>
      <c r="AI1086" s="5"/>
      <c r="AJ1086" s="5"/>
      <c r="AK1086" s="5" t="s">
        <v>2530</v>
      </c>
    </row>
    <row r="1087" spans="1:37" ht="16.5">
      <c r="A1087" s="30">
        <v>1096</v>
      </c>
      <c r="B1087" s="111">
        <v>45412.536111111098</v>
      </c>
      <c r="C1087" s="29">
        <f>B1087</f>
        <v>45412.536111111098</v>
      </c>
      <c r="D1087" s="15" t="s">
        <v>2525</v>
      </c>
      <c r="E1087" s="15" t="s">
        <v>214</v>
      </c>
      <c r="F1087" s="5" t="str">
        <f>E1087</f>
        <v>BASUKI RAHMAT HAKIM</v>
      </c>
      <c r="G1087" s="59" t="s">
        <v>48</v>
      </c>
      <c r="H1087" s="103">
        <v>45407</v>
      </c>
      <c r="I1087" s="92">
        <v>99.54</v>
      </c>
      <c r="J1087" s="92">
        <v>99.86</v>
      </c>
      <c r="K1087" s="92">
        <v>3.25</v>
      </c>
      <c r="L1087" s="92">
        <v>1.18</v>
      </c>
      <c r="M1087" s="92">
        <v>92.53</v>
      </c>
      <c r="N1087" s="92"/>
      <c r="O1087" s="92"/>
      <c r="P1087" s="92"/>
      <c r="Q1087" s="92">
        <v>2.06</v>
      </c>
      <c r="R1087" s="92"/>
      <c r="S1087" s="92">
        <v>0.52</v>
      </c>
      <c r="T1087" s="92"/>
      <c r="U1087" s="92"/>
      <c r="V1087" s="92"/>
      <c r="W1087" s="92"/>
      <c r="X1087" s="92"/>
      <c r="Y1087" s="92"/>
      <c r="Z1087" s="92"/>
      <c r="AA1087" s="90" t="s">
        <v>2526</v>
      </c>
      <c r="AB1087" s="15" t="s">
        <v>2527</v>
      </c>
      <c r="AC1087" s="15" t="s">
        <v>2528</v>
      </c>
      <c r="AD1087" s="15"/>
      <c r="AE1087" s="16">
        <v>45407</v>
      </c>
      <c r="AF1087" s="26" t="s">
        <v>2529</v>
      </c>
      <c r="AG1087" t="str">
        <f>VLOOKUP(OfficeForms.Table[[#This Row],[Nama Proyek]],'Nama Proyek'!$D$2:$G$40,4,0)</f>
        <v>3.76047575,115.89977678</v>
      </c>
      <c r="AH1087" s="5"/>
      <c r="AI1087" s="5"/>
      <c r="AJ1087" s="5"/>
      <c r="AK1087" s="5" t="s">
        <v>2531</v>
      </c>
    </row>
    <row r="1088" spans="1:37">
      <c r="A1088">
        <v>1097</v>
      </c>
      <c r="B1088" s="110">
        <v>45412.578773148103</v>
      </c>
      <c r="C1088" s="28">
        <f>B1088</f>
        <v>45412.578773148103</v>
      </c>
      <c r="D1088" s="15" t="s">
        <v>2522</v>
      </c>
      <c r="E1088" s="15" t="s">
        <v>1282</v>
      </c>
      <c r="F1088" s="5" t="str">
        <f>E1088</f>
        <v>Achmad Rival Setyawan, S.T</v>
      </c>
      <c r="G1088" s="15" t="s">
        <v>989</v>
      </c>
      <c r="H1088" s="101">
        <v>45410</v>
      </c>
      <c r="I1088" s="92">
        <v>86.462000000000003</v>
      </c>
      <c r="J1088" s="92">
        <v>90.11</v>
      </c>
      <c r="K1088" s="92">
        <v>2.63</v>
      </c>
      <c r="L1088" s="92">
        <v>0.57999999999999996</v>
      </c>
      <c r="M1088" s="92">
        <v>0</v>
      </c>
      <c r="N1088" s="92">
        <v>22.3</v>
      </c>
      <c r="O1088" s="92">
        <v>0.06</v>
      </c>
      <c r="P1088" s="92">
        <v>1.96</v>
      </c>
      <c r="Q1088" s="92">
        <v>0.21</v>
      </c>
      <c r="R1088" s="92">
        <v>2.96</v>
      </c>
      <c r="S1088" s="92">
        <v>14.04</v>
      </c>
      <c r="T1088" s="92">
        <v>36.020000000000003</v>
      </c>
      <c r="U1088" s="92">
        <v>0</v>
      </c>
      <c r="V1088" s="92">
        <v>3.45</v>
      </c>
      <c r="W1088" s="92">
        <v>1.52</v>
      </c>
      <c r="X1088" s="92">
        <v>0.32</v>
      </c>
      <c r="Y1088" s="92">
        <v>0</v>
      </c>
      <c r="Z1088" s="92">
        <v>0.43</v>
      </c>
      <c r="AA1088" s="15"/>
      <c r="AB1088" s="15"/>
      <c r="AC1088" s="15"/>
      <c r="AD1088" s="15"/>
      <c r="AE1088" s="16">
        <v>45410</v>
      </c>
      <c r="AF1088" s="26" t="s">
        <v>2523</v>
      </c>
      <c r="AG1088" t="str">
        <f>VLOOKUP(OfficeForms.Table[[#This Row],[Nama Proyek]],'Nama Proyek'!$D$2:$G$40,4,0)</f>
        <v>-1.98399270,103.7135193</v>
      </c>
      <c r="AH1088" s="5"/>
      <c r="AI1088" s="5"/>
      <c r="AJ1088" s="5"/>
      <c r="AK1088" s="5" t="s">
        <v>2532</v>
      </c>
    </row>
    <row r="1089" spans="1:37">
      <c r="A1089" s="50">
        <v>15</v>
      </c>
      <c r="B1089" s="110">
        <v>45412.5860763889</v>
      </c>
      <c r="C1089" s="28">
        <v>45412.6236921296</v>
      </c>
      <c r="D1089" s="14" t="s">
        <v>2522</v>
      </c>
      <c r="E1089" s="14" t="s">
        <v>1282</v>
      </c>
      <c r="F1089" s="53" t="s">
        <v>1282</v>
      </c>
      <c r="G1089" s="14" t="s">
        <v>989</v>
      </c>
      <c r="H1089" s="112">
        <v>45410</v>
      </c>
      <c r="I1089" s="114"/>
      <c r="J1089" s="114"/>
      <c r="K1089" s="114"/>
      <c r="L1089" s="114"/>
      <c r="M1089" s="114"/>
      <c r="N1089" s="114"/>
      <c r="O1089" s="114"/>
      <c r="P1089" s="114"/>
      <c r="Q1089" s="114"/>
      <c r="R1089" s="114"/>
      <c r="S1089" s="114"/>
      <c r="T1089" s="114"/>
      <c r="U1089" s="114"/>
      <c r="V1089" s="114"/>
      <c r="W1089" s="114"/>
      <c r="X1089" s="114"/>
      <c r="Y1089" s="114"/>
      <c r="Z1089" s="114"/>
      <c r="AA1089" s="14" t="s">
        <v>2533</v>
      </c>
      <c r="AB1089" s="14" t="s">
        <v>2534</v>
      </c>
      <c r="AC1089" s="14" t="s">
        <v>2535</v>
      </c>
      <c r="AD1089" s="14" t="s">
        <v>2536</v>
      </c>
      <c r="AE1089" s="176"/>
      <c r="AF1089" s="10" t="s">
        <v>2537</v>
      </c>
      <c r="AG1089" t="str">
        <f>VLOOKUP(OfficeForms.Table[[#This Row],[Nama Proyek]],'Nama Proyek'!$D$2:$G$40,4,0)</f>
        <v>-1.98399270,103.7135193</v>
      </c>
      <c r="AH1089" s="5"/>
      <c r="AI1089" s="5"/>
      <c r="AJ1089" s="5"/>
      <c r="AK1089" s="5" t="s">
        <v>2538</v>
      </c>
    </row>
    <row r="1090" spans="1:37">
      <c r="A1090" s="31">
        <v>14</v>
      </c>
      <c r="B1090" s="111">
        <v>45412.603877314803</v>
      </c>
      <c r="C1090" s="29">
        <v>45412.61</v>
      </c>
      <c r="D1090" s="10" t="s">
        <v>2256</v>
      </c>
      <c r="E1090" s="10" t="s">
        <v>734</v>
      </c>
      <c r="F1090" s="5" t="s">
        <v>734</v>
      </c>
      <c r="G1090" s="10" t="s">
        <v>735</v>
      </c>
      <c r="H1090" s="149">
        <v>45412</v>
      </c>
      <c r="I1090" s="164"/>
      <c r="J1090" s="164"/>
      <c r="K1090" s="164"/>
      <c r="L1090" s="164"/>
      <c r="M1090" s="164"/>
      <c r="N1090" s="164"/>
      <c r="O1090" s="164"/>
      <c r="P1090" s="164"/>
      <c r="Q1090" s="164"/>
      <c r="R1090" s="164"/>
      <c r="S1090" s="164"/>
      <c r="T1090" s="164"/>
      <c r="U1090" s="164"/>
      <c r="V1090" s="164"/>
      <c r="W1090" s="164"/>
      <c r="X1090" s="164"/>
      <c r="Y1090" s="164"/>
      <c r="Z1090" s="164"/>
      <c r="AA1090" s="10" t="s">
        <v>2539</v>
      </c>
      <c r="AB1090" s="10" t="s">
        <v>2540</v>
      </c>
      <c r="AC1090" s="10" t="s">
        <v>2541</v>
      </c>
      <c r="AD1090" s="10" t="s">
        <v>2542</v>
      </c>
      <c r="AE1090" s="4">
        <v>45412</v>
      </c>
      <c r="AF1090" s="14"/>
      <c r="AG1090" t="str">
        <f>VLOOKUP(OfficeForms.Table[[#This Row],[Nama Proyek]],'Nama Proyek'!$D$2:$G$40,4,0)</f>
        <v>-0.88562397,119.85928375</v>
      </c>
      <c r="AH1090" s="5"/>
      <c r="AI1090" s="5"/>
      <c r="AJ1090" s="5"/>
      <c r="AK1090" s="5" t="s">
        <v>2543</v>
      </c>
    </row>
    <row r="1091" spans="1:37">
      <c r="A1091" s="31">
        <v>1098</v>
      </c>
      <c r="B1091" s="111">
        <v>45412.61</v>
      </c>
      <c r="C1091" s="29">
        <f>B1091</f>
        <v>45412.61</v>
      </c>
      <c r="D1091" s="15" t="s">
        <v>2256</v>
      </c>
      <c r="E1091" s="15" t="s">
        <v>734</v>
      </c>
      <c r="F1091" s="5" t="str">
        <f>E1091</f>
        <v>Aldian Winata</v>
      </c>
      <c r="G1091" s="15" t="s">
        <v>735</v>
      </c>
      <c r="H1091" s="103">
        <v>45412</v>
      </c>
      <c r="I1091" s="92"/>
      <c r="J1091" s="92"/>
      <c r="K1091" s="92"/>
      <c r="L1091" s="92"/>
      <c r="M1091" s="92"/>
      <c r="N1091" s="92"/>
      <c r="O1091" s="92"/>
      <c r="P1091" s="92"/>
      <c r="Q1091" s="92"/>
      <c r="R1091" s="92"/>
      <c r="S1091" s="92"/>
      <c r="T1091" s="92"/>
      <c r="U1091" s="92"/>
      <c r="V1091" s="92"/>
      <c r="W1091" s="92"/>
      <c r="X1091" s="92"/>
      <c r="Y1091" s="92"/>
      <c r="Z1091" s="92"/>
      <c r="AA1091" s="90" t="s">
        <v>2539</v>
      </c>
      <c r="AB1091" s="15" t="s">
        <v>2540</v>
      </c>
      <c r="AC1091" s="90" t="s">
        <v>2541</v>
      </c>
      <c r="AD1091" s="15" t="s">
        <v>2542</v>
      </c>
      <c r="AE1091" s="16">
        <v>45412</v>
      </c>
      <c r="AF1091" s="89"/>
      <c r="AG1091" t="str">
        <f>VLOOKUP(OfficeForms.Table[[#This Row],[Nama Proyek]],'Nama Proyek'!$D$2:$G$40,4,0)</f>
        <v>-0.88562397,119.85928375</v>
      </c>
      <c r="AH1091" s="5"/>
      <c r="AI1091" s="5"/>
      <c r="AJ1091" s="5"/>
      <c r="AK1091" s="5" t="s">
        <v>2544</v>
      </c>
    </row>
    <row r="1092" spans="1:37">
      <c r="A1092" s="50">
        <v>1099</v>
      </c>
      <c r="B1092" s="109">
        <v>45412.6236921296</v>
      </c>
      <c r="C1092" s="85">
        <f>B1092</f>
        <v>45412.6236921296</v>
      </c>
      <c r="D1092" s="64" t="s">
        <v>2522</v>
      </c>
      <c r="E1092" s="64" t="s">
        <v>1282</v>
      </c>
      <c r="F1092" s="5" t="str">
        <f>E1092</f>
        <v>Achmad Rival Setyawan, S.T</v>
      </c>
      <c r="G1092" s="64" t="s">
        <v>989</v>
      </c>
      <c r="H1092" s="99">
        <v>45410</v>
      </c>
      <c r="I1092" s="91"/>
      <c r="J1092" s="91"/>
      <c r="K1092" s="91"/>
      <c r="L1092" s="91"/>
      <c r="M1092" s="91"/>
      <c r="N1092" s="91"/>
      <c r="O1092" s="91"/>
      <c r="P1092" s="91"/>
      <c r="Q1092" s="91"/>
      <c r="R1092" s="91"/>
      <c r="S1092" s="91"/>
      <c r="T1092" s="91"/>
      <c r="U1092" s="91"/>
      <c r="V1092" s="91"/>
      <c r="W1092" s="91"/>
      <c r="X1092" s="91"/>
      <c r="Y1092" s="91"/>
      <c r="Z1092" s="91"/>
      <c r="AA1092" s="88" t="s">
        <v>2533</v>
      </c>
      <c r="AB1092" s="88" t="s">
        <v>2534</v>
      </c>
      <c r="AC1092" s="88" t="s">
        <v>2535</v>
      </c>
      <c r="AD1092" s="88" t="s">
        <v>2536</v>
      </c>
      <c r="AE1092" s="87"/>
      <c r="AF1092" s="89"/>
      <c r="AG1092" t="str">
        <f>VLOOKUP(OfficeForms.Table[[#This Row],[Nama Proyek]],'Nama Proyek'!$D$2:$G$40,4,0)</f>
        <v>-1.98399270,103.7135193</v>
      </c>
      <c r="AH1092" s="5"/>
      <c r="AI1092" s="5"/>
      <c r="AJ1092" s="5"/>
      <c r="AK1092" s="5" t="s">
        <v>2545</v>
      </c>
    </row>
    <row r="1093" spans="1:37">
      <c r="A1093">
        <v>5</v>
      </c>
      <c r="B1093" s="163">
        <v>45442.381157407399</v>
      </c>
      <c r="C1093" s="27">
        <v>45442.398356481499</v>
      </c>
      <c r="D1093" s="5" t="s">
        <v>2546</v>
      </c>
      <c r="E1093" s="5" t="s">
        <v>85</v>
      </c>
      <c r="F1093" s="5" t="s">
        <v>85</v>
      </c>
      <c r="G1093" s="5" t="s">
        <v>2336</v>
      </c>
      <c r="H1093" s="204">
        <v>45442</v>
      </c>
      <c r="I1093" s="205">
        <v>2.34</v>
      </c>
      <c r="J1093" s="205">
        <v>2.9660000000000002</v>
      </c>
      <c r="K1093" s="205">
        <v>1.476</v>
      </c>
      <c r="L1093" s="205">
        <v>0.11899999999999999</v>
      </c>
      <c r="M1093" s="205">
        <v>0</v>
      </c>
      <c r="N1093" s="205">
        <v>0.33900000000000002</v>
      </c>
      <c r="O1093" s="205">
        <v>0</v>
      </c>
      <c r="P1093" s="205">
        <v>0</v>
      </c>
      <c r="Q1093" s="205">
        <v>0</v>
      </c>
      <c r="R1093" s="205">
        <v>0</v>
      </c>
      <c r="S1093" s="205">
        <v>0</v>
      </c>
      <c r="T1093" s="205">
        <v>0.40600000000000003</v>
      </c>
      <c r="U1093" s="205">
        <v>0</v>
      </c>
      <c r="V1093" s="205">
        <v>0</v>
      </c>
      <c r="W1093" s="205">
        <v>0</v>
      </c>
      <c r="X1093" s="205">
        <v>0</v>
      </c>
      <c r="Y1093" s="205">
        <v>0</v>
      </c>
      <c r="Z1093" s="205">
        <v>0</v>
      </c>
      <c r="AA1093" s="5" t="s">
        <v>2547</v>
      </c>
      <c r="AB1093" s="5" t="s">
        <v>2547</v>
      </c>
      <c r="AC1093" s="5" t="s">
        <v>2547</v>
      </c>
      <c r="AD1093" s="5" t="s">
        <v>2547</v>
      </c>
      <c r="AE1093" s="1">
        <v>45437</v>
      </c>
      <c r="AF1093" s="5" t="s">
        <v>2548</v>
      </c>
      <c r="AG1093" t="str">
        <f>VLOOKUP(OfficeForms.Table[[#This Row],[Nama Proyek]],'Nama Proyek'!$D$2:$G$40,4,0)</f>
        <v>-6.33533300,107.77576100</v>
      </c>
      <c r="AH1093" s="5"/>
      <c r="AI1093" s="5"/>
      <c r="AJ1093" s="5"/>
      <c r="AK1093" s="5" t="s">
        <v>2549</v>
      </c>
    </row>
    <row r="1094" spans="1:37">
      <c r="A1094">
        <v>6</v>
      </c>
      <c r="B1094" s="163">
        <v>45442.533240740697</v>
      </c>
      <c r="C1094" s="27">
        <v>45442.540173611102</v>
      </c>
      <c r="D1094" s="5" t="s">
        <v>2509</v>
      </c>
      <c r="E1094" s="5" t="s">
        <v>687</v>
      </c>
      <c r="F1094" s="5" t="s">
        <v>687</v>
      </c>
      <c r="G1094" s="5" t="s">
        <v>750</v>
      </c>
      <c r="H1094" s="204">
        <v>45439</v>
      </c>
      <c r="I1094" s="205">
        <v>83.570999999999998</v>
      </c>
      <c r="J1094" s="205">
        <v>83.497</v>
      </c>
      <c r="K1094" s="205">
        <v>1.157</v>
      </c>
      <c r="L1094" s="205">
        <v>1.518</v>
      </c>
      <c r="M1094" s="205">
        <v>20.565999999999999</v>
      </c>
      <c r="N1094" s="205">
        <v>0</v>
      </c>
      <c r="O1094" s="205">
        <v>1.84</v>
      </c>
      <c r="P1094" s="205">
        <v>5.9039999999999999</v>
      </c>
      <c r="Q1094" s="205">
        <v>51.281999999999996</v>
      </c>
      <c r="R1094" s="205">
        <v>0</v>
      </c>
      <c r="S1094" s="205">
        <v>1.3029999999999999</v>
      </c>
      <c r="T1094" s="205">
        <v>0</v>
      </c>
      <c r="U1094" s="205">
        <v>0</v>
      </c>
      <c r="V1094" s="205">
        <v>0</v>
      </c>
      <c r="W1094" s="205">
        <v>0</v>
      </c>
      <c r="X1094" s="205">
        <v>0</v>
      </c>
      <c r="Y1094" s="205">
        <v>0</v>
      </c>
      <c r="Z1094" s="205">
        <v>0</v>
      </c>
      <c r="AA1094" s="120" t="s">
        <v>2550</v>
      </c>
      <c r="AB1094" s="5" t="s">
        <v>2551</v>
      </c>
      <c r="AC1094" s="120" t="s">
        <v>2552</v>
      </c>
      <c r="AD1094" s="5" t="s">
        <v>2552</v>
      </c>
      <c r="AE1094" s="1"/>
      <c r="AF1094" s="206" t="s">
        <v>2297</v>
      </c>
      <c r="AG1094" t="str">
        <f>VLOOKUP(OfficeForms.Table[[#This Row],[Nama Proyek]],'Nama Proyek'!$D$2:$G$40,4,0)</f>
        <v>-1.10415341,116.73424356</v>
      </c>
      <c r="AH1094" s="5"/>
      <c r="AI1094" s="5"/>
      <c r="AJ1094" s="5"/>
      <c r="AK1094" s="5" t="s">
        <v>2553</v>
      </c>
    </row>
    <row r="1095" spans="1:37">
      <c r="A1095">
        <v>7</v>
      </c>
      <c r="B1095" s="163">
        <v>45442.580335648097</v>
      </c>
      <c r="C1095" s="27">
        <v>45442.597511574102</v>
      </c>
      <c r="D1095" s="5" t="s">
        <v>2522</v>
      </c>
      <c r="E1095" s="5" t="s">
        <v>1282</v>
      </c>
      <c r="F1095" s="5" t="s">
        <v>1282</v>
      </c>
      <c r="G1095" s="5" t="s">
        <v>989</v>
      </c>
      <c r="H1095" s="204">
        <v>45438</v>
      </c>
      <c r="I1095" s="205">
        <v>90.429000000000002</v>
      </c>
      <c r="J1095" s="205">
        <v>95.691999999999993</v>
      </c>
      <c r="K1095" s="205">
        <v>2.88</v>
      </c>
      <c r="L1095" s="205">
        <v>0.57999999999999996</v>
      </c>
      <c r="M1095" s="205">
        <v>0</v>
      </c>
      <c r="N1095" s="205">
        <v>22.16</v>
      </c>
      <c r="O1095" s="205">
        <v>0.1</v>
      </c>
      <c r="P1095" s="205">
        <v>1.85</v>
      </c>
      <c r="Q1095" s="205">
        <v>0.21</v>
      </c>
      <c r="R1095" s="205">
        <v>2.84</v>
      </c>
      <c r="S1095" s="205">
        <v>15.29</v>
      </c>
      <c r="T1095" s="205">
        <v>38.020000000000003</v>
      </c>
      <c r="U1095" s="205">
        <v>0</v>
      </c>
      <c r="V1095" s="205">
        <v>4.3</v>
      </c>
      <c r="W1095" s="205">
        <v>1.28</v>
      </c>
      <c r="X1095" s="205">
        <v>0.37</v>
      </c>
      <c r="Y1095" s="205">
        <v>0</v>
      </c>
      <c r="Z1095" s="205">
        <v>0.55000000000000004</v>
      </c>
      <c r="AA1095" s="120" t="s">
        <v>2554</v>
      </c>
      <c r="AB1095" s="120" t="s">
        <v>2555</v>
      </c>
      <c r="AC1095" s="120" t="s">
        <v>2556</v>
      </c>
      <c r="AD1095" s="120" t="s">
        <v>2555</v>
      </c>
      <c r="AE1095" s="1">
        <v>45440</v>
      </c>
      <c r="AF1095" s="206" t="s">
        <v>2557</v>
      </c>
      <c r="AG1095" t="str">
        <f>VLOOKUP(OfficeForms.Table[[#This Row],[Nama Proyek]],'Nama Proyek'!$D$2:$G$40,4,0)</f>
        <v>-1.98399270,103.7135193</v>
      </c>
      <c r="AH1095" s="5"/>
      <c r="AI1095" s="5"/>
      <c r="AJ1095" s="5"/>
      <c r="AK1095" s="5" t="s">
        <v>2558</v>
      </c>
    </row>
    <row r="1096" spans="1:37">
      <c r="A1096">
        <v>8</v>
      </c>
      <c r="B1096" s="163">
        <v>45443.362326388902</v>
      </c>
      <c r="C1096" s="27">
        <v>45443.404247685197</v>
      </c>
      <c r="D1096" s="5" t="s">
        <v>2494</v>
      </c>
      <c r="E1096" s="5" t="s">
        <v>2495</v>
      </c>
      <c r="F1096" s="5" t="s">
        <v>2559</v>
      </c>
      <c r="G1096" s="52" t="s">
        <v>714</v>
      </c>
      <c r="H1096" s="204">
        <v>45417</v>
      </c>
      <c r="I1096" s="205">
        <v>100</v>
      </c>
      <c r="J1096" s="205">
        <v>100</v>
      </c>
      <c r="K1096" s="205"/>
      <c r="L1096" s="205"/>
      <c r="M1096" s="205"/>
      <c r="N1096" s="205"/>
      <c r="O1096" s="205"/>
      <c r="P1096" s="205"/>
      <c r="Q1096" s="205"/>
      <c r="R1096" s="205"/>
      <c r="S1096" s="205"/>
      <c r="T1096" s="205"/>
      <c r="U1096" s="205"/>
      <c r="V1096" s="205"/>
      <c r="W1096" s="205"/>
      <c r="X1096" s="205"/>
      <c r="Y1096" s="205"/>
      <c r="Z1096" s="205"/>
      <c r="AA1096" s="120" t="s">
        <v>2560</v>
      </c>
      <c r="AB1096" s="5"/>
      <c r="AC1096" s="5"/>
      <c r="AD1096" s="5"/>
      <c r="AE1096" s="1"/>
      <c r="AF1096" s="5"/>
      <c r="AG1096" t="str">
        <f>VLOOKUP(OfficeForms.Table[[#This Row],[Nama Proyek]],'Nama Proyek'!$D$2:$G$40,4,0)</f>
        <v>-0.95259625,116.71704453</v>
      </c>
      <c r="AH1096" s="5"/>
      <c r="AI1096" s="5"/>
      <c r="AJ1096" s="5"/>
      <c r="AK1096" s="5" t="s">
        <v>2561</v>
      </c>
    </row>
    <row r="1097" spans="1:37">
      <c r="A1097">
        <v>9</v>
      </c>
      <c r="B1097" s="163">
        <v>45443.422210648103</v>
      </c>
      <c r="C1097" s="27">
        <v>45443.433807870402</v>
      </c>
      <c r="D1097" s="5" t="s">
        <v>2562</v>
      </c>
      <c r="E1097" s="5" t="s">
        <v>2563</v>
      </c>
      <c r="F1097" s="5" t="s">
        <v>2289</v>
      </c>
      <c r="G1097" s="52" t="s">
        <v>2290</v>
      </c>
      <c r="H1097" s="204">
        <v>45437</v>
      </c>
      <c r="I1097" s="205">
        <v>34.67</v>
      </c>
      <c r="J1097" s="205">
        <v>26.79</v>
      </c>
      <c r="K1097" s="205">
        <v>0.155</v>
      </c>
      <c r="L1097" s="205">
        <v>0</v>
      </c>
      <c r="M1097" s="205">
        <v>25.135999999999999</v>
      </c>
      <c r="N1097" s="205">
        <v>0</v>
      </c>
      <c r="O1097" s="205">
        <v>0</v>
      </c>
      <c r="P1097" s="205">
        <v>0</v>
      </c>
      <c r="Q1097" s="205">
        <v>9.2490000000000006</v>
      </c>
      <c r="R1097" s="205">
        <v>0</v>
      </c>
      <c r="S1097" s="205">
        <v>0</v>
      </c>
      <c r="T1097" s="205">
        <v>9.6000000000000002E-2</v>
      </c>
      <c r="U1097" s="205">
        <v>0</v>
      </c>
      <c r="V1097" s="205">
        <v>0</v>
      </c>
      <c r="W1097" s="205">
        <v>0</v>
      </c>
      <c r="X1097" s="205">
        <v>0</v>
      </c>
      <c r="Y1097" s="205">
        <v>0</v>
      </c>
      <c r="Z1097" s="205">
        <v>0</v>
      </c>
      <c r="AA1097" s="5" t="s">
        <v>2564</v>
      </c>
      <c r="AB1097" s="5" t="s">
        <v>2565</v>
      </c>
      <c r="AC1097" s="120" t="s">
        <v>2566</v>
      </c>
      <c r="AD1097" s="5" t="s">
        <v>2566</v>
      </c>
      <c r="AE1097" s="1">
        <v>45437</v>
      </c>
      <c r="AF1097" s="219" t="s">
        <v>2297</v>
      </c>
      <c r="AG1097" t="str">
        <f>VLOOKUP(OfficeForms.Table[[#This Row],[Nama Proyek]],'Nama Proyek'!$D$2:$G$40,4,0)</f>
        <v>-0.99046214,116.69024762</v>
      </c>
      <c r="AH1097" s="5"/>
      <c r="AI1097" s="5"/>
      <c r="AJ1097" s="5"/>
      <c r="AK1097" s="5" t="s">
        <v>2567</v>
      </c>
    </row>
    <row r="1098" spans="1:37" ht="137.25">
      <c r="A1098">
        <v>11</v>
      </c>
      <c r="B1098" s="163">
        <v>45446.594641203701</v>
      </c>
      <c r="C1098" s="27">
        <v>45446.615891203699</v>
      </c>
      <c r="D1098" s="64" t="s">
        <v>2568</v>
      </c>
      <c r="E1098" s="64" t="s">
        <v>79</v>
      </c>
      <c r="F1098" s="5" t="s">
        <v>79</v>
      </c>
      <c r="G1098" s="5" t="s">
        <v>1317</v>
      </c>
      <c r="H1098" s="204">
        <v>45440</v>
      </c>
      <c r="I1098" s="205">
        <v>30.28</v>
      </c>
      <c r="J1098" s="205">
        <v>36.86</v>
      </c>
      <c r="K1098" s="205">
        <v>0.69</v>
      </c>
      <c r="L1098" s="205">
        <v>0.19</v>
      </c>
      <c r="M1098" s="205">
        <v>7.0000000000000007E-2</v>
      </c>
      <c r="N1098" s="205">
        <v>23.37</v>
      </c>
      <c r="O1098" s="205">
        <v>0.1</v>
      </c>
      <c r="P1098" s="205">
        <v>0</v>
      </c>
      <c r="Q1098" s="205">
        <v>0</v>
      </c>
      <c r="R1098" s="205">
        <v>0</v>
      </c>
      <c r="S1098" s="205">
        <v>0</v>
      </c>
      <c r="T1098" s="205">
        <v>5.82</v>
      </c>
      <c r="U1098" s="205">
        <v>0</v>
      </c>
      <c r="V1098" s="205">
        <v>0.03</v>
      </c>
      <c r="W1098" s="205">
        <v>0</v>
      </c>
      <c r="X1098" s="205">
        <v>0</v>
      </c>
      <c r="Y1098" s="205">
        <v>0</v>
      </c>
      <c r="Z1098" s="205">
        <v>0</v>
      </c>
      <c r="AA1098" s="120" t="s">
        <v>2569</v>
      </c>
      <c r="AB1098" s="5"/>
      <c r="AC1098" s="120" t="s">
        <v>2570</v>
      </c>
      <c r="AD1098" s="5" t="s">
        <v>2571</v>
      </c>
      <c r="AE1098" s="1">
        <v>45439</v>
      </c>
      <c r="AF1098" s="222" t="s">
        <v>2572</v>
      </c>
      <c r="AG1098" t="str">
        <f>VLOOKUP(OfficeForms.Table[[#This Row],[Nama Proyek]],'Nama Proyek'!$D$2:$G$40,4,0)</f>
        <v>-7.72647690,113.63515320</v>
      </c>
      <c r="AH1098" s="5"/>
      <c r="AI1098" s="5"/>
      <c r="AJ1098" s="5"/>
      <c r="AK1098" s="5" t="s">
        <v>2573</v>
      </c>
    </row>
    <row r="1099" spans="1:37" ht="45.75">
      <c r="A1099">
        <v>10</v>
      </c>
      <c r="B1099" s="163">
        <v>45446.6070833333</v>
      </c>
      <c r="C1099" s="27">
        <v>45446.609351851803</v>
      </c>
      <c r="D1099" s="64" t="s">
        <v>2266</v>
      </c>
      <c r="E1099" s="64" t="s">
        <v>109</v>
      </c>
      <c r="F1099" s="5" t="s">
        <v>109</v>
      </c>
      <c r="G1099" s="64" t="s">
        <v>2267</v>
      </c>
      <c r="H1099" s="204">
        <v>45438</v>
      </c>
      <c r="I1099" s="205">
        <v>3.8319999999999999</v>
      </c>
      <c r="J1099" s="205">
        <v>6.9119999999999999</v>
      </c>
      <c r="K1099" s="205">
        <v>17.97</v>
      </c>
      <c r="L1099" s="205"/>
      <c r="M1099" s="205"/>
      <c r="N1099" s="205"/>
      <c r="O1099" s="205"/>
      <c r="P1099" s="205"/>
      <c r="Q1099" s="205"/>
      <c r="R1099" s="205"/>
      <c r="S1099" s="205"/>
      <c r="T1099" s="205"/>
      <c r="U1099" s="205"/>
      <c r="V1099" s="205"/>
      <c r="W1099" s="205"/>
      <c r="X1099" s="205"/>
      <c r="Y1099" s="205"/>
      <c r="Z1099" s="205"/>
      <c r="AA1099" s="120" t="s">
        <v>2574</v>
      </c>
      <c r="AB1099" s="120" t="s">
        <v>2575</v>
      </c>
      <c r="AC1099" s="120" t="s">
        <v>2576</v>
      </c>
      <c r="AD1099" s="120" t="s">
        <v>2577</v>
      </c>
      <c r="AE1099" s="1">
        <v>45439</v>
      </c>
      <c r="AF1099" s="222" t="s">
        <v>2578</v>
      </c>
      <c r="AG1099" t="str">
        <f>VLOOKUP(OfficeForms.Table[[#This Row],[Nama Proyek]],'Nama Proyek'!$D$2:$G$40,4,0)</f>
        <v>-6.88120502,106.78938277</v>
      </c>
      <c r="AH1099" s="5"/>
      <c r="AI1099" s="5"/>
      <c r="AJ1099" s="5"/>
      <c r="AK1099" s="5" t="s">
        <v>2579</v>
      </c>
    </row>
    <row r="1100" spans="1:37">
      <c r="A1100">
        <v>13</v>
      </c>
      <c r="B1100" s="163">
        <v>45446.6078009259</v>
      </c>
      <c r="C1100" s="27">
        <v>45446.625868055598</v>
      </c>
      <c r="D1100" s="64" t="s">
        <v>2580</v>
      </c>
      <c r="E1100" s="64" t="s">
        <v>57</v>
      </c>
      <c r="F1100" s="5" t="s">
        <v>57</v>
      </c>
      <c r="G1100" s="5" t="s">
        <v>1484</v>
      </c>
      <c r="H1100" s="204">
        <v>45437</v>
      </c>
      <c r="I1100" s="205">
        <v>35.01</v>
      </c>
      <c r="J1100" s="205">
        <v>25.617000000000001</v>
      </c>
      <c r="K1100" s="205">
        <v>1.478</v>
      </c>
      <c r="L1100" s="205">
        <v>1.0049999999999999</v>
      </c>
      <c r="M1100" s="205">
        <v>17.864999999999998</v>
      </c>
      <c r="N1100" s="205"/>
      <c r="O1100" s="205"/>
      <c r="P1100" s="205"/>
      <c r="Q1100" s="205">
        <v>14.662000000000001</v>
      </c>
      <c r="R1100" s="205"/>
      <c r="S1100" s="205"/>
      <c r="T1100" s="205"/>
      <c r="U1100" s="205"/>
      <c r="V1100" s="205"/>
      <c r="W1100" s="205"/>
      <c r="X1100" s="205"/>
      <c r="Y1100" s="205"/>
      <c r="Z1100" s="205"/>
      <c r="AA1100" s="5" t="s">
        <v>2581</v>
      </c>
      <c r="AB1100" s="5" t="s">
        <v>2581</v>
      </c>
      <c r="AC1100" s="120" t="s">
        <v>2582</v>
      </c>
      <c r="AD1100" s="5" t="s">
        <v>2582</v>
      </c>
      <c r="AE1100" s="1">
        <v>45437</v>
      </c>
      <c r="AF1100" s="222" t="s">
        <v>2583</v>
      </c>
      <c r="AG1100" t="str">
        <f>VLOOKUP(OfficeForms.Table[[#This Row],[Nama Proyek]],'Nama Proyek'!$D$2:$G$40,4,0)</f>
        <v>-8.01003300,110.33312900</v>
      </c>
      <c r="AH1100" s="5"/>
      <c r="AI1100" s="5"/>
      <c r="AJ1100" s="5"/>
      <c r="AK1100" s="5" t="s">
        <v>2584</v>
      </c>
    </row>
    <row r="1101" spans="1:37">
      <c r="A1101">
        <v>12</v>
      </c>
      <c r="B1101" s="163">
        <v>45446.615312499998</v>
      </c>
      <c r="C1101" s="27">
        <v>45446.622361111098</v>
      </c>
      <c r="D1101" s="64" t="s">
        <v>2585</v>
      </c>
      <c r="E1101" s="64" t="s">
        <v>2586</v>
      </c>
      <c r="F1101" s="5" t="s">
        <v>1479</v>
      </c>
      <c r="G1101" s="207" t="s">
        <v>1480</v>
      </c>
      <c r="H1101" s="204">
        <v>45445</v>
      </c>
      <c r="I1101" s="205">
        <v>46.993000000000002</v>
      </c>
      <c r="J1101" s="205">
        <v>46.276000000000003</v>
      </c>
      <c r="K1101" s="205"/>
      <c r="L1101" s="205"/>
      <c r="M1101" s="205"/>
      <c r="N1101" s="205"/>
      <c r="O1101" s="205"/>
      <c r="P1101" s="205"/>
      <c r="Q1101" s="205"/>
      <c r="R1101" s="205"/>
      <c r="S1101" s="205"/>
      <c r="T1101" s="205"/>
      <c r="U1101" s="205"/>
      <c r="V1101" s="205"/>
      <c r="W1101" s="205"/>
      <c r="X1101" s="205"/>
      <c r="Y1101" s="205"/>
      <c r="Z1101" s="205"/>
      <c r="AA1101" s="120" t="s">
        <v>2587</v>
      </c>
      <c r="AB1101" s="120" t="s">
        <v>2588</v>
      </c>
      <c r="AC1101" s="5"/>
      <c r="AD1101" s="5"/>
      <c r="AE1101" s="1"/>
      <c r="AF1101" s="222"/>
      <c r="AG1101" t="str">
        <f>VLOOKUP(OfficeForms.Table[[#This Row],[Nama Proyek]],'Nama Proyek'!$D$2:$G$40,4,0)</f>
        <v>-6.23191260,107.90813480</v>
      </c>
      <c r="AH1101" s="5"/>
      <c r="AI1101" s="5"/>
      <c r="AJ1101" s="5"/>
      <c r="AK1101" s="5" t="s">
        <v>2589</v>
      </c>
    </row>
    <row r="1102" spans="1:37">
      <c r="A1102">
        <v>14</v>
      </c>
      <c r="B1102" s="163">
        <v>45447.4291435185</v>
      </c>
      <c r="C1102" s="27">
        <v>45447.432453703703</v>
      </c>
      <c r="D1102" s="64" t="s">
        <v>2256</v>
      </c>
      <c r="E1102" s="64" t="s">
        <v>734</v>
      </c>
      <c r="F1102" s="5" t="s">
        <v>734</v>
      </c>
      <c r="G1102" s="5" t="s">
        <v>735</v>
      </c>
      <c r="H1102" s="204">
        <v>45443</v>
      </c>
      <c r="I1102" s="205">
        <v>59.112000000000002</v>
      </c>
      <c r="J1102" s="205">
        <v>99.415000000000006</v>
      </c>
      <c r="K1102" s="205">
        <v>0.38500000000000001</v>
      </c>
      <c r="L1102" s="205">
        <v>2.2189999999999999</v>
      </c>
      <c r="M1102" s="205">
        <v>43.326999999999998</v>
      </c>
      <c r="N1102" s="205">
        <v>1.3720000000000001</v>
      </c>
      <c r="O1102" s="205">
        <v>0.47299999999999998</v>
      </c>
      <c r="P1102" s="205">
        <v>4.0940000000000003</v>
      </c>
      <c r="Q1102" s="205">
        <v>0.38400000000000001</v>
      </c>
      <c r="R1102" s="205"/>
      <c r="S1102" s="205"/>
      <c r="T1102" s="205"/>
      <c r="U1102" s="205"/>
      <c r="V1102" s="205"/>
      <c r="W1102" s="205"/>
      <c r="X1102" s="205"/>
      <c r="Y1102" s="205"/>
      <c r="Z1102" s="205"/>
      <c r="AA1102" s="5" t="s">
        <v>2590</v>
      </c>
      <c r="AB1102" s="5" t="s">
        <v>2591</v>
      </c>
      <c r="AC1102" s="5" t="s">
        <v>2592</v>
      </c>
      <c r="AD1102" s="5" t="s">
        <v>2593</v>
      </c>
      <c r="AE1102" s="1">
        <v>45442</v>
      </c>
      <c r="AF1102" s="222" t="s">
        <v>2594</v>
      </c>
      <c r="AG1102" t="str">
        <f>VLOOKUP(OfficeForms.Table[[#This Row],[Nama Proyek]],'Nama Proyek'!$D$2:$G$40,4,0)</f>
        <v>-0.88562397,119.85928375</v>
      </c>
      <c r="AH1102" s="5"/>
      <c r="AI1102" s="5"/>
      <c r="AJ1102" s="5"/>
      <c r="AK1102" s="5" t="s">
        <v>2595</v>
      </c>
    </row>
    <row r="1103" spans="1:37">
      <c r="A1103">
        <v>15</v>
      </c>
      <c r="B1103" s="163">
        <v>45447.584560185198</v>
      </c>
      <c r="C1103" s="27">
        <v>45447.5929861111</v>
      </c>
      <c r="D1103" s="5" t="s">
        <v>2494</v>
      </c>
      <c r="E1103" s="5" t="s">
        <v>2495</v>
      </c>
      <c r="F1103" s="5" t="s">
        <v>136</v>
      </c>
      <c r="G1103" s="5" t="s">
        <v>1472</v>
      </c>
      <c r="H1103" s="204">
        <v>45446</v>
      </c>
      <c r="I1103" s="205">
        <v>74.789000000000001</v>
      </c>
      <c r="J1103" s="205">
        <v>74.686000000000007</v>
      </c>
      <c r="K1103" s="205">
        <v>1.05</v>
      </c>
      <c r="L1103" s="205">
        <v>0.79</v>
      </c>
      <c r="M1103" s="205">
        <v>31.58</v>
      </c>
      <c r="N1103" s="205"/>
      <c r="O1103" s="205">
        <v>5.73</v>
      </c>
      <c r="P1103" s="205">
        <v>5.34</v>
      </c>
      <c r="Q1103" s="205">
        <v>52.12</v>
      </c>
      <c r="R1103" s="205"/>
      <c r="S1103" s="205">
        <v>3.38</v>
      </c>
      <c r="T1103" s="205"/>
      <c r="U1103" s="205"/>
      <c r="V1103" s="205"/>
      <c r="W1103" s="205"/>
      <c r="X1103" s="205"/>
      <c r="Y1103" s="205"/>
      <c r="Z1103" s="205"/>
      <c r="AA1103" s="120" t="s">
        <v>2596</v>
      </c>
      <c r="AB1103" s="120" t="s">
        <v>2597</v>
      </c>
      <c r="AC1103" s="120" t="s">
        <v>2598</v>
      </c>
      <c r="AD1103" s="120" t="s">
        <v>2598</v>
      </c>
      <c r="AE1103" s="1">
        <v>45446</v>
      </c>
      <c r="AF1103" s="219" t="s">
        <v>2297</v>
      </c>
      <c r="AG1103" t="str">
        <f>VLOOKUP(OfficeForms.Table[[#This Row],[Nama Proyek]],'Nama Proyek'!$D$2:$G$40,4,0)</f>
        <v>-0.96849430,116.70188410</v>
      </c>
      <c r="AH1103" s="5"/>
      <c r="AI1103" s="5"/>
      <c r="AJ1103" s="5"/>
      <c r="AK1103" s="5" t="s">
        <v>2599</v>
      </c>
    </row>
    <row r="1104" spans="1:37" ht="91.5">
      <c r="A1104">
        <v>16</v>
      </c>
      <c r="B1104" s="163">
        <v>45448.768171296302</v>
      </c>
      <c r="C1104" s="27">
        <v>45448.772199074097</v>
      </c>
      <c r="D1104" s="5" t="s">
        <v>2600</v>
      </c>
      <c r="E1104" s="5" t="s">
        <v>855</v>
      </c>
      <c r="F1104" s="5" t="s">
        <v>855</v>
      </c>
      <c r="G1104" s="5" t="s">
        <v>2601</v>
      </c>
      <c r="H1104" s="204">
        <v>45445</v>
      </c>
      <c r="I1104" s="205">
        <v>9.5399999999999991</v>
      </c>
      <c r="J1104" s="205">
        <v>8.33</v>
      </c>
      <c r="K1104" s="205"/>
      <c r="L1104" s="205"/>
      <c r="M1104" s="205"/>
      <c r="N1104" s="205"/>
      <c r="O1104" s="205"/>
      <c r="P1104" s="205"/>
      <c r="Q1104" s="205"/>
      <c r="R1104" s="205"/>
      <c r="S1104" s="205"/>
      <c r="T1104" s="205"/>
      <c r="U1104" s="205"/>
      <c r="V1104" s="205"/>
      <c r="W1104" s="205"/>
      <c r="X1104" s="205"/>
      <c r="Y1104" s="205"/>
      <c r="Z1104" s="205"/>
      <c r="AA1104" s="120" t="s">
        <v>2602</v>
      </c>
      <c r="AB1104" s="120" t="s">
        <v>2603</v>
      </c>
      <c r="AC1104" s="120" t="s">
        <v>2604</v>
      </c>
      <c r="AD1104" s="5"/>
      <c r="AE1104" s="1">
        <v>45445</v>
      </c>
      <c r="AF1104" s="222" t="s">
        <v>2605</v>
      </c>
      <c r="AG1104" t="str">
        <f>VLOOKUP(OfficeForms.Table[[#This Row],[Nama Proyek]],'Nama Proyek'!$D$2:$G$40,4,0)</f>
        <v>-1.13731907,116.79020552</v>
      </c>
      <c r="AH1104" s="5"/>
      <c r="AI1104" s="5"/>
      <c r="AJ1104" s="5"/>
      <c r="AK1104" s="5" t="s">
        <v>2606</v>
      </c>
    </row>
    <row r="1105" spans="1:37" ht="30.75">
      <c r="A1105">
        <v>17</v>
      </c>
      <c r="B1105" s="163">
        <v>45453.4973032407</v>
      </c>
      <c r="C1105" s="27">
        <v>45453.501284722202</v>
      </c>
      <c r="D1105" s="5" t="s">
        <v>2607</v>
      </c>
      <c r="E1105" s="5" t="s">
        <v>2425</v>
      </c>
      <c r="F1105" s="5" t="s">
        <v>2425</v>
      </c>
      <c r="G1105" s="5" t="s">
        <v>2300</v>
      </c>
      <c r="H1105" s="204">
        <v>45445</v>
      </c>
      <c r="I1105" s="205">
        <v>72.745999999999995</v>
      </c>
      <c r="J1105" s="205">
        <v>68.385999999999996</v>
      </c>
      <c r="K1105" s="205">
        <v>0.66400000000000003</v>
      </c>
      <c r="L1105" s="205">
        <v>0.49199999999999999</v>
      </c>
      <c r="M1105" s="205">
        <v>58.94</v>
      </c>
      <c r="N1105" s="205">
        <v>0</v>
      </c>
      <c r="O1105" s="205">
        <v>0</v>
      </c>
      <c r="P1105" s="205">
        <v>0</v>
      </c>
      <c r="Q1105" s="205">
        <v>12.347</v>
      </c>
      <c r="R1105" s="205">
        <v>0</v>
      </c>
      <c r="S1105" s="205">
        <v>0.30299999999999999</v>
      </c>
      <c r="T1105" s="205"/>
      <c r="U1105" s="205"/>
      <c r="V1105" s="205"/>
      <c r="W1105" s="205"/>
      <c r="X1105" s="205"/>
      <c r="Y1105" s="205"/>
      <c r="Z1105" s="205"/>
      <c r="AA1105" s="120" t="s">
        <v>2608</v>
      </c>
      <c r="AB1105" s="5"/>
      <c r="AC1105" s="5" t="s">
        <v>2609</v>
      </c>
      <c r="AD1105" s="5" t="s">
        <v>2610</v>
      </c>
      <c r="AE1105" s="1">
        <v>45445</v>
      </c>
      <c r="AF1105" s="206" t="s">
        <v>2611</v>
      </c>
      <c r="AG1105" t="str">
        <f>VLOOKUP(OfficeForms.Table[[#This Row],[Nama Proyek]],'Nama Proyek'!$D$2:$G$40,4,0)</f>
        <v>-6.92723742,109.95182730</v>
      </c>
      <c r="AH1105" s="5"/>
      <c r="AI1105" s="5"/>
      <c r="AJ1105" s="5"/>
      <c r="AK1105" s="5" t="s">
        <v>2612</v>
      </c>
    </row>
    <row r="1106" spans="1:37">
      <c r="A1106">
        <v>18</v>
      </c>
      <c r="B1106" s="163">
        <v>45453.5385648148</v>
      </c>
      <c r="C1106" s="27">
        <v>45453.807569444398</v>
      </c>
      <c r="D1106" s="5" t="s">
        <v>2613</v>
      </c>
      <c r="E1106" s="5" t="s">
        <v>1952</v>
      </c>
      <c r="F1106" s="5" t="s">
        <v>1952</v>
      </c>
      <c r="G1106" s="5" t="s">
        <v>2484</v>
      </c>
      <c r="H1106" s="204">
        <v>45442</v>
      </c>
      <c r="I1106" s="205">
        <v>9.1489999999999991</v>
      </c>
      <c r="J1106" s="205">
        <v>32.020000000000003</v>
      </c>
      <c r="K1106" s="205">
        <v>0.35199999999999998</v>
      </c>
      <c r="L1106" s="205">
        <v>0.82899999999999996</v>
      </c>
      <c r="M1106" s="205">
        <v>27.071999999999999</v>
      </c>
      <c r="N1106" s="205">
        <v>0</v>
      </c>
      <c r="O1106" s="205">
        <v>0</v>
      </c>
      <c r="P1106" s="205">
        <v>0</v>
      </c>
      <c r="Q1106" s="205">
        <v>3.766</v>
      </c>
      <c r="R1106" s="205">
        <v>0</v>
      </c>
      <c r="S1106" s="205">
        <v>0</v>
      </c>
      <c r="T1106" s="205">
        <v>0</v>
      </c>
      <c r="U1106" s="205">
        <v>0</v>
      </c>
      <c r="V1106" s="205">
        <v>0</v>
      </c>
      <c r="W1106" s="205">
        <v>0</v>
      </c>
      <c r="X1106" s="205">
        <v>0</v>
      </c>
      <c r="Y1106" s="205">
        <v>0</v>
      </c>
      <c r="Z1106" s="205">
        <v>0</v>
      </c>
      <c r="AA1106" s="120" t="s">
        <v>2614</v>
      </c>
      <c r="AB1106" s="120" t="s">
        <v>2615</v>
      </c>
      <c r="AC1106" s="120" t="s">
        <v>2616</v>
      </c>
      <c r="AD1106" s="5" t="s">
        <v>2617</v>
      </c>
      <c r="AE1106" s="1">
        <v>45442</v>
      </c>
      <c r="AF1106" s="206" t="s">
        <v>2618</v>
      </c>
      <c r="AG1106" t="str">
        <f>VLOOKUP(OfficeForms.Table[[#This Row],[Nama Proyek]],'Nama Proyek'!$D$2:$G$40,4,0)</f>
        <v>-8.30961900,112.11101000</v>
      </c>
      <c r="AH1106" s="5"/>
      <c r="AI1106" s="5"/>
      <c r="AJ1106" s="5"/>
      <c r="AK1106" s="5" t="s">
        <v>2619</v>
      </c>
    </row>
    <row r="1107" spans="1:37">
      <c r="A1107">
        <v>19</v>
      </c>
      <c r="B1107" s="163">
        <v>45456.604606481502</v>
      </c>
      <c r="C1107" s="27">
        <v>45456.607141203698</v>
      </c>
      <c r="D1107" s="5" t="s">
        <v>2515</v>
      </c>
      <c r="E1107" s="5" t="s">
        <v>64</v>
      </c>
      <c r="F1107" s="5" t="s">
        <v>64</v>
      </c>
      <c r="G1107" s="5" t="s">
        <v>65</v>
      </c>
      <c r="H1107" s="204">
        <v>45443</v>
      </c>
      <c r="I1107" s="205">
        <v>97.792000000000002</v>
      </c>
      <c r="J1107" s="205">
        <v>100</v>
      </c>
      <c r="K1107" s="205">
        <v>100</v>
      </c>
      <c r="L1107" s="205">
        <v>99.59</v>
      </c>
      <c r="M1107" s="205">
        <v>99.38</v>
      </c>
      <c r="N1107" s="205">
        <v>97.13</v>
      </c>
      <c r="O1107" s="205">
        <v>95.06</v>
      </c>
      <c r="P1107" s="205">
        <v>95.83</v>
      </c>
      <c r="Q1107" s="205">
        <v>96.32</v>
      </c>
      <c r="R1107" s="205">
        <v>100</v>
      </c>
      <c r="S1107" s="205">
        <v>87.88</v>
      </c>
      <c r="T1107" s="205">
        <v>97.2</v>
      </c>
      <c r="U1107" s="205">
        <v>98.95</v>
      </c>
      <c r="V1107" s="205">
        <v>86.93</v>
      </c>
      <c r="W1107" s="205">
        <v>80.239999999999995</v>
      </c>
      <c r="X1107" s="205"/>
      <c r="Y1107" s="205">
        <v>98.36</v>
      </c>
      <c r="Z1107" s="205">
        <v>100</v>
      </c>
      <c r="AA1107" s="120" t="s">
        <v>2620</v>
      </c>
      <c r="AB1107" s="5"/>
      <c r="AC1107" s="5"/>
      <c r="AD1107" s="5"/>
      <c r="AE1107" s="1"/>
      <c r="AF1107" s="5"/>
      <c r="AG1107" t="str">
        <f>VLOOKUP(OfficeForms.Table[[#This Row],[Nama Proyek]],'Nama Proyek'!$D$2:$G$40,4,0)</f>
        <v>-6.35008011,107.02324233</v>
      </c>
      <c r="AH1107" s="5"/>
      <c r="AI1107" s="5"/>
      <c r="AJ1107" s="5"/>
      <c r="AK1107" s="5" t="s">
        <v>2621</v>
      </c>
    </row>
    <row r="1108" spans="1:37">
      <c r="A1108">
        <v>20</v>
      </c>
      <c r="B1108" s="163">
        <v>45469.364999999998</v>
      </c>
      <c r="C1108" s="27">
        <v>45469.367118055598</v>
      </c>
      <c r="D1108" s="5" t="s">
        <v>2515</v>
      </c>
      <c r="E1108" s="5" t="s">
        <v>64</v>
      </c>
      <c r="F1108" s="5" t="s">
        <v>64</v>
      </c>
      <c r="G1108" s="5" t="s">
        <v>65</v>
      </c>
      <c r="H1108" s="204">
        <v>45467</v>
      </c>
      <c r="I1108" s="205">
        <v>99.9</v>
      </c>
      <c r="J1108" s="205">
        <v>100</v>
      </c>
      <c r="K1108" s="205"/>
      <c r="L1108" s="205"/>
      <c r="M1108" s="205"/>
      <c r="N1108" s="205"/>
      <c r="O1108" s="205"/>
      <c r="P1108" s="205"/>
      <c r="Q1108" s="205"/>
      <c r="R1108" s="205"/>
      <c r="S1108" s="205"/>
      <c r="T1108" s="205"/>
      <c r="U1108" s="205"/>
      <c r="V1108" s="205"/>
      <c r="W1108" s="205"/>
      <c r="X1108" s="205"/>
      <c r="Y1108" s="205"/>
      <c r="Z1108" s="205"/>
      <c r="AA1108" s="120" t="s">
        <v>2622</v>
      </c>
      <c r="AB1108" s="5"/>
      <c r="AC1108" s="5"/>
      <c r="AD1108" s="5"/>
      <c r="AE1108" s="1">
        <v>45461</v>
      </c>
      <c r="AF1108" s="5" t="s">
        <v>2623</v>
      </c>
      <c r="AG1108" t="str">
        <f>VLOOKUP(OfficeForms.Table[[#This Row],[Nama Proyek]],'Nama Proyek'!$D$2:$G$40,4,0)</f>
        <v>-6.35008011,107.02324233</v>
      </c>
      <c r="AH1108" s="5"/>
      <c r="AI1108" s="5"/>
      <c r="AJ1108" s="5"/>
      <c r="AK1108" s="5" t="s">
        <v>2624</v>
      </c>
    </row>
    <row r="1109" spans="1:37" ht="198">
      <c r="A1109">
        <v>21</v>
      </c>
      <c r="B1109" s="163">
        <v>45469.438854166699</v>
      </c>
      <c r="C1109" s="27">
        <v>45469.438900462999</v>
      </c>
      <c r="D1109" s="5" t="s">
        <v>2546</v>
      </c>
      <c r="E1109" s="5" t="s">
        <v>85</v>
      </c>
      <c r="F1109" s="5" t="s">
        <v>85</v>
      </c>
      <c r="G1109" s="5" t="s">
        <v>2336</v>
      </c>
      <c r="H1109" s="204">
        <v>45466</v>
      </c>
      <c r="I1109" s="205">
        <v>3.0209999999999999</v>
      </c>
      <c r="J1109" s="205">
        <v>3.081</v>
      </c>
      <c r="K1109" s="205">
        <v>1.6819999999999999</v>
      </c>
      <c r="L1109" s="205">
        <v>0.11899999999999999</v>
      </c>
      <c r="M1109" s="205">
        <v>0</v>
      </c>
      <c r="N1109" s="205">
        <v>0.76200000000000001</v>
      </c>
      <c r="O1109" s="205">
        <v>8.0000000000000002E-3</v>
      </c>
      <c r="P1109" s="205">
        <v>0</v>
      </c>
      <c r="Q1109" s="205">
        <v>0</v>
      </c>
      <c r="R1109" s="205">
        <v>0</v>
      </c>
      <c r="S1109" s="205">
        <v>0</v>
      </c>
      <c r="T1109" s="205">
        <v>0.45</v>
      </c>
      <c r="U1109" s="205">
        <v>0</v>
      </c>
      <c r="V1109" s="205">
        <v>0</v>
      </c>
      <c r="W1109" s="205">
        <v>0</v>
      </c>
      <c r="X1109" s="205">
        <v>0</v>
      </c>
      <c r="Y1109" s="205">
        <v>0</v>
      </c>
      <c r="Z1109" s="205">
        <v>0</v>
      </c>
      <c r="AA1109" s="5" t="s">
        <v>2547</v>
      </c>
      <c r="AB1109" s="5" t="s">
        <v>2547</v>
      </c>
      <c r="AC1109" s="5" t="s">
        <v>2547</v>
      </c>
      <c r="AD1109" s="120" t="s">
        <v>2547</v>
      </c>
      <c r="AE1109" s="1">
        <v>45466</v>
      </c>
      <c r="AF1109" s="222" t="s">
        <v>2625</v>
      </c>
      <c r="AG1109" t="str">
        <f>VLOOKUP(OfficeForms.Table[[#This Row],[Nama Proyek]],'Nama Proyek'!$D$2:$G$40,4,0)</f>
        <v>-6.33533300,107.77576100</v>
      </c>
      <c r="AH1109" s="5"/>
      <c r="AI1109" s="5"/>
      <c r="AJ1109" s="5"/>
      <c r="AK1109" s="5" t="s">
        <v>2626</v>
      </c>
    </row>
    <row r="1110" spans="1:37">
      <c r="A1110">
        <v>22</v>
      </c>
      <c r="B1110" s="163">
        <v>45469.853726851899</v>
      </c>
      <c r="C1110" s="27">
        <v>45469.856388888897</v>
      </c>
      <c r="D1110" s="5" t="s">
        <v>2525</v>
      </c>
      <c r="E1110" s="5" t="s">
        <v>47</v>
      </c>
      <c r="F1110" s="5" t="s">
        <v>214</v>
      </c>
      <c r="G1110" s="5" t="s">
        <v>48</v>
      </c>
      <c r="H1110" s="204">
        <v>45469</v>
      </c>
      <c r="I1110" s="205">
        <v>100</v>
      </c>
      <c r="J1110" s="205">
        <v>100</v>
      </c>
      <c r="K1110" s="205">
        <v>3.25</v>
      </c>
      <c r="L1110" s="205">
        <v>1.18</v>
      </c>
      <c r="M1110" s="205">
        <v>92.77</v>
      </c>
      <c r="N1110" s="205"/>
      <c r="O1110" s="205"/>
      <c r="P1110" s="205"/>
      <c r="Q1110" s="205">
        <v>2.27</v>
      </c>
      <c r="R1110" s="205"/>
      <c r="S1110" s="205">
        <v>0.52</v>
      </c>
      <c r="T1110" s="205"/>
      <c r="U1110" s="205"/>
      <c r="V1110" s="205"/>
      <c r="W1110" s="205"/>
      <c r="X1110" s="205"/>
      <c r="Y1110" s="205"/>
      <c r="Z1110" s="205"/>
      <c r="AA1110" s="120" t="s">
        <v>2627</v>
      </c>
      <c r="AB1110" s="5"/>
      <c r="AC1110" s="5" t="s">
        <v>2628</v>
      </c>
      <c r="AD1110" s="5" t="s">
        <v>2628</v>
      </c>
      <c r="AE1110" s="1"/>
      <c r="AF1110" s="222"/>
      <c r="AG1110" t="str">
        <f>VLOOKUP(OfficeForms.Table[[#This Row],[Nama Proyek]],'Nama Proyek'!$D$2:$G$40,4,0)</f>
        <v>3.76047575,115.89977678</v>
      </c>
      <c r="AH1110" s="5"/>
      <c r="AI1110" s="5"/>
      <c r="AJ1110" s="5"/>
      <c r="AK1110" s="5" t="s">
        <v>2629</v>
      </c>
    </row>
    <row r="1111" spans="1:37">
      <c r="A1111">
        <v>23</v>
      </c>
      <c r="B1111" s="163">
        <v>45470.577824074098</v>
      </c>
      <c r="C1111" s="27">
        <v>45470.580381944397</v>
      </c>
      <c r="D1111" s="5" t="s">
        <v>2509</v>
      </c>
      <c r="E1111" s="5" t="s">
        <v>687</v>
      </c>
      <c r="F1111" s="5" t="s">
        <v>687</v>
      </c>
      <c r="G1111" s="5" t="s">
        <v>750</v>
      </c>
      <c r="H1111" s="204">
        <v>45470</v>
      </c>
      <c r="I1111" s="205">
        <v>83.570999999999998</v>
      </c>
      <c r="J1111" s="205">
        <v>83.497</v>
      </c>
      <c r="K1111" s="205"/>
      <c r="L1111" s="205"/>
      <c r="M1111" s="205"/>
      <c r="N1111" s="205"/>
      <c r="O1111" s="205"/>
      <c r="P1111" s="205"/>
      <c r="Q1111" s="205"/>
      <c r="R1111" s="205"/>
      <c r="S1111" s="205"/>
      <c r="T1111" s="205"/>
      <c r="U1111" s="205"/>
      <c r="V1111" s="205"/>
      <c r="W1111" s="205"/>
      <c r="X1111" s="205"/>
      <c r="Y1111" s="205"/>
      <c r="Z1111" s="205"/>
      <c r="AA1111" s="5" t="s">
        <v>2630</v>
      </c>
      <c r="AB1111" s="5" t="s">
        <v>2631</v>
      </c>
      <c r="AC1111" s="5" t="s">
        <v>2632</v>
      </c>
      <c r="AD1111" s="5" t="s">
        <v>2632</v>
      </c>
      <c r="AE1111" s="1"/>
      <c r="AF1111" s="206" t="s">
        <v>2297</v>
      </c>
      <c r="AG1111" t="str">
        <f>VLOOKUP(OfficeForms.Table[[#This Row],[Nama Proyek]],'Nama Proyek'!$D$2:$G$40,4,0)</f>
        <v>-1.10415341,116.73424356</v>
      </c>
      <c r="AH1111" s="5"/>
      <c r="AI1111" s="5"/>
      <c r="AJ1111" s="5"/>
      <c r="AK1111" s="5" t="s">
        <v>2633</v>
      </c>
    </row>
    <row r="1112" spans="1:37" ht="30.75">
      <c r="A1112">
        <v>24</v>
      </c>
      <c r="B1112" s="163">
        <v>45471.374340277798</v>
      </c>
      <c r="C1112" s="27">
        <v>45471.381851851896</v>
      </c>
      <c r="D1112" s="5" t="s">
        <v>2634</v>
      </c>
      <c r="E1112" s="5" t="s">
        <v>109</v>
      </c>
      <c r="F1112" s="5" t="s">
        <v>109</v>
      </c>
      <c r="G1112" s="5" t="s">
        <v>2267</v>
      </c>
      <c r="H1112" s="204">
        <v>45471</v>
      </c>
      <c r="I1112" s="205">
        <v>3.859</v>
      </c>
      <c r="J1112" s="205">
        <v>11.071</v>
      </c>
      <c r="K1112" s="205">
        <v>20.260000000000002</v>
      </c>
      <c r="L1112" s="205">
        <v>20.6</v>
      </c>
      <c r="M1112" s="205">
        <v>10.23</v>
      </c>
      <c r="N1112" s="205">
        <v>3</v>
      </c>
      <c r="O1112" s="205">
        <v>14.94</v>
      </c>
      <c r="P1112" s="205">
        <v>0</v>
      </c>
      <c r="Q1112" s="205">
        <v>0.6</v>
      </c>
      <c r="R1112" s="205">
        <v>0.46</v>
      </c>
      <c r="S1112" s="205">
        <v>0.27</v>
      </c>
      <c r="T1112" s="205">
        <v>4.46</v>
      </c>
      <c r="U1112" s="205">
        <v>0</v>
      </c>
      <c r="V1112" s="205">
        <v>0.09</v>
      </c>
      <c r="W1112" s="205">
        <v>0</v>
      </c>
      <c r="X1112" s="205">
        <v>0</v>
      </c>
      <c r="Y1112" s="205">
        <v>2.09</v>
      </c>
      <c r="Z1112" s="205">
        <v>0</v>
      </c>
      <c r="AA1112" s="5" t="s">
        <v>2635</v>
      </c>
      <c r="AB1112" s="120" t="s">
        <v>2636</v>
      </c>
      <c r="AC1112" s="5" t="s">
        <v>2637</v>
      </c>
      <c r="AD1112" s="5" t="s">
        <v>2638</v>
      </c>
      <c r="AE1112" s="1">
        <v>45471</v>
      </c>
      <c r="AF1112" s="206" t="s">
        <v>2639</v>
      </c>
      <c r="AG1112" t="str">
        <f>VLOOKUP(OfficeForms.Table[[#This Row],[Nama Proyek]],'Nama Proyek'!$D$2:$G$40,4,0)</f>
        <v>-6.88120502,106.78938277</v>
      </c>
      <c r="AH1112" s="5"/>
      <c r="AI1112" s="5"/>
      <c r="AJ1112" s="5"/>
      <c r="AK1112" s="5" t="s">
        <v>2640</v>
      </c>
    </row>
    <row r="1113" spans="1:37">
      <c r="A1113">
        <v>25</v>
      </c>
      <c r="B1113" s="163">
        <v>45474.464513888903</v>
      </c>
      <c r="C1113" s="27">
        <v>45474.4773726852</v>
      </c>
      <c r="D1113" s="5" t="s">
        <v>2522</v>
      </c>
      <c r="E1113" s="5" t="s">
        <v>1282</v>
      </c>
      <c r="F1113" s="5" t="s">
        <v>1282</v>
      </c>
      <c r="G1113" s="5" t="s">
        <v>989</v>
      </c>
      <c r="H1113" s="204">
        <v>45464</v>
      </c>
      <c r="I1113" s="205">
        <v>93.25</v>
      </c>
      <c r="J1113" s="205">
        <v>95.352000000000004</v>
      </c>
      <c r="K1113" s="205">
        <v>2.88</v>
      </c>
      <c r="L1113" s="205">
        <v>0.56999999999999995</v>
      </c>
      <c r="M1113" s="205">
        <v>0</v>
      </c>
      <c r="N1113" s="205">
        <v>22.35</v>
      </c>
      <c r="O1113" s="205">
        <v>0.1</v>
      </c>
      <c r="P1113" s="205">
        <v>1.87</v>
      </c>
      <c r="Q1113" s="205">
        <v>0.23</v>
      </c>
      <c r="R1113" s="205">
        <v>2.89</v>
      </c>
      <c r="S1113" s="205">
        <v>16.48</v>
      </c>
      <c r="T1113" s="205">
        <v>38.42</v>
      </c>
      <c r="U1113" s="205">
        <v>0</v>
      </c>
      <c r="V1113" s="205">
        <v>5.1100000000000003</v>
      </c>
      <c r="W1113" s="205">
        <v>1.21</v>
      </c>
      <c r="X1113" s="205">
        <v>0.47</v>
      </c>
      <c r="Y1113" s="205">
        <v>0</v>
      </c>
      <c r="Z1113" s="205">
        <v>0.68</v>
      </c>
      <c r="AA1113" s="5" t="s">
        <v>2641</v>
      </c>
      <c r="AB1113" s="120" t="s">
        <v>2642</v>
      </c>
      <c r="AC1113" s="5" t="s">
        <v>2643</v>
      </c>
      <c r="AD1113" s="120" t="s">
        <v>2644</v>
      </c>
      <c r="AE1113" s="1">
        <v>45468</v>
      </c>
      <c r="AF1113" s="206" t="s">
        <v>2645</v>
      </c>
      <c r="AG1113" t="str">
        <f>VLOOKUP(OfficeForms.Table[[#This Row],[Nama Proyek]],'Nama Proyek'!$D$2:$G$40,4,0)</f>
        <v>-1.98399270,103.7135193</v>
      </c>
      <c r="AH1113" s="5"/>
      <c r="AI1113" s="5"/>
      <c r="AJ1113" s="5"/>
      <c r="AK1113" s="5" t="s">
        <v>2646</v>
      </c>
    </row>
    <row r="1114" spans="1:37" ht="30.75">
      <c r="A1114">
        <v>26</v>
      </c>
      <c r="B1114" s="163">
        <v>45475.403344907398</v>
      </c>
      <c r="C1114" s="27">
        <v>45475.4152314815</v>
      </c>
      <c r="D1114" s="5" t="s">
        <v>2580</v>
      </c>
      <c r="E1114" s="5" t="s">
        <v>57</v>
      </c>
      <c r="F1114" s="5" t="s">
        <v>57</v>
      </c>
      <c r="G1114" s="5" t="s">
        <v>1484</v>
      </c>
      <c r="H1114" s="204">
        <v>45468</v>
      </c>
      <c r="I1114" s="205">
        <v>42.52</v>
      </c>
      <c r="J1114" s="205">
        <v>31.23</v>
      </c>
      <c r="K1114" s="205">
        <v>1.478</v>
      </c>
      <c r="L1114" s="205">
        <v>1.0189999999999999</v>
      </c>
      <c r="M1114" s="205">
        <v>17.872</v>
      </c>
      <c r="N1114" s="205"/>
      <c r="O1114" s="205"/>
      <c r="P1114" s="205"/>
      <c r="Q1114" s="205">
        <v>22.151</v>
      </c>
      <c r="R1114" s="205"/>
      <c r="S1114" s="205"/>
      <c r="T1114" s="205"/>
      <c r="U1114" s="205"/>
      <c r="V1114" s="205"/>
      <c r="W1114" s="205"/>
      <c r="X1114" s="205"/>
      <c r="Y1114" s="205"/>
      <c r="Z1114" s="205"/>
      <c r="AA1114" s="5" t="s">
        <v>2647</v>
      </c>
      <c r="AB1114" s="5" t="s">
        <v>2648</v>
      </c>
      <c r="AC1114" s="5"/>
      <c r="AD1114" s="5"/>
      <c r="AE1114" s="1">
        <v>45468</v>
      </c>
      <c r="AF1114" s="206" t="s">
        <v>2649</v>
      </c>
      <c r="AG1114" t="str">
        <f>VLOOKUP(OfficeForms.Table[[#This Row],[Nama Proyek]],'Nama Proyek'!$D$2:$G$40,4,0)</f>
        <v>-8.01003300,110.33312900</v>
      </c>
      <c r="AH1114" s="5"/>
      <c r="AI1114" s="5"/>
      <c r="AJ1114" s="5"/>
      <c r="AK1114" s="5" t="s">
        <v>2650</v>
      </c>
    </row>
    <row r="1115" spans="1:37">
      <c r="A1115">
        <v>27</v>
      </c>
      <c r="B1115" s="163">
        <v>45475.5640740741</v>
      </c>
      <c r="C1115" s="27">
        <v>45475.5713888889</v>
      </c>
      <c r="D1115" s="5" t="s">
        <v>2256</v>
      </c>
      <c r="E1115" s="5" t="s">
        <v>734</v>
      </c>
      <c r="F1115" s="5" t="s">
        <v>2088</v>
      </c>
      <c r="G1115" s="5" t="s">
        <v>735</v>
      </c>
      <c r="H1115" s="204">
        <v>45473</v>
      </c>
      <c r="I1115" s="205">
        <v>61.868000000000002</v>
      </c>
      <c r="J1115" s="205">
        <v>61.530999999999999</v>
      </c>
      <c r="K1115" s="205">
        <v>0.39200000000000002</v>
      </c>
      <c r="L1115" s="205">
        <v>2.2189999999999999</v>
      </c>
      <c r="M1115" s="205">
        <v>43.847000000000001</v>
      </c>
      <c r="N1115" s="205">
        <v>2.3849999999999998</v>
      </c>
      <c r="O1115" s="205">
        <v>0.93200000000000005</v>
      </c>
      <c r="P1115" s="205">
        <v>4.6210000000000004</v>
      </c>
      <c r="Q1115" s="205">
        <v>0.75700000000000001</v>
      </c>
      <c r="R1115" s="205"/>
      <c r="S1115" s="205"/>
      <c r="T1115" s="205"/>
      <c r="U1115" s="205"/>
      <c r="V1115" s="205"/>
      <c r="W1115" s="205"/>
      <c r="X1115" s="205"/>
      <c r="Y1115" s="205"/>
      <c r="Z1115" s="205"/>
      <c r="AA1115" s="5" t="s">
        <v>2651</v>
      </c>
      <c r="AB1115" s="5" t="s">
        <v>2652</v>
      </c>
      <c r="AC1115" s="5" t="s">
        <v>2653</v>
      </c>
      <c r="AD1115" s="120" t="s">
        <v>2654</v>
      </c>
      <c r="AE1115" s="1">
        <v>45473</v>
      </c>
      <c r="AF1115" s="206" t="s">
        <v>2655</v>
      </c>
      <c r="AG1115" t="str">
        <f>VLOOKUP(OfficeForms.Table[[#This Row],[Nama Proyek]],'Nama Proyek'!$D$2:$G$40,4,0)</f>
        <v>-0.88562397,119.85928375</v>
      </c>
      <c r="AH1115" s="5"/>
      <c r="AI1115" s="5"/>
      <c r="AJ1115" s="5"/>
      <c r="AK1115" s="5" t="s">
        <v>2656</v>
      </c>
    </row>
    <row r="1116" spans="1:37" ht="167.25">
      <c r="A1116">
        <v>28</v>
      </c>
      <c r="B1116" s="163">
        <v>45476.402314814797</v>
      </c>
      <c r="C1116" s="27">
        <v>45476.4071527778</v>
      </c>
      <c r="D1116" s="5" t="s">
        <v>2600</v>
      </c>
      <c r="E1116" s="5" t="s">
        <v>855</v>
      </c>
      <c r="F1116" s="5" t="s">
        <v>855</v>
      </c>
      <c r="G1116" s="5" t="s">
        <v>2601</v>
      </c>
      <c r="H1116" s="204">
        <v>45473</v>
      </c>
      <c r="I1116" s="205">
        <v>13.302</v>
      </c>
      <c r="J1116" s="205">
        <v>12.295</v>
      </c>
      <c r="K1116" s="205">
        <v>0.58299999999999996</v>
      </c>
      <c r="L1116" s="205">
        <v>0</v>
      </c>
      <c r="M1116" s="205">
        <v>0.63900000000000001</v>
      </c>
      <c r="N1116" s="205"/>
      <c r="O1116" s="205">
        <v>0</v>
      </c>
      <c r="P1116" s="205">
        <v>0</v>
      </c>
      <c r="Q1116" s="205">
        <v>12.08</v>
      </c>
      <c r="R1116" s="205"/>
      <c r="S1116" s="205">
        <v>0</v>
      </c>
      <c r="T1116" s="205"/>
      <c r="U1116" s="205"/>
      <c r="V1116" s="205"/>
      <c r="W1116" s="205"/>
      <c r="X1116" s="205"/>
      <c r="Y1116" s="205"/>
      <c r="Z1116" s="205"/>
      <c r="AA1116" s="120" t="s">
        <v>2657</v>
      </c>
      <c r="AB1116" s="120" t="s">
        <v>2658</v>
      </c>
      <c r="AC1116" s="120" t="s">
        <v>2659</v>
      </c>
      <c r="AD1116" s="5"/>
      <c r="AE1116" s="1">
        <v>45473</v>
      </c>
      <c r="AF1116" s="206" t="s">
        <v>2660</v>
      </c>
      <c r="AG1116" t="str">
        <f>VLOOKUP(OfficeForms.Table[[#This Row],[Nama Proyek]],'Nama Proyek'!$D$2:$G$40,4,0)</f>
        <v>-1.13731907,116.79020552</v>
      </c>
      <c r="AH1116" s="5"/>
      <c r="AI1116" s="5"/>
      <c r="AJ1116" s="5"/>
      <c r="AK1116" s="5" t="s">
        <v>2661</v>
      </c>
    </row>
    <row r="1117" spans="1:37" ht="30.75">
      <c r="A1117">
        <v>29</v>
      </c>
      <c r="B1117" s="163">
        <v>45477.456041666701</v>
      </c>
      <c r="C1117" s="27">
        <v>45477.516284722202</v>
      </c>
      <c r="D1117" s="5" t="s">
        <v>2662</v>
      </c>
      <c r="E1117" s="5" t="s">
        <v>998</v>
      </c>
      <c r="F1117" s="5" t="s">
        <v>998</v>
      </c>
      <c r="G1117" s="5" t="s">
        <v>2663</v>
      </c>
      <c r="H1117" s="204">
        <v>45473</v>
      </c>
      <c r="I1117" s="205">
        <v>27.818999999999999</v>
      </c>
      <c r="J1117" s="205">
        <v>24.24</v>
      </c>
      <c r="K1117" s="205">
        <v>1.89</v>
      </c>
      <c r="L1117" s="205">
        <v>0.34300000000000003</v>
      </c>
      <c r="M1117" s="205">
        <v>9.75</v>
      </c>
      <c r="N1117" s="205">
        <v>0</v>
      </c>
      <c r="O1117" s="205">
        <v>7.0000000000000007E-2</v>
      </c>
      <c r="P1117" s="205">
        <v>0</v>
      </c>
      <c r="Q1117" s="205">
        <v>15.765000000000001</v>
      </c>
      <c r="R1117" s="205">
        <v>0</v>
      </c>
      <c r="S1117" s="205">
        <v>0</v>
      </c>
      <c r="T1117" s="205"/>
      <c r="U1117" s="205"/>
      <c r="V1117" s="205"/>
      <c r="W1117" s="205"/>
      <c r="X1117" s="205"/>
      <c r="Y1117" s="205"/>
      <c r="Z1117" s="205"/>
      <c r="AA1117" s="120" t="s">
        <v>2664</v>
      </c>
      <c r="AB1117" s="5" t="s">
        <v>2665</v>
      </c>
      <c r="AC1117" s="5" t="s">
        <v>2666</v>
      </c>
      <c r="AD1117" s="5"/>
      <c r="AE1117" s="1">
        <v>45473</v>
      </c>
      <c r="AF1117" s="206" t="s">
        <v>2667</v>
      </c>
      <c r="AG1117" t="str">
        <f>VLOOKUP(OfficeForms.Table[[#This Row],[Nama Proyek]],'Nama Proyek'!$D$2:$G$40,4,0)</f>
        <v>-1.15205556,116.69316667</v>
      </c>
      <c r="AH1117" s="5"/>
      <c r="AI1117" s="5"/>
      <c r="AJ1117" s="5"/>
      <c r="AK1117" s="5" t="s">
        <v>2668</v>
      </c>
    </row>
    <row r="1118" spans="1:37" ht="76.5">
      <c r="A1118" s="50">
        <v>31</v>
      </c>
      <c r="B1118" s="109">
        <v>45499.4243055556</v>
      </c>
      <c r="C1118" s="85">
        <v>45499.441539351901</v>
      </c>
      <c r="D1118" s="64" t="s">
        <v>2634</v>
      </c>
      <c r="E1118" s="64" t="s">
        <v>109</v>
      </c>
      <c r="F1118" s="5" t="s">
        <v>109</v>
      </c>
      <c r="G1118" s="64" t="s">
        <v>2267</v>
      </c>
      <c r="H1118" s="99">
        <v>45499</v>
      </c>
      <c r="I1118" s="91">
        <v>6.1980000000000004</v>
      </c>
      <c r="J1118" s="91">
        <v>7.9770000000000003</v>
      </c>
      <c r="K1118" s="91">
        <v>45.3</v>
      </c>
      <c r="L1118" s="91">
        <v>54.13</v>
      </c>
      <c r="M1118" s="91">
        <v>21.33</v>
      </c>
      <c r="N1118" s="91">
        <v>5.44</v>
      </c>
      <c r="O1118" s="91">
        <v>17.23</v>
      </c>
      <c r="P1118" s="91">
        <v>0.39</v>
      </c>
      <c r="Q1118" s="91">
        <v>3.41</v>
      </c>
      <c r="R1118" s="91">
        <v>0.37</v>
      </c>
      <c r="S1118" s="91">
        <v>0.28000000000000003</v>
      </c>
      <c r="T1118" s="91">
        <v>5.61</v>
      </c>
      <c r="U1118" s="91">
        <v>0</v>
      </c>
      <c r="V1118" s="91">
        <v>0.09</v>
      </c>
      <c r="W1118" s="91">
        <v>0</v>
      </c>
      <c r="X1118" s="91">
        <v>0</v>
      </c>
      <c r="Y1118" s="91">
        <v>2.09</v>
      </c>
      <c r="Z1118" s="91">
        <v>0</v>
      </c>
      <c r="AA1118" s="88" t="s">
        <v>2669</v>
      </c>
      <c r="AB1118" s="88" t="s">
        <v>2670</v>
      </c>
      <c r="AC1118" s="88" t="s">
        <v>2671</v>
      </c>
      <c r="AD1118" s="88" t="s">
        <v>2671</v>
      </c>
      <c r="AE1118" s="87">
        <v>45499</v>
      </c>
      <c r="AF1118" s="89" t="s">
        <v>2672</v>
      </c>
      <c r="AG1118" t="str">
        <f>VLOOKUP(OfficeForms.Table[[#This Row],[Nama Proyek]],'Nama Proyek'!$D$2:$G$40,4,0)</f>
        <v>-6.88120502,106.78938277</v>
      </c>
      <c r="AH1118" s="5"/>
      <c r="AI1118" s="5"/>
      <c r="AJ1118" s="5"/>
      <c r="AK1118" s="5" t="s">
        <v>2673</v>
      </c>
    </row>
    <row r="1119" spans="1:37">
      <c r="A1119" s="50">
        <v>32</v>
      </c>
      <c r="B1119" s="109">
        <v>45499.8030671296</v>
      </c>
      <c r="C1119" s="85">
        <v>45499.809907407398</v>
      </c>
      <c r="D1119" s="64" t="s">
        <v>2546</v>
      </c>
      <c r="E1119" s="64" t="s">
        <v>85</v>
      </c>
      <c r="F1119" s="5" t="s">
        <v>2421</v>
      </c>
      <c r="G1119" s="64" t="s">
        <v>2336</v>
      </c>
      <c r="H1119" s="99">
        <v>45487</v>
      </c>
      <c r="I1119" s="91">
        <v>4.8449999999999998</v>
      </c>
      <c r="J1119" s="91">
        <v>5.5430000000000001</v>
      </c>
      <c r="K1119" s="91">
        <v>1.837</v>
      </c>
      <c r="L1119" s="91">
        <v>0.11899999999999999</v>
      </c>
      <c r="M1119" s="91">
        <v>0</v>
      </c>
      <c r="N1119" s="91">
        <v>2.2810000000000001</v>
      </c>
      <c r="O1119" s="91">
        <v>1.2E-2</v>
      </c>
      <c r="P1119" s="91">
        <v>0</v>
      </c>
      <c r="Q1119" s="91">
        <v>0</v>
      </c>
      <c r="R1119" s="91">
        <v>0</v>
      </c>
      <c r="S1119" s="91">
        <v>0</v>
      </c>
      <c r="T1119" s="91">
        <v>0.59499999999999997</v>
      </c>
      <c r="U1119" s="91">
        <v>0</v>
      </c>
      <c r="V1119" s="91">
        <v>0</v>
      </c>
      <c r="W1119" s="91">
        <v>0</v>
      </c>
      <c r="X1119" s="91">
        <v>0</v>
      </c>
      <c r="Y1119" s="91">
        <v>0</v>
      </c>
      <c r="Z1119" s="91">
        <v>0</v>
      </c>
      <c r="AA1119" s="88" t="s">
        <v>2547</v>
      </c>
      <c r="AB1119" s="88" t="s">
        <v>2547</v>
      </c>
      <c r="AC1119" s="88" t="s">
        <v>2362</v>
      </c>
      <c r="AD1119" s="88" t="s">
        <v>2362</v>
      </c>
      <c r="AE1119" s="87">
        <v>45487</v>
      </c>
      <c r="AF1119" s="133" t="s">
        <v>2297</v>
      </c>
      <c r="AG1119" t="str">
        <f>VLOOKUP(OfficeForms.Table[[#This Row],[Nama Proyek]],'Nama Proyek'!$D$2:$G$40,4,0)</f>
        <v>-6.33533300,107.77576100</v>
      </c>
      <c r="AH1119" s="5"/>
      <c r="AI1119" s="5"/>
      <c r="AJ1119" s="5"/>
      <c r="AK1119" s="5" t="s">
        <v>2674</v>
      </c>
    </row>
    <row r="1120" spans="1:37">
      <c r="A1120" s="50">
        <v>33</v>
      </c>
      <c r="B1120" s="109">
        <v>45500.933912036999</v>
      </c>
      <c r="C1120" s="85">
        <v>45500.971782407403</v>
      </c>
      <c r="D1120" s="64" t="s">
        <v>2562</v>
      </c>
      <c r="E1120" s="64" t="s">
        <v>2563</v>
      </c>
      <c r="F1120" s="5" t="s">
        <v>2289</v>
      </c>
      <c r="G1120" s="64" t="s">
        <v>2290</v>
      </c>
      <c r="H1120" s="99">
        <v>45500</v>
      </c>
      <c r="I1120" s="91">
        <v>60.66</v>
      </c>
      <c r="J1120" s="91">
        <v>49.581000000000003</v>
      </c>
      <c r="K1120" s="91">
        <v>0.27200000000000002</v>
      </c>
      <c r="L1120" s="91">
        <v>0</v>
      </c>
      <c r="M1120" s="91">
        <v>32.213999999999999</v>
      </c>
      <c r="N1120" s="91">
        <v>0</v>
      </c>
      <c r="O1120" s="91">
        <v>0.14699999999999999</v>
      </c>
      <c r="P1120" s="91">
        <v>0.29899999999999999</v>
      </c>
      <c r="Q1120" s="91">
        <v>27.379000000000001</v>
      </c>
      <c r="R1120" s="91">
        <v>0</v>
      </c>
      <c r="S1120" s="91">
        <v>0.214</v>
      </c>
      <c r="T1120" s="91">
        <v>9.6000000000000002E-2</v>
      </c>
      <c r="U1120" s="91">
        <v>0</v>
      </c>
      <c r="V1120" s="91">
        <v>0</v>
      </c>
      <c r="W1120" s="91">
        <v>0</v>
      </c>
      <c r="X1120" s="91">
        <v>0</v>
      </c>
      <c r="Y1120" s="91">
        <v>0</v>
      </c>
      <c r="Z1120" s="91">
        <v>0</v>
      </c>
      <c r="AA1120" s="88" t="s">
        <v>2675</v>
      </c>
      <c r="AB1120" s="88" t="s">
        <v>2676</v>
      </c>
      <c r="AC1120" s="88"/>
      <c r="AD1120" s="88"/>
      <c r="AE1120" s="87"/>
      <c r="AF1120" s="89"/>
      <c r="AG1120" t="str">
        <f>VLOOKUP(OfficeForms.Table[[#This Row],[Nama Proyek]],'Nama Proyek'!$D$2:$G$40,4,0)</f>
        <v>-0.99046214,116.69024762</v>
      </c>
      <c r="AH1120" s="5"/>
      <c r="AI1120" s="5"/>
      <c r="AJ1120" s="5"/>
      <c r="AK1120" s="5" t="s">
        <v>2677</v>
      </c>
    </row>
    <row r="1121" spans="1:38">
      <c r="A1121" s="50">
        <v>34</v>
      </c>
      <c r="B1121" s="109">
        <v>45502.371921296297</v>
      </c>
      <c r="C1121" s="85">
        <v>45502.471400463</v>
      </c>
      <c r="D1121" s="64" t="s">
        <v>2662</v>
      </c>
      <c r="E1121" s="64" t="s">
        <v>998</v>
      </c>
      <c r="F1121" s="5" t="s">
        <v>998</v>
      </c>
      <c r="G1121" s="64" t="s">
        <v>2663</v>
      </c>
      <c r="H1121" s="99">
        <v>45502</v>
      </c>
      <c r="I1121" s="91">
        <v>44.145000000000003</v>
      </c>
      <c r="J1121" s="91">
        <v>42.56</v>
      </c>
      <c r="K1121" s="91">
        <v>1.905</v>
      </c>
      <c r="L1121" s="91">
        <v>0.51700000000000002</v>
      </c>
      <c r="M1121" s="91">
        <v>12.352</v>
      </c>
      <c r="N1121" s="91">
        <v>0</v>
      </c>
      <c r="O1121" s="91">
        <v>1.542</v>
      </c>
      <c r="P1121" s="91">
        <v>0.05</v>
      </c>
      <c r="Q1121" s="91">
        <v>27.78</v>
      </c>
      <c r="R1121" s="91"/>
      <c r="S1121" s="91"/>
      <c r="T1121" s="91"/>
      <c r="U1121" s="91"/>
      <c r="V1121" s="91"/>
      <c r="W1121" s="91"/>
      <c r="X1121" s="91"/>
      <c r="Y1121" s="91"/>
      <c r="Z1121" s="91"/>
      <c r="AA1121" s="88" t="s">
        <v>2678</v>
      </c>
      <c r="AB1121" s="88" t="s">
        <v>2679</v>
      </c>
      <c r="AC1121" s="88" t="s">
        <v>2680</v>
      </c>
      <c r="AD1121" s="88" t="s">
        <v>2681</v>
      </c>
      <c r="AE1121" s="87">
        <v>45502</v>
      </c>
      <c r="AF1121" s="89"/>
      <c r="AG1121" t="str">
        <f>VLOOKUP(OfficeForms.Table[[#This Row],[Nama Proyek]],'Nama Proyek'!$D$2:$G$40,4,0)</f>
        <v>-1.15205556,116.69316667</v>
      </c>
      <c r="AH1121" s="5"/>
      <c r="AI1121" s="5"/>
      <c r="AJ1121" s="5"/>
      <c r="AK1121" s="5" t="s">
        <v>2682</v>
      </c>
    </row>
    <row r="1122" spans="1:38">
      <c r="A1122" s="50">
        <v>35</v>
      </c>
      <c r="B1122" s="109">
        <v>45502.493587962999</v>
      </c>
      <c r="C1122" s="85">
        <v>45502.518854166701</v>
      </c>
      <c r="D1122" s="64" t="s">
        <v>2509</v>
      </c>
      <c r="E1122" s="64" t="s">
        <v>687</v>
      </c>
      <c r="F1122" s="5" t="s">
        <v>687</v>
      </c>
      <c r="G1122" s="64" t="s">
        <v>750</v>
      </c>
      <c r="H1122" s="99">
        <v>45502</v>
      </c>
      <c r="I1122" s="91">
        <v>89.754999999999995</v>
      </c>
      <c r="J1122" s="91">
        <v>88.301000000000002</v>
      </c>
      <c r="K1122" s="91"/>
      <c r="L1122" s="91"/>
      <c r="M1122" s="91"/>
      <c r="N1122" s="91"/>
      <c r="O1122" s="91"/>
      <c r="P1122" s="91"/>
      <c r="Q1122" s="91"/>
      <c r="R1122" s="91"/>
      <c r="S1122" s="91"/>
      <c r="T1122" s="91"/>
      <c r="U1122" s="91"/>
      <c r="V1122" s="91"/>
      <c r="W1122" s="91"/>
      <c r="X1122" s="91"/>
      <c r="Y1122" s="91"/>
      <c r="Z1122" s="91"/>
      <c r="AA1122" s="88" t="s">
        <v>2683</v>
      </c>
      <c r="AB1122" s="88" t="s">
        <v>2684</v>
      </c>
      <c r="AC1122" s="88" t="s">
        <v>2685</v>
      </c>
      <c r="AD1122" s="88" t="s">
        <v>2685</v>
      </c>
      <c r="AE1122" s="87"/>
      <c r="AF1122" s="133" t="s">
        <v>2297</v>
      </c>
      <c r="AG1122" t="str">
        <f>VLOOKUP(OfficeForms.Table[[#This Row],[Nama Proyek]],'Nama Proyek'!$D$2:$G$40,4,0)</f>
        <v>-1.10415341,116.73424356</v>
      </c>
      <c r="AH1122" s="5"/>
      <c r="AI1122" s="5"/>
      <c r="AJ1122" s="5"/>
      <c r="AK1122" s="5" t="s">
        <v>2686</v>
      </c>
    </row>
    <row r="1123" spans="1:38">
      <c r="A1123" s="50">
        <v>36</v>
      </c>
      <c r="B1123" s="109">
        <v>45503.685324074097</v>
      </c>
      <c r="C1123" s="85">
        <v>45503.694803240702</v>
      </c>
      <c r="D1123" s="64" t="s">
        <v>2256</v>
      </c>
      <c r="E1123" s="64" t="s">
        <v>734</v>
      </c>
      <c r="F1123" s="5" t="s">
        <v>734</v>
      </c>
      <c r="G1123" s="64" t="s">
        <v>735</v>
      </c>
      <c r="H1123" s="99">
        <v>45504</v>
      </c>
      <c r="I1123" s="91">
        <v>63.981000000000002</v>
      </c>
      <c r="J1123" s="91">
        <v>63.046999999999997</v>
      </c>
      <c r="K1123" s="91">
        <v>0.39200000000000002</v>
      </c>
      <c r="L1123" s="91">
        <v>2.2189999999999999</v>
      </c>
      <c r="M1123" s="91">
        <v>44.036000000000001</v>
      </c>
      <c r="N1123" s="91">
        <v>4.5090000000000003</v>
      </c>
      <c r="O1123" s="91">
        <v>0.93200000000000005</v>
      </c>
      <c r="P1123" s="91">
        <v>4.6210000000000004</v>
      </c>
      <c r="Q1123" s="91">
        <v>0.76300000000000001</v>
      </c>
      <c r="R1123" s="91"/>
      <c r="S1123" s="91"/>
      <c r="T1123" s="91"/>
      <c r="U1123" s="91"/>
      <c r="V1123" s="91"/>
      <c r="W1123" s="91"/>
      <c r="X1123" s="91"/>
      <c r="Y1123" s="91"/>
      <c r="Z1123" s="91"/>
      <c r="AA1123" s="88" t="s">
        <v>2687</v>
      </c>
      <c r="AB1123" s="88" t="s">
        <v>2688</v>
      </c>
      <c r="AC1123" s="88"/>
      <c r="AD1123" s="88"/>
      <c r="AE1123" s="87">
        <v>45504</v>
      </c>
      <c r="AF1123" s="133" t="s">
        <v>2689</v>
      </c>
      <c r="AG1123" t="str">
        <f>VLOOKUP(OfficeForms.Table[[#This Row],[Nama Proyek]],'Nama Proyek'!$D$2:$G$40,4,0)</f>
        <v>-0.88562397,119.85928375</v>
      </c>
      <c r="AH1123" s="5"/>
      <c r="AI1123" s="5"/>
      <c r="AJ1123" s="5"/>
      <c r="AK1123" s="5" t="s">
        <v>2690</v>
      </c>
    </row>
    <row r="1124" spans="1:38">
      <c r="A1124">
        <v>37</v>
      </c>
      <c r="B1124" s="109">
        <v>45504.659490740698</v>
      </c>
      <c r="C1124" s="85">
        <v>45504.660937499997</v>
      </c>
      <c r="D1124" s="64" t="s">
        <v>2515</v>
      </c>
      <c r="E1124" s="64" t="s">
        <v>64</v>
      </c>
      <c r="F1124" s="5" t="s">
        <v>64</v>
      </c>
      <c r="G1124" s="86" t="s">
        <v>65</v>
      </c>
      <c r="H1124" s="100">
        <v>45501</v>
      </c>
      <c r="I1124" s="91">
        <v>100</v>
      </c>
      <c r="J1124" s="91">
        <v>100</v>
      </c>
      <c r="K1124" s="91">
        <v>100</v>
      </c>
      <c r="L1124" s="91">
        <v>100</v>
      </c>
      <c r="M1124" s="91">
        <v>100</v>
      </c>
      <c r="N1124" s="91">
        <v>100</v>
      </c>
      <c r="O1124" s="91">
        <v>100</v>
      </c>
      <c r="P1124" s="91">
        <v>100</v>
      </c>
      <c r="Q1124" s="91">
        <v>100</v>
      </c>
      <c r="R1124" s="91">
        <v>100</v>
      </c>
      <c r="S1124" s="91">
        <v>100</v>
      </c>
      <c r="T1124" s="91">
        <v>100</v>
      </c>
      <c r="U1124" s="91">
        <v>100</v>
      </c>
      <c r="V1124" s="91">
        <v>100</v>
      </c>
      <c r="W1124" s="91">
        <v>100</v>
      </c>
      <c r="X1124" s="91"/>
      <c r="Y1124" s="91">
        <v>100</v>
      </c>
      <c r="Z1124" s="91">
        <v>100</v>
      </c>
      <c r="AA1124" s="88" t="s">
        <v>2691</v>
      </c>
      <c r="AB1124" s="64"/>
      <c r="AC1124" s="64"/>
      <c r="AD1124" s="64"/>
      <c r="AE1124" s="87">
        <v>45504</v>
      </c>
      <c r="AF1124" s="185" t="s">
        <v>2692</v>
      </c>
      <c r="AG1124" t="str">
        <f>VLOOKUP(OfficeForms.Table[[#This Row],[Nama Proyek]],'Nama Proyek'!$D$2:$G$40,4,0)</f>
        <v>-6.35008011,107.02324233</v>
      </c>
      <c r="AH1124" s="5"/>
      <c r="AI1124" s="5"/>
      <c r="AJ1124" s="5"/>
      <c r="AK1124" s="5" t="s">
        <v>2693</v>
      </c>
    </row>
    <row r="1125" spans="1:38">
      <c r="A1125">
        <v>39</v>
      </c>
      <c r="B1125" s="109">
        <v>45504.675914351901</v>
      </c>
      <c r="C1125" s="85">
        <v>45504.706770833298</v>
      </c>
      <c r="D1125" s="64" t="s">
        <v>2522</v>
      </c>
      <c r="E1125" s="64" t="s">
        <v>1282</v>
      </c>
      <c r="F1125" s="5" t="s">
        <v>1282</v>
      </c>
      <c r="G1125" s="19" t="s">
        <v>989</v>
      </c>
      <c r="H1125" s="100">
        <v>45501</v>
      </c>
      <c r="I1125" s="91">
        <v>96.451999999999998</v>
      </c>
      <c r="J1125" s="91">
        <v>96.986999999999995</v>
      </c>
      <c r="K1125" s="91">
        <v>2.91</v>
      </c>
      <c r="L1125" s="91">
        <v>0.56999999999999995</v>
      </c>
      <c r="M1125" s="91">
        <v>0</v>
      </c>
      <c r="N1125" s="91">
        <v>22.52</v>
      </c>
      <c r="O1125" s="91">
        <v>0.1</v>
      </c>
      <c r="P1125" s="91">
        <v>2.2000000000000002</v>
      </c>
      <c r="Q1125" s="91">
        <v>0.23</v>
      </c>
      <c r="R1125" s="91">
        <v>2.89</v>
      </c>
      <c r="S1125" s="91">
        <v>17.68</v>
      </c>
      <c r="T1125" s="91">
        <v>38.72</v>
      </c>
      <c r="U1125" s="91">
        <v>0</v>
      </c>
      <c r="V1125" s="91">
        <v>5.55</v>
      </c>
      <c r="W1125" s="91">
        <v>1.81</v>
      </c>
      <c r="X1125" s="91">
        <v>0.47</v>
      </c>
      <c r="Y1125" s="91">
        <v>0</v>
      </c>
      <c r="Z1125" s="91">
        <v>0.82</v>
      </c>
      <c r="AA1125" s="64"/>
      <c r="AB1125" s="64"/>
      <c r="AC1125" s="64"/>
      <c r="AD1125" s="64"/>
      <c r="AE1125" s="87">
        <v>45501</v>
      </c>
      <c r="AF1125" s="185" t="s">
        <v>2694</v>
      </c>
      <c r="AG1125" t="str">
        <f>VLOOKUP(OfficeForms.Table[[#This Row],[Nama Proyek]],'Nama Proyek'!$D$2:$G$40,4,0)</f>
        <v>-1.98399270,103.7135193</v>
      </c>
      <c r="AH1125" s="5"/>
      <c r="AI1125" s="5"/>
      <c r="AJ1125" s="5"/>
      <c r="AK1125" s="5" t="s">
        <v>2695</v>
      </c>
      <c r="AL1125" s="5"/>
    </row>
    <row r="1126" spans="1:38">
      <c r="A1126">
        <v>38</v>
      </c>
      <c r="B1126" s="109">
        <v>45504.697256944397</v>
      </c>
      <c r="C1126" s="85">
        <v>45504.698113425897</v>
      </c>
      <c r="D1126" s="64" t="s">
        <v>2256</v>
      </c>
      <c r="E1126" s="64" t="s">
        <v>734</v>
      </c>
      <c r="F1126" s="5" t="s">
        <v>734</v>
      </c>
      <c r="G1126" s="86" t="s">
        <v>735</v>
      </c>
      <c r="H1126" s="100">
        <v>45504</v>
      </c>
      <c r="I1126" s="91">
        <v>63.981000000000002</v>
      </c>
      <c r="J1126" s="91">
        <v>63.046999999999997</v>
      </c>
      <c r="K1126" s="91"/>
      <c r="L1126" s="91"/>
      <c r="M1126" s="91"/>
      <c r="N1126" s="91"/>
      <c r="O1126" s="91"/>
      <c r="P1126" s="91"/>
      <c r="Q1126" s="91"/>
      <c r="R1126" s="91"/>
      <c r="S1126" s="91"/>
      <c r="T1126" s="91"/>
      <c r="U1126" s="91"/>
      <c r="V1126" s="91"/>
      <c r="W1126" s="91"/>
      <c r="X1126" s="91"/>
      <c r="Y1126" s="91"/>
      <c r="Z1126" s="91"/>
      <c r="AA1126" s="64"/>
      <c r="AB1126" s="64"/>
      <c r="AC1126" s="64" t="s">
        <v>2696</v>
      </c>
      <c r="AD1126" s="64"/>
      <c r="AE1126" s="87"/>
      <c r="AF1126" s="185"/>
      <c r="AG1126" t="str">
        <f>VLOOKUP(OfficeForms.Table[[#This Row],[Nama Proyek]],'Nama Proyek'!$D$2:$G$40,4,0)</f>
        <v>-0.88562397,119.85928375</v>
      </c>
      <c r="AH1126" s="5"/>
      <c r="AI1126" s="5"/>
      <c r="AJ1126" s="5"/>
      <c r="AK1126" s="5" t="s">
        <v>2697</v>
      </c>
    </row>
    <row r="1127" spans="1:38" ht="30.75">
      <c r="A1127">
        <v>40</v>
      </c>
      <c r="B1127" s="109">
        <v>45505.415416666699</v>
      </c>
      <c r="C1127" s="85">
        <v>45505.418321759302</v>
      </c>
      <c r="D1127" s="64" t="s">
        <v>2580</v>
      </c>
      <c r="E1127" s="64" t="s">
        <v>57</v>
      </c>
      <c r="F1127" s="5" t="s">
        <v>57</v>
      </c>
      <c r="G1127" s="86" t="s">
        <v>1484</v>
      </c>
      <c r="H1127" s="100">
        <v>45498</v>
      </c>
      <c r="I1127" s="91">
        <v>50.832999999999998</v>
      </c>
      <c r="J1127" s="91">
        <v>36.79</v>
      </c>
      <c r="K1127" s="91">
        <v>1.478</v>
      </c>
      <c r="L1127" s="91">
        <v>1.0189999999999999</v>
      </c>
      <c r="M1127" s="91">
        <v>17.872</v>
      </c>
      <c r="N1127" s="91"/>
      <c r="O1127" s="91"/>
      <c r="P1127" s="91"/>
      <c r="Q1127" s="91">
        <v>30.513999999999999</v>
      </c>
      <c r="R1127" s="91"/>
      <c r="S1127" s="91"/>
      <c r="T1127" s="91"/>
      <c r="U1127" s="91"/>
      <c r="V1127" s="91"/>
      <c r="W1127" s="91"/>
      <c r="X1127" s="91"/>
      <c r="Y1127" s="91"/>
      <c r="Z1127" s="91"/>
      <c r="AA1127" s="64" t="s">
        <v>2698</v>
      </c>
      <c r="AB1127" s="88" t="s">
        <v>2699</v>
      </c>
      <c r="AC1127" s="88" t="s">
        <v>2700</v>
      </c>
      <c r="AD1127" s="64" t="s">
        <v>2700</v>
      </c>
      <c r="AE1127" s="87">
        <v>45498</v>
      </c>
      <c r="AF1127" s="213" t="s">
        <v>2701</v>
      </c>
      <c r="AG1127" t="str">
        <f>VLOOKUP(OfficeForms.Table[[#This Row],[Nama Proyek]],'Nama Proyek'!$D$2:$G$40,4,0)</f>
        <v>-8.01003300,110.33312900</v>
      </c>
      <c r="AH1127" s="5"/>
      <c r="AI1127" s="5"/>
      <c r="AJ1127" s="5"/>
      <c r="AK1127" s="5" t="s">
        <v>2702</v>
      </c>
    </row>
    <row r="1128" spans="1:38">
      <c r="A1128">
        <v>41</v>
      </c>
      <c r="B1128" s="109">
        <v>45506.388993055603</v>
      </c>
      <c r="C1128" s="85">
        <v>45506.402013888903</v>
      </c>
      <c r="D1128" s="64" t="s">
        <v>2703</v>
      </c>
      <c r="E1128" s="64" t="s">
        <v>2704</v>
      </c>
      <c r="F1128" s="5" t="s">
        <v>2214</v>
      </c>
      <c r="G1128" s="86" t="s">
        <v>1315</v>
      </c>
      <c r="H1128" s="100">
        <v>45504</v>
      </c>
      <c r="I1128" s="91">
        <v>71.927999999999997</v>
      </c>
      <c r="J1128" s="91">
        <v>75.453000000000003</v>
      </c>
      <c r="K1128" s="91">
        <v>4.9379999999999997</v>
      </c>
      <c r="L1128" s="91">
        <v>0.91400000000000003</v>
      </c>
      <c r="M1128" s="91">
        <v>0.188</v>
      </c>
      <c r="N1128" s="91">
        <v>35.418999999999997</v>
      </c>
      <c r="O1128" s="91">
        <v>0.94099999999999995</v>
      </c>
      <c r="P1128" s="91">
        <v>3.141</v>
      </c>
      <c r="Q1128" s="91">
        <v>0.11</v>
      </c>
      <c r="R1128" s="91">
        <v>1.3220000000000001</v>
      </c>
      <c r="S1128" s="91">
        <v>8.44</v>
      </c>
      <c r="T1128" s="91">
        <v>10.711</v>
      </c>
      <c r="U1128" s="91">
        <v>0</v>
      </c>
      <c r="V1128" s="91">
        <v>3.931</v>
      </c>
      <c r="W1128" s="91">
        <v>4.3999999999999997E-2</v>
      </c>
      <c r="X1128" s="91">
        <v>0</v>
      </c>
      <c r="Y1128" s="91">
        <v>1.829</v>
      </c>
      <c r="Z1128" s="91">
        <v>71.927999999999997</v>
      </c>
      <c r="AA1128" s="64" t="s">
        <v>2705</v>
      </c>
      <c r="AB1128" s="64"/>
      <c r="AC1128" s="64"/>
      <c r="AD1128" s="64"/>
      <c r="AE1128" s="87">
        <v>45504</v>
      </c>
      <c r="AF1128" s="213" t="s">
        <v>2706</v>
      </c>
      <c r="AG1128" t="str">
        <f>VLOOKUP(OfficeForms.Table[[#This Row],[Nama Proyek]],'Nama Proyek'!$D$2:$G$40,4,0)</f>
        <v>-6.42093860,107.18760070</v>
      </c>
      <c r="AH1128" s="5"/>
      <c r="AI1128" s="5"/>
      <c r="AJ1128" s="5"/>
      <c r="AK1128" s="5" t="s">
        <v>2707</v>
      </c>
    </row>
    <row r="1129" spans="1:38" ht="409.6">
      <c r="A1129">
        <v>42</v>
      </c>
      <c r="B1129" s="109">
        <v>45506.432488425897</v>
      </c>
      <c r="C1129" s="85">
        <v>45506.448379629597</v>
      </c>
      <c r="D1129" s="64" t="s">
        <v>2502</v>
      </c>
      <c r="E1129" s="64" t="s">
        <v>2284</v>
      </c>
      <c r="F1129" s="5" t="s">
        <v>2284</v>
      </c>
      <c r="G1129" s="86" t="s">
        <v>1317</v>
      </c>
      <c r="H1129" s="100">
        <v>45504</v>
      </c>
      <c r="I1129" s="91">
        <v>39.530999999999999</v>
      </c>
      <c r="J1129" s="91">
        <v>61.695999999999998</v>
      </c>
      <c r="K1129" s="91">
        <v>0.76800000000000002</v>
      </c>
      <c r="L1129" s="91">
        <v>0.19</v>
      </c>
      <c r="M1129" s="91">
        <v>7.0000000000000007E-2</v>
      </c>
      <c r="N1129" s="91">
        <v>27.04</v>
      </c>
      <c r="O1129" s="91">
        <v>0.17</v>
      </c>
      <c r="P1129" s="91">
        <v>0.08</v>
      </c>
      <c r="Q1129" s="91">
        <v>0</v>
      </c>
      <c r="R1129" s="91">
        <v>7.0000000000000007E-2</v>
      </c>
      <c r="S1129" s="91">
        <v>0.03</v>
      </c>
      <c r="T1129" s="91">
        <v>11.04</v>
      </c>
      <c r="U1129" s="91">
        <v>0</v>
      </c>
      <c r="V1129" s="91">
        <v>0.06</v>
      </c>
      <c r="W1129" s="91">
        <v>0</v>
      </c>
      <c r="X1129" s="91">
        <v>0</v>
      </c>
      <c r="Y1129" s="91">
        <v>0</v>
      </c>
      <c r="Z1129" s="91">
        <v>0</v>
      </c>
      <c r="AA1129" s="88" t="s">
        <v>2708</v>
      </c>
      <c r="AB1129" s="64" t="s">
        <v>1319</v>
      </c>
      <c r="AC1129" s="64" t="s">
        <v>2413</v>
      </c>
      <c r="AD1129" s="64" t="s">
        <v>2413</v>
      </c>
      <c r="AE1129" s="87">
        <v>45504</v>
      </c>
      <c r="AF1129" s="213" t="s">
        <v>2709</v>
      </c>
      <c r="AG1129" t="str">
        <f>VLOOKUP(OfficeForms.Table[[#This Row],[Nama Proyek]],'Nama Proyek'!$D$2:$G$40,4,0)</f>
        <v>-7.72647690,113.63515320</v>
      </c>
      <c r="AH1129" s="5"/>
      <c r="AI1129" s="5"/>
      <c r="AJ1129" s="5"/>
      <c r="AK1129" s="5" t="s">
        <v>2710</v>
      </c>
    </row>
    <row r="1130" spans="1:38" ht="76.5">
      <c r="A1130">
        <v>43</v>
      </c>
      <c r="B1130" s="109">
        <v>45506.504421296297</v>
      </c>
      <c r="C1130" s="85">
        <v>45506.504479166702</v>
      </c>
      <c r="D1130" s="64" t="s">
        <v>2600</v>
      </c>
      <c r="E1130" s="64" t="s">
        <v>855</v>
      </c>
      <c r="F1130" s="5" t="s">
        <v>855</v>
      </c>
      <c r="G1130" s="86" t="s">
        <v>2601</v>
      </c>
      <c r="H1130" s="100">
        <v>45501</v>
      </c>
      <c r="I1130" s="91">
        <v>21.454999999999998</v>
      </c>
      <c r="J1130" s="91">
        <v>21.405999999999999</v>
      </c>
      <c r="K1130" s="91">
        <v>0.55200000000000005</v>
      </c>
      <c r="L1130" s="91">
        <v>0</v>
      </c>
      <c r="M1130" s="91">
        <v>0.78700000000000003</v>
      </c>
      <c r="N1130" s="91">
        <v>0</v>
      </c>
      <c r="O1130" s="91">
        <v>0</v>
      </c>
      <c r="P1130" s="91">
        <v>0.216</v>
      </c>
      <c r="Q1130" s="91">
        <v>19.901</v>
      </c>
      <c r="R1130" s="91"/>
      <c r="S1130" s="91">
        <v>0</v>
      </c>
      <c r="T1130" s="91"/>
      <c r="U1130" s="91"/>
      <c r="V1130" s="91"/>
      <c r="W1130" s="91"/>
      <c r="X1130" s="91"/>
      <c r="Y1130" s="91"/>
      <c r="Z1130" s="91"/>
      <c r="AA1130" s="64" t="s">
        <v>2711</v>
      </c>
      <c r="AB1130" s="88" t="s">
        <v>2712</v>
      </c>
      <c r="AC1130" s="64" t="s">
        <v>2604</v>
      </c>
      <c r="AD1130" s="64" t="s">
        <v>2713</v>
      </c>
      <c r="AE1130" s="87">
        <v>45501</v>
      </c>
      <c r="AF1130" s="224" t="s">
        <v>2714</v>
      </c>
      <c r="AG1130" t="str">
        <f>VLOOKUP(OfficeForms.Table[[#This Row],[Nama Proyek]],'Nama Proyek'!$D$2:$G$40,4,0)</f>
        <v>-1.13731907,116.79020552</v>
      </c>
      <c r="AH1130" s="5"/>
      <c r="AI1130" s="5"/>
      <c r="AJ1130" s="5"/>
      <c r="AK1130" s="5" t="s">
        <v>2715</v>
      </c>
    </row>
    <row r="1131" spans="1:38">
      <c r="A1131">
        <v>44</v>
      </c>
      <c r="B1131" s="109">
        <v>45506.606238425898</v>
      </c>
      <c r="C1131" s="85">
        <v>45506.607604166697</v>
      </c>
      <c r="D1131" s="64" t="s">
        <v>2256</v>
      </c>
      <c r="E1131" s="64" t="s">
        <v>734</v>
      </c>
      <c r="F1131" s="5" t="s">
        <v>734</v>
      </c>
      <c r="G1131" s="86" t="s">
        <v>735</v>
      </c>
      <c r="H1131" s="100">
        <v>45504</v>
      </c>
      <c r="I1131" s="91"/>
      <c r="J1131" s="91"/>
      <c r="K1131" s="91"/>
      <c r="L1131" s="91"/>
      <c r="M1131" s="91"/>
      <c r="N1131" s="91"/>
      <c r="O1131" s="91"/>
      <c r="P1131" s="91"/>
      <c r="Q1131" s="91"/>
      <c r="R1131" s="91"/>
      <c r="S1131" s="91"/>
      <c r="T1131" s="91"/>
      <c r="U1131" s="91"/>
      <c r="V1131" s="91"/>
      <c r="W1131" s="91"/>
      <c r="X1131" s="91"/>
      <c r="Y1131" s="91"/>
      <c r="Z1131" s="91"/>
      <c r="AA1131" s="64"/>
      <c r="AB1131" s="64"/>
      <c r="AC1131" s="64" t="s">
        <v>2716</v>
      </c>
      <c r="AD1131" s="64" t="s">
        <v>2716</v>
      </c>
      <c r="AE1131" s="87"/>
      <c r="AF1131" s="213"/>
      <c r="AG1131" t="str">
        <f>VLOOKUP(OfficeForms.Table[[#This Row],[Nama Proyek]],'Nama Proyek'!$D$2:$G$40,4,0)</f>
        <v>-0.88562397,119.85928375</v>
      </c>
      <c r="AH1131" s="5"/>
      <c r="AI1131" s="5"/>
      <c r="AJ1131" s="5"/>
      <c r="AK1131" s="5" t="s">
        <v>2717</v>
      </c>
    </row>
    <row r="1132" spans="1:38" ht="275.25">
      <c r="A1132" s="50">
        <v>45</v>
      </c>
      <c r="B1132" s="109">
        <v>45530.4149189815</v>
      </c>
      <c r="C1132" s="85">
        <v>45530.424849536997</v>
      </c>
      <c r="D1132" s="64" t="s">
        <v>2718</v>
      </c>
      <c r="E1132" s="64" t="s">
        <v>82</v>
      </c>
      <c r="F1132" s="5" t="s">
        <v>82</v>
      </c>
      <c r="G1132" s="64" t="s">
        <v>1317</v>
      </c>
      <c r="H1132" s="99">
        <v>45529</v>
      </c>
      <c r="I1132" s="91">
        <v>45.755000000000003</v>
      </c>
      <c r="J1132" s="91">
        <v>48.689</v>
      </c>
      <c r="K1132" s="91">
        <v>0.80300000000000005</v>
      </c>
      <c r="L1132" s="91">
        <v>0.191</v>
      </c>
      <c r="M1132" s="91">
        <v>7.4999999999999997E-2</v>
      </c>
      <c r="N1132" s="91">
        <v>28.652999999999999</v>
      </c>
      <c r="O1132" s="91">
        <v>0.193</v>
      </c>
      <c r="P1132" s="91">
        <v>0.115</v>
      </c>
      <c r="Q1132" s="91">
        <v>1.2999999999999999E-2</v>
      </c>
      <c r="R1132" s="91">
        <v>0.183</v>
      </c>
      <c r="S1132" s="91">
        <v>0.11</v>
      </c>
      <c r="T1132" s="91">
        <v>12.566000000000001</v>
      </c>
      <c r="U1132" s="91">
        <v>2.85</v>
      </c>
      <c r="V1132" s="91">
        <v>0</v>
      </c>
      <c r="W1132" s="91">
        <v>0</v>
      </c>
      <c r="X1132" s="91">
        <v>0</v>
      </c>
      <c r="Y1132" s="91">
        <v>0</v>
      </c>
      <c r="Z1132" s="91">
        <v>0</v>
      </c>
      <c r="AA1132" s="88" t="s">
        <v>2719</v>
      </c>
      <c r="AB1132" s="88" t="s">
        <v>1319</v>
      </c>
      <c r="AC1132" s="88" t="s">
        <v>2413</v>
      </c>
      <c r="AD1132" s="88" t="s">
        <v>2413</v>
      </c>
      <c r="AE1132" s="87">
        <v>45529</v>
      </c>
      <c r="AF1132" s="89" t="s">
        <v>2720</v>
      </c>
      <c r="AG1132" t="str">
        <f>VLOOKUP(OfficeForms.Table[[#This Row],[Nama Proyek]],'Nama Proyek'!$D$2:$G$40,4,0)</f>
        <v>-7.72647690,113.63515320</v>
      </c>
      <c r="AH1132" s="5"/>
      <c r="AI1132" s="5"/>
      <c r="AJ1132" s="5"/>
      <c r="AK1132" s="5" t="s">
        <v>2721</v>
      </c>
    </row>
    <row r="1133" spans="1:38" ht="30.75">
      <c r="A1133" s="50">
        <v>46</v>
      </c>
      <c r="B1133" s="109">
        <v>45530.441817129598</v>
      </c>
      <c r="C1133" s="85">
        <v>45530.545115740701</v>
      </c>
      <c r="D1133" s="88" t="s">
        <v>2634</v>
      </c>
      <c r="E1133" s="64" t="s">
        <v>109</v>
      </c>
      <c r="F1133" s="5" t="s">
        <v>109</v>
      </c>
      <c r="G1133" s="64" t="s">
        <v>2267</v>
      </c>
      <c r="H1133" s="99">
        <v>45529</v>
      </c>
      <c r="I1133" s="91">
        <v>18.498000000000001</v>
      </c>
      <c r="J1133" s="91">
        <v>24.390999999999998</v>
      </c>
      <c r="K1133" s="91">
        <v>69.98</v>
      </c>
      <c r="L1133" s="91">
        <v>77.97</v>
      </c>
      <c r="M1133" s="91">
        <v>40.409999999999997</v>
      </c>
      <c r="N1133" s="91">
        <v>15.34</v>
      </c>
      <c r="O1133" s="91">
        <v>39.25</v>
      </c>
      <c r="P1133" s="91">
        <v>1.74</v>
      </c>
      <c r="Q1133" s="91">
        <v>8.9499999999999993</v>
      </c>
      <c r="R1133" s="91">
        <v>1.66</v>
      </c>
      <c r="S1133" s="91">
        <v>0.82</v>
      </c>
      <c r="T1133" s="91">
        <v>18.21</v>
      </c>
      <c r="U1133" s="91">
        <v>0</v>
      </c>
      <c r="V1133" s="91">
        <v>0.24</v>
      </c>
      <c r="W1133" s="91">
        <v>0</v>
      </c>
      <c r="X1133" s="91">
        <v>0</v>
      </c>
      <c r="Y1133" s="91">
        <v>42.53</v>
      </c>
      <c r="Z1133" s="91">
        <v>0</v>
      </c>
      <c r="AA1133" s="88" t="s">
        <v>2722</v>
      </c>
      <c r="AB1133" s="88" t="s">
        <v>2723</v>
      </c>
      <c r="AC1133" s="88" t="s">
        <v>2724</v>
      </c>
      <c r="AD1133" s="88" t="s">
        <v>2725</v>
      </c>
      <c r="AE1133" s="87">
        <v>45529</v>
      </c>
      <c r="AF1133" s="133" t="s">
        <v>2726</v>
      </c>
      <c r="AG1133" t="str">
        <f>VLOOKUP(OfficeForms.Table[[#This Row],[Nama Proyek]],'Nama Proyek'!$D$2:$G$40,4,0)</f>
        <v>-6.88120502,106.78938277</v>
      </c>
      <c r="AH1133" s="5"/>
      <c r="AI1133" s="5"/>
      <c r="AJ1133" s="5"/>
      <c r="AK1133" s="5" t="s">
        <v>2727</v>
      </c>
    </row>
    <row r="1134" spans="1:38" ht="259.5">
      <c r="A1134" s="50">
        <v>47</v>
      </c>
      <c r="B1134" s="109">
        <v>45530.5942013889</v>
      </c>
      <c r="C1134" s="85">
        <v>45530.6270717593</v>
      </c>
      <c r="D1134" s="88" t="s">
        <v>2546</v>
      </c>
      <c r="E1134" s="64" t="s">
        <v>85</v>
      </c>
      <c r="F1134" s="5" t="s">
        <v>85</v>
      </c>
      <c r="G1134" s="64" t="s">
        <v>2336</v>
      </c>
      <c r="H1134" s="99">
        <v>45529</v>
      </c>
      <c r="I1134" s="91">
        <v>9.7720000000000002</v>
      </c>
      <c r="J1134" s="91">
        <v>10.17</v>
      </c>
      <c r="K1134" s="91">
        <v>1.9450000000000001</v>
      </c>
      <c r="L1134" s="91">
        <v>0.153</v>
      </c>
      <c r="M1134" s="91">
        <v>0</v>
      </c>
      <c r="N1134" s="91">
        <v>5.3319999999999999</v>
      </c>
      <c r="O1134" s="91">
        <v>2.1000000000000001E-2</v>
      </c>
      <c r="P1134" s="91">
        <v>0</v>
      </c>
      <c r="Q1134" s="91">
        <v>0</v>
      </c>
      <c r="R1134" s="91">
        <v>0</v>
      </c>
      <c r="S1134" s="91">
        <v>0</v>
      </c>
      <c r="T1134" s="91">
        <v>2.3210000000000002</v>
      </c>
      <c r="U1134" s="91">
        <v>0</v>
      </c>
      <c r="V1134" s="91">
        <v>0</v>
      </c>
      <c r="W1134" s="91">
        <v>0</v>
      </c>
      <c r="X1134" s="91">
        <v>0</v>
      </c>
      <c r="Y1134" s="91">
        <v>0</v>
      </c>
      <c r="Z1134" s="91">
        <v>0</v>
      </c>
      <c r="AA1134" s="88" t="s">
        <v>2362</v>
      </c>
      <c r="AB1134" s="88" t="s">
        <v>2362</v>
      </c>
      <c r="AC1134" s="88" t="s">
        <v>2362</v>
      </c>
      <c r="AD1134" s="88" t="s">
        <v>2362</v>
      </c>
      <c r="AE1134" s="87">
        <v>45529</v>
      </c>
      <c r="AF1134" s="89" t="s">
        <v>2728</v>
      </c>
      <c r="AG1134" t="str">
        <f>VLOOKUP(OfficeForms.Table[[#This Row],[Nama Proyek]],'Nama Proyek'!$D$2:$G$40,4,0)</f>
        <v>-6.33533300,107.77576100</v>
      </c>
      <c r="AH1134" s="5"/>
      <c r="AI1134" s="5"/>
      <c r="AJ1134" s="5"/>
      <c r="AK1134" s="5" t="s">
        <v>2729</v>
      </c>
    </row>
    <row r="1135" spans="1:38">
      <c r="A1135" s="50">
        <v>48</v>
      </c>
      <c r="B1135" s="109">
        <v>45531.5027430556</v>
      </c>
      <c r="C1135" s="85">
        <v>45531.506249999999</v>
      </c>
      <c r="D1135" s="64" t="s">
        <v>2509</v>
      </c>
      <c r="E1135" s="64" t="s">
        <v>687</v>
      </c>
      <c r="F1135" s="5" t="s">
        <v>687</v>
      </c>
      <c r="G1135" s="64" t="s">
        <v>750</v>
      </c>
      <c r="H1135" s="99">
        <v>45531</v>
      </c>
      <c r="I1135" s="91">
        <v>92.447000000000003</v>
      </c>
      <c r="J1135" s="91">
        <v>91.966999999999999</v>
      </c>
      <c r="K1135" s="91"/>
      <c r="L1135" s="91"/>
      <c r="M1135" s="91"/>
      <c r="N1135" s="91"/>
      <c r="O1135" s="91"/>
      <c r="P1135" s="91"/>
      <c r="Q1135" s="91"/>
      <c r="R1135" s="91"/>
      <c r="S1135" s="91"/>
      <c r="T1135" s="91"/>
      <c r="U1135" s="91"/>
      <c r="V1135" s="91"/>
      <c r="W1135" s="91"/>
      <c r="X1135" s="91"/>
      <c r="Y1135" s="91"/>
      <c r="Z1135" s="91"/>
      <c r="AA1135" s="88" t="s">
        <v>2730</v>
      </c>
      <c r="AB1135" s="88" t="s">
        <v>2731</v>
      </c>
      <c r="AC1135" s="88" t="s">
        <v>2732</v>
      </c>
      <c r="AD1135" s="88" t="s">
        <v>2732</v>
      </c>
      <c r="AE1135" s="87">
        <v>45531</v>
      </c>
      <c r="AF1135" s="133" t="s">
        <v>2297</v>
      </c>
      <c r="AG1135" t="str">
        <f>VLOOKUP(OfficeForms.Table[[#This Row],[Nama Proyek]],'Nama Proyek'!$D$2:$G$40,4,0)</f>
        <v>-1.10415341,116.73424356</v>
      </c>
      <c r="AH1135" s="5"/>
      <c r="AI1135" s="5"/>
      <c r="AJ1135" s="5"/>
      <c r="AK1135" s="5" t="s">
        <v>2733</v>
      </c>
    </row>
    <row r="1136" spans="1:38">
      <c r="A1136" s="50">
        <v>49</v>
      </c>
      <c r="B1136" s="109">
        <v>45532.528993055603</v>
      </c>
      <c r="C1136" s="85">
        <v>45532.538912037002</v>
      </c>
      <c r="D1136" s="64" t="s">
        <v>2525</v>
      </c>
      <c r="E1136" s="64" t="s">
        <v>47</v>
      </c>
      <c r="F1136" s="5" t="s">
        <v>214</v>
      </c>
      <c r="G1136" s="64" t="s">
        <v>2734</v>
      </c>
      <c r="H1136" s="99">
        <v>45529</v>
      </c>
      <c r="I1136" s="91">
        <v>3.0190000000000001</v>
      </c>
      <c r="J1136" s="91">
        <v>3.58</v>
      </c>
      <c r="K1136" s="91">
        <v>0.498</v>
      </c>
      <c r="L1136" s="91">
        <v>5.8999999999999997E-2</v>
      </c>
      <c r="M1136" s="91">
        <v>3.0000000000000001E-3</v>
      </c>
      <c r="N1136" s="91">
        <v>1.2190000000000001</v>
      </c>
      <c r="O1136" s="91">
        <v>2.4E-2</v>
      </c>
      <c r="P1136" s="91"/>
      <c r="Q1136" s="91">
        <v>2E-3</v>
      </c>
      <c r="R1136" s="91"/>
      <c r="S1136" s="91"/>
      <c r="T1136" s="91">
        <v>0.67500000000000004</v>
      </c>
      <c r="U1136" s="91"/>
      <c r="V1136" s="91"/>
      <c r="W1136" s="91"/>
      <c r="X1136" s="91"/>
      <c r="Y1136" s="91"/>
      <c r="Z1136" s="91"/>
      <c r="AA1136" s="88" t="s">
        <v>2735</v>
      </c>
      <c r="AB1136" s="88" t="s">
        <v>2736</v>
      </c>
      <c r="AC1136" s="88" t="s">
        <v>2737</v>
      </c>
      <c r="AD1136" s="88"/>
      <c r="AE1136" s="87">
        <v>45529</v>
      </c>
      <c r="AF1136" s="89"/>
      <c r="AG1136" t="str">
        <f>VLOOKUP(OfficeForms.Table[[#This Row],[Nama Proyek]],'Nama Proyek'!$D$2:$G$40,4,0)</f>
        <v>-6.8812050213,106.7893827682</v>
      </c>
      <c r="AH1136" s="5"/>
      <c r="AI1136" s="5"/>
      <c r="AJ1136" s="5"/>
      <c r="AK1136" s="5" t="s">
        <v>2738</v>
      </c>
    </row>
    <row r="1137" spans="1:37">
      <c r="A1137" s="50">
        <v>50</v>
      </c>
      <c r="B1137" s="109">
        <v>45535.320486111101</v>
      </c>
      <c r="C1137" s="85">
        <v>45535.367372685199</v>
      </c>
      <c r="D1137" s="64" t="s">
        <v>2256</v>
      </c>
      <c r="E1137" s="64" t="s">
        <v>734</v>
      </c>
      <c r="F1137" s="5" t="s">
        <v>734</v>
      </c>
      <c r="G1137" s="64" t="s">
        <v>735</v>
      </c>
      <c r="H1137" s="99">
        <v>45535</v>
      </c>
      <c r="I1137" s="91">
        <v>67.456000000000003</v>
      </c>
      <c r="J1137" s="91">
        <v>66.358999999999995</v>
      </c>
      <c r="K1137" s="91">
        <v>0.39200000000000002</v>
      </c>
      <c r="L1137" s="91">
        <v>2.2189999999999999</v>
      </c>
      <c r="M1137" s="91">
        <v>44.036000000000001</v>
      </c>
      <c r="N1137" s="91">
        <v>7.4740000000000002</v>
      </c>
      <c r="O1137" s="91">
        <v>0.93200000000000005</v>
      </c>
      <c r="P1137" s="91">
        <v>4.6210000000000004</v>
      </c>
      <c r="Q1137" s="91">
        <v>0.76300000000000001</v>
      </c>
      <c r="R1137" s="91"/>
      <c r="S1137" s="91"/>
      <c r="T1137" s="91"/>
      <c r="U1137" s="91"/>
      <c r="V1137" s="91"/>
      <c r="W1137" s="91"/>
      <c r="X1137" s="91"/>
      <c r="Y1137" s="91"/>
      <c r="Z1137" s="91"/>
      <c r="AA1137" s="88" t="s">
        <v>2739</v>
      </c>
      <c r="AB1137" s="88" t="s">
        <v>2740</v>
      </c>
      <c r="AC1137" s="88" t="s">
        <v>2741</v>
      </c>
      <c r="AD1137" s="88" t="s">
        <v>2742</v>
      </c>
      <c r="AE1137" s="87">
        <v>45535</v>
      </c>
      <c r="AF1137" s="89" t="s">
        <v>2743</v>
      </c>
      <c r="AG1137" t="str">
        <f>VLOOKUP(OfficeForms.Table[[#This Row],[Nama Proyek]],'Nama Proyek'!$D$2:$G$40,4,0)</f>
        <v>-0.88562397,119.85928375</v>
      </c>
      <c r="AH1137" s="5"/>
      <c r="AI1137" s="5"/>
      <c r="AJ1137" s="5"/>
      <c r="AK1137" s="5" t="s">
        <v>2744</v>
      </c>
    </row>
    <row r="1138" spans="1:37">
      <c r="A1138" s="50">
        <v>51</v>
      </c>
      <c r="B1138" s="109">
        <v>45535.453553240703</v>
      </c>
      <c r="C1138" s="85">
        <v>45535.4743171296</v>
      </c>
      <c r="D1138" s="64" t="s">
        <v>2662</v>
      </c>
      <c r="E1138" s="64" t="s">
        <v>998</v>
      </c>
      <c r="F1138" s="5" t="s">
        <v>998</v>
      </c>
      <c r="G1138" s="64" t="s">
        <v>2663</v>
      </c>
      <c r="H1138" s="99">
        <v>45530</v>
      </c>
      <c r="I1138" s="91">
        <v>58.402999999999999</v>
      </c>
      <c r="J1138" s="91">
        <v>62.112000000000002</v>
      </c>
      <c r="K1138" s="91">
        <v>2.161</v>
      </c>
      <c r="L1138" s="91">
        <v>0.40400000000000003</v>
      </c>
      <c r="M1138" s="91">
        <v>22.803000000000001</v>
      </c>
      <c r="N1138" s="91">
        <v>2.0739999999999998</v>
      </c>
      <c r="O1138" s="91">
        <v>7.2999999999999995E-2</v>
      </c>
      <c r="P1138" s="91">
        <v>30.888000000000002</v>
      </c>
      <c r="Q1138" s="91"/>
      <c r="R1138" s="91"/>
      <c r="S1138" s="91"/>
      <c r="T1138" s="91"/>
      <c r="U1138" s="91"/>
      <c r="V1138" s="91"/>
      <c r="W1138" s="91"/>
      <c r="X1138" s="91"/>
      <c r="Y1138" s="91"/>
      <c r="Z1138" s="91"/>
      <c r="AA1138" s="88" t="s">
        <v>2745</v>
      </c>
      <c r="AB1138" s="88" t="s">
        <v>2746</v>
      </c>
      <c r="AC1138" s="88" t="s">
        <v>2747</v>
      </c>
      <c r="AD1138" s="88" t="s">
        <v>2748</v>
      </c>
      <c r="AE1138" s="87">
        <v>45530</v>
      </c>
      <c r="AF1138" s="89" t="s">
        <v>2749</v>
      </c>
      <c r="AG1138" t="str">
        <f>VLOOKUP(OfficeForms.Table[[#This Row],[Nama Proyek]],'Nama Proyek'!$D$2:$G$40,4,0)</f>
        <v>-1.15205556,116.69316667</v>
      </c>
      <c r="AH1138" s="5"/>
      <c r="AI1138" s="5"/>
      <c r="AJ1138" s="5"/>
      <c r="AK1138" s="5" t="s">
        <v>2750</v>
      </c>
    </row>
    <row r="1139" spans="1:37">
      <c r="A1139" s="50">
        <v>52</v>
      </c>
      <c r="B1139" s="109">
        <v>45537.371597222198</v>
      </c>
      <c r="C1139" s="85">
        <v>45537.3766666667</v>
      </c>
      <c r="D1139" s="88" t="s">
        <v>2522</v>
      </c>
      <c r="E1139" s="64" t="s">
        <v>1282</v>
      </c>
      <c r="F1139" s="5" t="s">
        <v>1282</v>
      </c>
      <c r="G1139" s="64" t="s">
        <v>989</v>
      </c>
      <c r="H1139" s="99">
        <v>45529</v>
      </c>
      <c r="I1139" s="91">
        <v>98.239000000000004</v>
      </c>
      <c r="J1139" s="91">
        <v>99.022000000000006</v>
      </c>
      <c r="K1139" s="91">
        <v>2.91</v>
      </c>
      <c r="L1139" s="91">
        <v>0.56999999999999995</v>
      </c>
      <c r="M1139" s="91">
        <v>0</v>
      </c>
      <c r="N1139" s="91">
        <v>22.88</v>
      </c>
      <c r="O1139" s="91">
        <v>0.25</v>
      </c>
      <c r="P1139" s="91">
        <v>2.42</v>
      </c>
      <c r="Q1139" s="91">
        <v>0.23</v>
      </c>
      <c r="R1139" s="91">
        <v>2.89</v>
      </c>
      <c r="S1139" s="91">
        <v>18.37</v>
      </c>
      <c r="T1139" s="91"/>
      <c r="U1139" s="91">
        <v>38.75</v>
      </c>
      <c r="V1139" s="91">
        <v>5.81</v>
      </c>
      <c r="W1139" s="91">
        <v>1.88</v>
      </c>
      <c r="X1139" s="91">
        <v>0.47</v>
      </c>
      <c r="Y1139" s="91">
        <v>0</v>
      </c>
      <c r="Z1139" s="91">
        <v>0.82</v>
      </c>
      <c r="AA1139" s="88" t="s">
        <v>2751</v>
      </c>
      <c r="AB1139" s="88" t="s">
        <v>2752</v>
      </c>
      <c r="AC1139" s="88" t="s">
        <v>2753</v>
      </c>
      <c r="AD1139" s="88" t="s">
        <v>2754</v>
      </c>
      <c r="AE1139" s="87">
        <v>45529</v>
      </c>
      <c r="AF1139" s="89" t="s">
        <v>2755</v>
      </c>
      <c r="AG1139" t="str">
        <f>VLOOKUP(OfficeForms.Table[[#This Row],[Nama Proyek]],'Nama Proyek'!$D$2:$G$40,4,0)</f>
        <v>-1.98399270,103.7135193</v>
      </c>
      <c r="AH1139" s="5"/>
      <c r="AI1139" s="5"/>
      <c r="AJ1139" s="5"/>
      <c r="AK1139" s="5" t="s">
        <v>2756</v>
      </c>
    </row>
    <row r="1140" spans="1:37">
      <c r="A1140" s="50">
        <v>53</v>
      </c>
      <c r="B1140" s="109">
        <v>45537.412094907399</v>
      </c>
      <c r="C1140" s="85">
        <v>45537.433530092603</v>
      </c>
      <c r="D1140" s="64" t="s">
        <v>2607</v>
      </c>
      <c r="E1140" s="64" t="s">
        <v>2425</v>
      </c>
      <c r="F1140" s="5" t="s">
        <v>2425</v>
      </c>
      <c r="G1140" s="64" t="s">
        <v>2300</v>
      </c>
      <c r="H1140" s="99">
        <v>45515</v>
      </c>
      <c r="I1140" s="91">
        <v>97.757000000000005</v>
      </c>
      <c r="J1140" s="91">
        <v>97.704999999999998</v>
      </c>
      <c r="K1140" s="91">
        <v>0.748</v>
      </c>
      <c r="L1140" s="91">
        <v>2.117</v>
      </c>
      <c r="M1140" s="91">
        <v>67.682000000000002</v>
      </c>
      <c r="N1140" s="91"/>
      <c r="O1140" s="91"/>
      <c r="P1140" s="91"/>
      <c r="Q1140" s="91">
        <v>26.256</v>
      </c>
      <c r="R1140" s="91"/>
      <c r="S1140" s="91">
        <v>0.95399999999999996</v>
      </c>
      <c r="T1140" s="91"/>
      <c r="U1140" s="91"/>
      <c r="V1140" s="91"/>
      <c r="W1140" s="91"/>
      <c r="X1140" s="91"/>
      <c r="Y1140" s="91"/>
      <c r="Z1140" s="91"/>
      <c r="AA1140" s="88" t="s">
        <v>2757</v>
      </c>
      <c r="AB1140" s="88" t="s">
        <v>2758</v>
      </c>
      <c r="AC1140" s="88" t="s">
        <v>2759</v>
      </c>
      <c r="AD1140" s="88"/>
      <c r="AE1140" s="87">
        <v>45515</v>
      </c>
      <c r="AF1140" s="133" t="s">
        <v>2297</v>
      </c>
      <c r="AG1140" t="str">
        <f>VLOOKUP(OfficeForms.Table[[#This Row],[Nama Proyek]],'Nama Proyek'!$D$2:$G$40,4,0)</f>
        <v>-6.92723742,109.95182730</v>
      </c>
      <c r="AH1140" s="5"/>
      <c r="AI1140" s="5"/>
      <c r="AJ1140" s="5"/>
      <c r="AK1140" s="5" t="s">
        <v>2760</v>
      </c>
    </row>
    <row r="1141" spans="1:37">
      <c r="A1141" s="50">
        <v>56</v>
      </c>
      <c r="B1141" s="109">
        <v>45537.416203703702</v>
      </c>
      <c r="C1141" s="85">
        <v>45537.778333333299</v>
      </c>
      <c r="D1141" s="88" t="s">
        <v>2761</v>
      </c>
      <c r="E1141" s="64" t="s">
        <v>2762</v>
      </c>
      <c r="F1141" s="5" t="s">
        <v>2763</v>
      </c>
      <c r="G1141" s="64" t="s">
        <v>2484</v>
      </c>
      <c r="H1141" s="99">
        <v>45533</v>
      </c>
      <c r="I1141" s="91">
        <v>43.848999999999997</v>
      </c>
      <c r="J1141" s="91">
        <v>22.542999999999999</v>
      </c>
      <c r="K1141" s="91">
        <v>0.35199999999999998</v>
      </c>
      <c r="L1141" s="91">
        <v>0.84599999999999997</v>
      </c>
      <c r="M1141" s="91">
        <v>35.094000000000001</v>
      </c>
      <c r="N1141" s="91">
        <v>0</v>
      </c>
      <c r="O1141" s="91">
        <v>0.71299999999999997</v>
      </c>
      <c r="P1141" s="91">
        <v>0</v>
      </c>
      <c r="Q1141" s="91">
        <v>6.0339999999999998</v>
      </c>
      <c r="R1141" s="91">
        <v>0</v>
      </c>
      <c r="S1141" s="91">
        <v>0</v>
      </c>
      <c r="T1141" s="91"/>
      <c r="U1141" s="91"/>
      <c r="V1141" s="91"/>
      <c r="W1141" s="91"/>
      <c r="X1141" s="91"/>
      <c r="Y1141" s="91"/>
      <c r="Z1141" s="91"/>
      <c r="AA1141" s="88" t="s">
        <v>2764</v>
      </c>
      <c r="AB1141" s="88" t="s">
        <v>2765</v>
      </c>
      <c r="AC1141" s="88" t="s">
        <v>2766</v>
      </c>
      <c r="AD1141" s="88" t="s">
        <v>2767</v>
      </c>
      <c r="AE1141" s="87">
        <v>45534</v>
      </c>
      <c r="AF1141" s="89" t="s">
        <v>2768</v>
      </c>
      <c r="AG1141" t="str">
        <f>VLOOKUP(OfficeForms.Table[[#This Row],[Nama Proyek]],'Nama Proyek'!$D$2:$G$40,4,0)</f>
        <v>-8.30961900,112.11101000</v>
      </c>
      <c r="AH1141" s="5"/>
      <c r="AI1141" s="5"/>
      <c r="AJ1141" s="5"/>
      <c r="AK1141" s="5" t="s">
        <v>2769</v>
      </c>
    </row>
    <row r="1142" spans="1:37" ht="167.25">
      <c r="A1142" s="50">
        <v>54</v>
      </c>
      <c r="B1142" s="109">
        <v>45537.477858796301</v>
      </c>
      <c r="C1142" s="85">
        <v>45537.477916666699</v>
      </c>
      <c r="D1142" s="88" t="s">
        <v>2600</v>
      </c>
      <c r="E1142" s="64" t="s">
        <v>855</v>
      </c>
      <c r="F1142" s="5" t="s">
        <v>855</v>
      </c>
      <c r="G1142" s="64" t="s">
        <v>2601</v>
      </c>
      <c r="H1142" s="99">
        <v>45529</v>
      </c>
      <c r="I1142" s="91">
        <v>24.561</v>
      </c>
      <c r="J1142" s="91">
        <v>23.56</v>
      </c>
      <c r="K1142" s="91">
        <v>0.79200000000000004</v>
      </c>
      <c r="L1142" s="91">
        <v>0.09</v>
      </c>
      <c r="M1142" s="91">
        <v>0.98</v>
      </c>
      <c r="N1142" s="91"/>
      <c r="O1142" s="91">
        <v>0</v>
      </c>
      <c r="P1142" s="91">
        <v>0.219</v>
      </c>
      <c r="Q1142" s="91">
        <v>22.477</v>
      </c>
      <c r="R1142" s="91"/>
      <c r="S1142" s="91">
        <v>3.0000000000000001E-3</v>
      </c>
      <c r="T1142" s="91"/>
      <c r="U1142" s="91"/>
      <c r="V1142" s="91"/>
      <c r="W1142" s="91"/>
      <c r="X1142" s="91"/>
      <c r="Y1142" s="91"/>
      <c r="Z1142" s="91"/>
      <c r="AA1142" s="88" t="s">
        <v>2770</v>
      </c>
      <c r="AB1142" s="88" t="s">
        <v>2771</v>
      </c>
      <c r="AC1142" s="88" t="s">
        <v>2604</v>
      </c>
      <c r="AD1142" s="88" t="s">
        <v>2772</v>
      </c>
      <c r="AE1142" s="87">
        <v>45529</v>
      </c>
      <c r="AF1142" s="89" t="s">
        <v>2773</v>
      </c>
      <c r="AG1142" t="str">
        <f>VLOOKUP(OfficeForms.Table[[#This Row],[Nama Proyek]],'Nama Proyek'!$D$2:$G$40,4,0)</f>
        <v>-1.13731907,116.79020552</v>
      </c>
      <c r="AH1142" s="5"/>
      <c r="AI1142" s="5"/>
      <c r="AJ1142" s="5"/>
      <c r="AK1142" s="5" t="s">
        <v>2774</v>
      </c>
    </row>
    <row r="1143" spans="1:37" ht="30.75">
      <c r="A1143" s="50">
        <v>55</v>
      </c>
      <c r="B1143" s="109">
        <v>45537.486145833303</v>
      </c>
      <c r="C1143" s="85">
        <v>45537.491747685199</v>
      </c>
      <c r="D1143" s="64" t="s">
        <v>2580</v>
      </c>
      <c r="E1143" s="64" t="s">
        <v>57</v>
      </c>
      <c r="F1143" s="5" t="s">
        <v>57</v>
      </c>
      <c r="G1143" s="64" t="s">
        <v>1484</v>
      </c>
      <c r="H1143" s="99">
        <v>45529</v>
      </c>
      <c r="I1143" s="91">
        <v>57.445</v>
      </c>
      <c r="J1143" s="91">
        <v>47.005000000000003</v>
      </c>
      <c r="K1143" s="91">
        <v>1.478</v>
      </c>
      <c r="L1143" s="91">
        <v>1.2170000000000001</v>
      </c>
      <c r="M1143" s="91">
        <v>18.684999999999999</v>
      </c>
      <c r="N1143" s="91"/>
      <c r="O1143" s="91"/>
      <c r="P1143" s="91"/>
      <c r="Q1143" s="91">
        <v>36.064999999999998</v>
      </c>
      <c r="R1143" s="91"/>
      <c r="S1143" s="91"/>
      <c r="T1143" s="91"/>
      <c r="U1143" s="91"/>
      <c r="V1143" s="91"/>
      <c r="W1143" s="91"/>
      <c r="X1143" s="91"/>
      <c r="Y1143" s="91"/>
      <c r="Z1143" s="91"/>
      <c r="AA1143" s="88" t="s">
        <v>2775</v>
      </c>
      <c r="AB1143" s="88" t="s">
        <v>2776</v>
      </c>
      <c r="AC1143" s="88" t="s">
        <v>2777</v>
      </c>
      <c r="AD1143" s="88" t="s">
        <v>2777</v>
      </c>
      <c r="AE1143" s="87">
        <v>45529</v>
      </c>
      <c r="AF1143" s="89" t="s">
        <v>2778</v>
      </c>
      <c r="AG1143" t="str">
        <f>VLOOKUP(OfficeForms.Table[[#This Row],[Nama Proyek]],'Nama Proyek'!$D$2:$G$40,4,0)</f>
        <v>-8.01003300,110.33312900</v>
      </c>
      <c r="AH1143" s="5"/>
      <c r="AI1143" s="5"/>
      <c r="AJ1143" s="5"/>
      <c r="AK1143" s="5" t="s">
        <v>2779</v>
      </c>
    </row>
    <row r="1144" spans="1:37">
      <c r="A1144">
        <v>57</v>
      </c>
      <c r="B1144" s="163">
        <v>45538.467615740701</v>
      </c>
      <c r="C1144" s="27">
        <v>45538.473379629599</v>
      </c>
      <c r="D1144" s="185" t="s">
        <v>2585</v>
      </c>
      <c r="E1144" s="5" t="s">
        <v>2586</v>
      </c>
      <c r="F1144" s="5" t="s">
        <v>1479</v>
      </c>
      <c r="G1144" s="185" t="s">
        <v>1480</v>
      </c>
      <c r="H1144" s="204">
        <v>45536</v>
      </c>
      <c r="I1144" s="205">
        <v>56.72</v>
      </c>
      <c r="J1144" s="205">
        <v>58.01</v>
      </c>
      <c r="K1144" s="205"/>
      <c r="L1144" s="205"/>
      <c r="M1144" s="205"/>
      <c r="N1144" s="205"/>
      <c r="O1144" s="205"/>
      <c r="P1144" s="205"/>
      <c r="Q1144" s="205"/>
      <c r="R1144" s="205"/>
      <c r="S1144" s="205"/>
      <c r="T1144" s="205"/>
      <c r="U1144" s="205"/>
      <c r="V1144" s="205"/>
      <c r="W1144" s="205"/>
      <c r="X1144" s="205"/>
      <c r="Y1144" s="205"/>
      <c r="Z1144" s="205"/>
      <c r="AA1144" s="5"/>
      <c r="AB1144" s="5"/>
      <c r="AC1144" s="5"/>
      <c r="AD1144" s="5"/>
      <c r="AE1144" s="1"/>
      <c r="AF1144" s="5"/>
      <c r="AG1144" t="str">
        <f>VLOOKUP(OfficeForms.Table[[#This Row],[Nama Proyek]],'Nama Proyek'!$D$2:$G$40,4,0)</f>
        <v>-6.23191260,107.90813480</v>
      </c>
      <c r="AH1144" s="5"/>
      <c r="AI1144" s="5"/>
      <c r="AJ1144" s="5"/>
      <c r="AK1144" s="5" t="s">
        <v>2780</v>
      </c>
    </row>
    <row r="1145" spans="1:37">
      <c r="A1145">
        <v>59</v>
      </c>
      <c r="B1145" s="163">
        <v>45538.475312499999</v>
      </c>
      <c r="C1145" s="27">
        <v>45538.548113425903</v>
      </c>
      <c r="D1145" s="185" t="s">
        <v>2781</v>
      </c>
      <c r="E1145" s="5" t="s">
        <v>1546</v>
      </c>
      <c r="F1145" s="5" t="s">
        <v>1546</v>
      </c>
      <c r="G1145" s="185" t="s">
        <v>1480</v>
      </c>
      <c r="H1145" s="204">
        <v>45538</v>
      </c>
      <c r="I1145" s="205"/>
      <c r="J1145" s="205"/>
      <c r="K1145" s="205"/>
      <c r="L1145" s="205"/>
      <c r="M1145" s="205"/>
      <c r="N1145" s="205"/>
      <c r="O1145" s="205"/>
      <c r="P1145" s="205"/>
      <c r="Q1145" s="205"/>
      <c r="R1145" s="205"/>
      <c r="S1145" s="205"/>
      <c r="T1145" s="205"/>
      <c r="U1145" s="205"/>
      <c r="V1145" s="205"/>
      <c r="W1145" s="205"/>
      <c r="X1145" s="205"/>
      <c r="Y1145" s="205"/>
      <c r="Z1145" s="205"/>
      <c r="AA1145" s="5" t="s">
        <v>2782</v>
      </c>
      <c r="AB1145" s="5" t="s">
        <v>2783</v>
      </c>
      <c r="AC1145" s="5" t="s">
        <v>2784</v>
      </c>
      <c r="AD1145" s="5" t="s">
        <v>2785</v>
      </c>
      <c r="AE1145" s="1"/>
      <c r="AF1145" s="206"/>
      <c r="AG1145" t="str">
        <f>VLOOKUP(OfficeForms.Table[[#This Row],[Nama Proyek]],'Nama Proyek'!$D$2:$G$40,4,0)</f>
        <v>-6.23191260,107.90813480</v>
      </c>
      <c r="AH1145" s="5"/>
      <c r="AI1145" s="5"/>
      <c r="AJ1145" s="5"/>
      <c r="AK1145" s="5" t="s">
        <v>2786</v>
      </c>
    </row>
    <row r="1146" spans="1:37" ht="30.75">
      <c r="A1146">
        <v>58</v>
      </c>
      <c r="B1146" s="163">
        <v>45538.539270833302</v>
      </c>
      <c r="C1146" s="27">
        <v>45538.544374999998</v>
      </c>
      <c r="D1146" s="120" t="s">
        <v>2562</v>
      </c>
      <c r="E1146" s="5" t="s">
        <v>2563</v>
      </c>
      <c r="F1146" s="5" t="s">
        <v>2289</v>
      </c>
      <c r="G1146" s="185" t="s">
        <v>2290</v>
      </c>
      <c r="H1146" s="204">
        <v>45535</v>
      </c>
      <c r="I1146" s="205">
        <v>74.02</v>
      </c>
      <c r="J1146" s="205">
        <v>60.768999999999998</v>
      </c>
      <c r="K1146" s="205">
        <v>0.27200000000000002</v>
      </c>
      <c r="L1146" s="205">
        <v>0</v>
      </c>
      <c r="M1146" s="205">
        <v>33.005000000000003</v>
      </c>
      <c r="N1146" s="205">
        <v>0</v>
      </c>
      <c r="O1146" s="205">
        <v>0.246</v>
      </c>
      <c r="P1146" s="205">
        <v>0.246</v>
      </c>
      <c r="Q1146" s="205">
        <v>39.938000000000002</v>
      </c>
      <c r="R1146" s="205">
        <v>0</v>
      </c>
      <c r="S1146" s="205">
        <v>0.214</v>
      </c>
      <c r="T1146" s="205">
        <v>9.6000000000000002E-2</v>
      </c>
      <c r="U1146" s="205">
        <v>0</v>
      </c>
      <c r="V1146" s="205">
        <v>0</v>
      </c>
      <c r="W1146" s="205">
        <v>0</v>
      </c>
      <c r="X1146" s="205">
        <v>0</v>
      </c>
      <c r="Y1146" s="205">
        <v>0</v>
      </c>
      <c r="Z1146" s="205">
        <v>0</v>
      </c>
      <c r="AA1146" s="5" t="s">
        <v>2787</v>
      </c>
      <c r="AB1146" s="5" t="s">
        <v>2787</v>
      </c>
      <c r="AC1146" s="5" t="s">
        <v>2788</v>
      </c>
      <c r="AD1146" s="5" t="s">
        <v>2788</v>
      </c>
      <c r="AE1146" s="1">
        <v>45535</v>
      </c>
      <c r="AF1146" s="206" t="s">
        <v>2789</v>
      </c>
      <c r="AG1146" t="str">
        <f>VLOOKUP(OfficeForms.Table[[#This Row],[Nama Proyek]],'Nama Proyek'!$D$2:$G$40,4,0)</f>
        <v>-0.99046214,116.69024762</v>
      </c>
      <c r="AH1146" s="5"/>
      <c r="AI1146" s="5"/>
      <c r="AJ1146" s="5"/>
      <c r="AK1146" s="5" t="s">
        <v>2790</v>
      </c>
    </row>
    <row r="1147" spans="1:37">
      <c r="A1147">
        <v>60</v>
      </c>
      <c r="B1147" s="163">
        <v>45538.589837963002</v>
      </c>
      <c r="C1147" s="27">
        <v>45538.597337963001</v>
      </c>
      <c r="D1147" s="120" t="s">
        <v>2703</v>
      </c>
      <c r="E1147" s="5" t="s">
        <v>2704</v>
      </c>
      <c r="F1147" s="5" t="s">
        <v>2214</v>
      </c>
      <c r="G1147" s="185" t="s">
        <v>1315</v>
      </c>
      <c r="H1147" s="204"/>
      <c r="I1147" s="205">
        <v>79.613</v>
      </c>
      <c r="J1147" s="205">
        <v>87.427999999999997</v>
      </c>
      <c r="K1147" s="205">
        <v>49.38</v>
      </c>
      <c r="L1147" s="205">
        <v>79.400000000000006</v>
      </c>
      <c r="M1147" s="205">
        <v>70</v>
      </c>
      <c r="N1147" s="205">
        <v>34.807000000000002</v>
      </c>
      <c r="O1147" s="205">
        <v>0.94099999999999995</v>
      </c>
      <c r="P1147" s="205">
        <v>4.0419999999999998</v>
      </c>
      <c r="Q1147" s="205">
        <v>0.11</v>
      </c>
      <c r="R1147" s="205">
        <v>1.3220000000000001</v>
      </c>
      <c r="S1147" s="205">
        <v>9.7650000000000006</v>
      </c>
      <c r="T1147" s="205">
        <v>10.614000000000001</v>
      </c>
      <c r="U1147" s="205"/>
      <c r="V1147" s="205">
        <v>8.5730000000000004</v>
      </c>
      <c r="W1147" s="205">
        <v>1.405</v>
      </c>
      <c r="X1147" s="205"/>
      <c r="Y1147" s="205">
        <v>2.2320000000000002</v>
      </c>
      <c r="Z1147" s="205">
        <v>79.613</v>
      </c>
      <c r="AA1147" s="120" t="s">
        <v>2791</v>
      </c>
      <c r="AB1147" s="120" t="s">
        <v>2792</v>
      </c>
      <c r="AC1147" s="5"/>
      <c r="AD1147" s="5"/>
      <c r="AE1147" s="1"/>
      <c r="AF1147" s="206"/>
      <c r="AG1147" t="str">
        <f>VLOOKUP(OfficeForms.Table[[#This Row],[Nama Proyek]],'Nama Proyek'!$D$2:$G$40,4,0)</f>
        <v>-6.42093860,107.18760070</v>
      </c>
      <c r="AH1147" s="5"/>
      <c r="AI1147" s="5"/>
      <c r="AJ1147" s="5"/>
      <c r="AK1147" s="5" t="s">
        <v>2793</v>
      </c>
    </row>
    <row r="1148" spans="1:37">
      <c r="A1148">
        <v>62</v>
      </c>
      <c r="B1148" s="163">
        <v>45545.591168981497</v>
      </c>
      <c r="C1148" s="27">
        <v>45545.592430555596</v>
      </c>
      <c r="D1148" s="185" t="s">
        <v>2794</v>
      </c>
      <c r="E1148" s="5" t="s">
        <v>252</v>
      </c>
      <c r="F1148" s="5" t="s">
        <v>252</v>
      </c>
      <c r="G1148" s="185" t="s">
        <v>924</v>
      </c>
      <c r="H1148" s="204">
        <v>45379</v>
      </c>
      <c r="I1148" s="205">
        <v>100</v>
      </c>
      <c r="J1148" s="205">
        <v>100</v>
      </c>
      <c r="K1148" s="205"/>
      <c r="L1148" s="205"/>
      <c r="M1148" s="205"/>
      <c r="N1148" s="205"/>
      <c r="O1148" s="205"/>
      <c r="P1148" s="205"/>
      <c r="Q1148" s="205"/>
      <c r="R1148" s="205"/>
      <c r="S1148" s="205"/>
      <c r="T1148" s="205"/>
      <c r="U1148" s="205"/>
      <c r="V1148" s="205"/>
      <c r="W1148" s="205"/>
      <c r="X1148" s="205"/>
      <c r="Y1148" s="205"/>
      <c r="Z1148" s="205"/>
      <c r="AA1148" s="5"/>
      <c r="AB1148" s="5"/>
      <c r="AC1148" s="5"/>
      <c r="AD1148" s="5"/>
      <c r="AE1148" s="1"/>
      <c r="AF1148" s="206"/>
      <c r="AG1148" t="str">
        <f>VLOOKUP(OfficeForms.Table[[#This Row],[Nama Proyek]],'Nama Proyek'!$D$2:$G$40,4,0)</f>
        <v>-3.25078511,134.87791156</v>
      </c>
      <c r="AH1148" s="5"/>
      <c r="AI1148" s="5"/>
      <c r="AJ1148" s="5"/>
      <c r="AK1148" s="5" t="s">
        <v>2795</v>
      </c>
    </row>
    <row r="1149" spans="1:37">
      <c r="A1149">
        <v>63</v>
      </c>
      <c r="B1149" s="163">
        <v>45560.664166666698</v>
      </c>
      <c r="C1149" s="27">
        <v>45560.676469907397</v>
      </c>
      <c r="D1149" s="185" t="s">
        <v>2781</v>
      </c>
      <c r="E1149" s="5" t="s">
        <v>1546</v>
      </c>
      <c r="F1149" s="5" t="s">
        <v>1546</v>
      </c>
      <c r="G1149" s="185" t="s">
        <v>1480</v>
      </c>
      <c r="H1149" s="204">
        <v>45560</v>
      </c>
      <c r="I1149" s="205"/>
      <c r="J1149" s="205"/>
      <c r="K1149" s="205"/>
      <c r="L1149" s="205"/>
      <c r="M1149" s="205"/>
      <c r="N1149" s="205"/>
      <c r="O1149" s="205"/>
      <c r="P1149" s="205"/>
      <c r="Q1149" s="205"/>
      <c r="R1149" s="205"/>
      <c r="S1149" s="205"/>
      <c r="T1149" s="205"/>
      <c r="U1149" s="205"/>
      <c r="V1149" s="205"/>
      <c r="W1149" s="205"/>
      <c r="X1149" s="205"/>
      <c r="Y1149" s="205"/>
      <c r="Z1149" s="205"/>
      <c r="AA1149" s="5" t="s">
        <v>2796</v>
      </c>
      <c r="AB1149" s="5" t="s">
        <v>2797</v>
      </c>
      <c r="AC1149" s="120" t="s">
        <v>2798</v>
      </c>
      <c r="AD1149" s="5" t="s">
        <v>2799</v>
      </c>
      <c r="AE1149" s="1"/>
      <c r="AF1149" s="206"/>
      <c r="AG1149" t="str">
        <f>VLOOKUP(OfficeForms.Table[[#This Row],[Nama Proyek]],'Nama Proyek'!$D$2:$G$40,4,0)</f>
        <v>-6.23191260,107.90813480</v>
      </c>
      <c r="AH1149" s="5"/>
      <c r="AI1149" s="5"/>
      <c r="AJ1149" s="5"/>
      <c r="AK1149" s="5" t="s">
        <v>2800</v>
      </c>
    </row>
    <row r="1150" spans="1:37">
      <c r="A1150">
        <v>64</v>
      </c>
      <c r="B1150" s="163">
        <v>45562.663622685199</v>
      </c>
      <c r="C1150" s="27">
        <v>45562.666724536997</v>
      </c>
      <c r="D1150" s="120" t="s">
        <v>2585</v>
      </c>
      <c r="E1150" s="5" t="s">
        <v>2586</v>
      </c>
      <c r="F1150" s="5" t="s">
        <v>1479</v>
      </c>
      <c r="G1150" s="185" t="s">
        <v>1480</v>
      </c>
      <c r="H1150" s="204">
        <v>45557</v>
      </c>
      <c r="I1150" s="205">
        <v>58.95</v>
      </c>
      <c r="J1150" s="205">
        <v>63.9</v>
      </c>
      <c r="K1150" s="205"/>
      <c r="L1150" s="205"/>
      <c r="M1150" s="205"/>
      <c r="N1150" s="205"/>
      <c r="O1150" s="205"/>
      <c r="P1150" s="205"/>
      <c r="Q1150" s="205"/>
      <c r="R1150" s="205"/>
      <c r="S1150" s="205"/>
      <c r="T1150" s="205"/>
      <c r="U1150" s="205"/>
      <c r="V1150" s="205"/>
      <c r="W1150" s="205"/>
      <c r="X1150" s="205"/>
      <c r="Y1150" s="205"/>
      <c r="Z1150" s="205"/>
      <c r="AA1150" s="5"/>
      <c r="AB1150" s="5"/>
      <c r="AC1150" s="5"/>
      <c r="AD1150" s="5"/>
      <c r="AE1150" s="1">
        <v>45562</v>
      </c>
      <c r="AF1150" s="206" t="s">
        <v>2801</v>
      </c>
      <c r="AG1150" t="str">
        <f>VLOOKUP(OfficeForms.Table[[#This Row],[Nama Proyek]],'Nama Proyek'!$D$2:$G$40,4,0)</f>
        <v>-6.23191260,107.90813480</v>
      </c>
      <c r="AH1150" s="5"/>
      <c r="AI1150" s="5"/>
      <c r="AJ1150" s="5"/>
      <c r="AK1150" s="5" t="s">
        <v>2802</v>
      </c>
    </row>
    <row r="1151" spans="1:37" ht="121.5">
      <c r="A1151">
        <v>65</v>
      </c>
      <c r="B1151" s="163">
        <v>45562.977245370399</v>
      </c>
      <c r="C1151" s="27">
        <v>45562.993946759299</v>
      </c>
      <c r="D1151" s="185" t="s">
        <v>2600</v>
      </c>
      <c r="E1151" s="5" t="s">
        <v>855</v>
      </c>
      <c r="F1151" s="5" t="s">
        <v>855</v>
      </c>
      <c r="G1151" s="185" t="s">
        <v>2601</v>
      </c>
      <c r="H1151" s="204">
        <v>45560</v>
      </c>
      <c r="I1151" s="205">
        <v>30.32</v>
      </c>
      <c r="J1151" s="205">
        <v>30.175000000000001</v>
      </c>
      <c r="K1151" s="205">
        <v>0.79400000000000004</v>
      </c>
      <c r="L1151" s="205">
        <v>0.188</v>
      </c>
      <c r="M1151" s="205">
        <v>1.423</v>
      </c>
      <c r="N1151" s="205"/>
      <c r="O1151" s="205">
        <v>0</v>
      </c>
      <c r="P1151" s="205">
        <v>0.219</v>
      </c>
      <c r="Q1151" s="205">
        <v>27.692</v>
      </c>
      <c r="R1151" s="205"/>
      <c r="S1151" s="205">
        <v>5.0000000000000001E-3</v>
      </c>
      <c r="T1151" s="205"/>
      <c r="U1151" s="205"/>
      <c r="V1151" s="205"/>
      <c r="W1151" s="205"/>
      <c r="X1151" s="205"/>
      <c r="Y1151" s="205"/>
      <c r="Z1151" s="205"/>
      <c r="AA1151" s="120" t="s">
        <v>2803</v>
      </c>
      <c r="AB1151" s="120" t="s">
        <v>2804</v>
      </c>
      <c r="AC1151" s="120" t="s">
        <v>2805</v>
      </c>
      <c r="AD1151" s="120" t="s">
        <v>2806</v>
      </c>
      <c r="AE1151" s="1">
        <v>45560</v>
      </c>
      <c r="AF1151" s="206" t="s">
        <v>2807</v>
      </c>
      <c r="AG1151" t="str">
        <f>VLOOKUP(OfficeForms.Table[[#This Row],[Nama Proyek]],'Nama Proyek'!$D$2:$G$40,4,0)</f>
        <v>-1.13731907,116.79020552</v>
      </c>
      <c r="AH1151" s="5"/>
      <c r="AI1151" s="5"/>
      <c r="AJ1151" s="5"/>
      <c r="AK1151" s="5" t="s">
        <v>2808</v>
      </c>
    </row>
    <row r="1152" spans="1:37">
      <c r="A1152">
        <v>66</v>
      </c>
      <c r="B1152" s="163">
        <v>45563.522326388898</v>
      </c>
      <c r="C1152" s="27">
        <v>45563.538263888899</v>
      </c>
      <c r="D1152" s="120" t="s">
        <v>2662</v>
      </c>
      <c r="E1152" s="5" t="s">
        <v>998</v>
      </c>
      <c r="F1152" s="5" t="s">
        <v>998</v>
      </c>
      <c r="G1152" s="185" t="s">
        <v>2663</v>
      </c>
      <c r="H1152" s="204">
        <v>45557</v>
      </c>
      <c r="I1152" s="205">
        <v>65.945999999999998</v>
      </c>
      <c r="J1152" s="205">
        <v>69.686999999999998</v>
      </c>
      <c r="K1152" s="205">
        <v>2.153</v>
      </c>
      <c r="L1152" s="205">
        <v>0.71299999999999997</v>
      </c>
      <c r="M1152" s="205">
        <v>25.870999999999999</v>
      </c>
      <c r="N1152" s="205"/>
      <c r="O1152" s="205">
        <v>2.6509999999999998</v>
      </c>
      <c r="P1152" s="205">
        <v>0.89300000000000002</v>
      </c>
      <c r="Q1152" s="205">
        <v>33.567999999999998</v>
      </c>
      <c r="R1152" s="205"/>
      <c r="S1152" s="205">
        <v>9.7000000000000003E-2</v>
      </c>
      <c r="T1152" s="205"/>
      <c r="U1152" s="205"/>
      <c r="V1152" s="205"/>
      <c r="W1152" s="205"/>
      <c r="X1152" s="205"/>
      <c r="Y1152" s="205"/>
      <c r="Z1152" s="205"/>
      <c r="AA1152" s="5" t="s">
        <v>2809</v>
      </c>
      <c r="AB1152" s="5" t="s">
        <v>2810</v>
      </c>
      <c r="AC1152" s="5" t="s">
        <v>2811</v>
      </c>
      <c r="AD1152" s="5" t="s">
        <v>2812</v>
      </c>
      <c r="AE1152" s="1">
        <v>45561</v>
      </c>
      <c r="AF1152" s="206" t="s">
        <v>2749</v>
      </c>
      <c r="AG1152" t="str">
        <f>VLOOKUP(OfficeForms.Table[[#This Row],[Nama Proyek]],'Nama Proyek'!$D$2:$G$40,4,0)</f>
        <v>-1.15205556,116.69316667</v>
      </c>
      <c r="AH1152" s="5"/>
      <c r="AI1152" s="5"/>
      <c r="AJ1152" s="5"/>
      <c r="AK1152" s="5" t="s">
        <v>2813</v>
      </c>
    </row>
    <row r="1153" spans="1:37">
      <c r="A1153">
        <v>67</v>
      </c>
      <c r="B1153" s="163">
        <v>45565.170127314799</v>
      </c>
      <c r="C1153" s="27">
        <v>45565.187129629601</v>
      </c>
      <c r="D1153" s="185" t="s">
        <v>2522</v>
      </c>
      <c r="E1153" s="5" t="s">
        <v>1282</v>
      </c>
      <c r="F1153" s="5" t="s">
        <v>1282</v>
      </c>
      <c r="G1153" s="185" t="s">
        <v>989</v>
      </c>
      <c r="H1153" s="204">
        <v>45565</v>
      </c>
      <c r="I1153" s="205">
        <v>99.897999999999996</v>
      </c>
      <c r="J1153" s="205">
        <v>99.894999999999996</v>
      </c>
      <c r="K1153" s="205">
        <v>3.1059999999999999</v>
      </c>
      <c r="L1153" s="205">
        <v>0.54700000000000004</v>
      </c>
      <c r="M1153" s="205">
        <v>0</v>
      </c>
      <c r="N1153" s="205">
        <v>22.876999999999999</v>
      </c>
      <c r="O1153" s="205">
        <v>0.156</v>
      </c>
      <c r="P1153" s="205">
        <v>2.9929999999999999</v>
      </c>
      <c r="Q1153" s="205">
        <v>0.23200000000000001</v>
      </c>
      <c r="R1153" s="205">
        <v>2.9089999999999998</v>
      </c>
      <c r="S1153" s="205">
        <v>18.736999999999998</v>
      </c>
      <c r="T1153" s="205">
        <v>39.194000000000003</v>
      </c>
      <c r="U1153" s="205">
        <v>0</v>
      </c>
      <c r="V1153" s="205">
        <v>6.0540000000000003</v>
      </c>
      <c r="W1153" s="205">
        <v>1.599</v>
      </c>
      <c r="X1153" s="205">
        <v>0.47099999999999997</v>
      </c>
      <c r="Y1153" s="205">
        <v>0</v>
      </c>
      <c r="Z1153" s="205">
        <v>0.77100000000000002</v>
      </c>
      <c r="AA1153" s="5"/>
      <c r="AB1153" s="5"/>
      <c r="AC1153" s="5"/>
      <c r="AD1153" s="5"/>
      <c r="AE1153" s="1">
        <v>45565</v>
      </c>
      <c r="AF1153" s="206" t="s">
        <v>2814</v>
      </c>
      <c r="AG1153" t="str">
        <f>VLOOKUP(OfficeForms.Table[[#This Row],[Nama Proyek]],'Nama Proyek'!$D$2:$G$40,4,0)</f>
        <v>-1.98399270,103.7135193</v>
      </c>
      <c r="AH1153" s="5"/>
      <c r="AI1153" s="5"/>
      <c r="AJ1153" s="5"/>
      <c r="AK1153" s="5" t="s">
        <v>2815</v>
      </c>
    </row>
    <row r="1154" spans="1:37" ht="219.75">
      <c r="A1154">
        <v>68</v>
      </c>
      <c r="B1154" s="163">
        <v>45565.360416666699</v>
      </c>
      <c r="C1154" s="27">
        <v>45565.375983796301</v>
      </c>
      <c r="D1154" s="120" t="s">
        <v>2525</v>
      </c>
      <c r="E1154" s="5" t="s">
        <v>47</v>
      </c>
      <c r="F1154" s="5" t="s">
        <v>47</v>
      </c>
      <c r="G1154" s="185" t="s">
        <v>2734</v>
      </c>
      <c r="H1154" s="204">
        <v>45562</v>
      </c>
      <c r="I1154" s="205">
        <v>4.9039999999999999</v>
      </c>
      <c r="J1154" s="205">
        <v>5.7549999999999999</v>
      </c>
      <c r="K1154" s="205">
        <v>0.498</v>
      </c>
      <c r="L1154" s="205">
        <v>0.114</v>
      </c>
      <c r="M1154" s="205">
        <v>2.3E-2</v>
      </c>
      <c r="N1154" s="205">
        <v>1.7949999999999999</v>
      </c>
      <c r="O1154" s="205">
        <v>3.2000000000000001E-2</v>
      </c>
      <c r="P1154" s="205"/>
      <c r="Q1154" s="205">
        <v>2E-3</v>
      </c>
      <c r="R1154" s="205"/>
      <c r="S1154" s="205"/>
      <c r="T1154" s="205">
        <v>1.1910000000000001</v>
      </c>
      <c r="U1154" s="205"/>
      <c r="V1154" s="205"/>
      <c r="W1154" s="205"/>
      <c r="X1154" s="205"/>
      <c r="Y1154" s="205"/>
      <c r="Z1154" s="205"/>
      <c r="AA1154" s="5" t="s">
        <v>2816</v>
      </c>
      <c r="AB1154" s="5" t="s">
        <v>2817</v>
      </c>
      <c r="AC1154" s="5" t="s">
        <v>2818</v>
      </c>
      <c r="AD1154" s="5"/>
      <c r="AE1154" s="1">
        <v>45560</v>
      </c>
      <c r="AF1154" s="206" t="s">
        <v>2819</v>
      </c>
      <c r="AG1154" t="str">
        <f>VLOOKUP(OfficeForms.Table[[#This Row],[Nama Proyek]],'Nama Proyek'!$D$2:$G$40,4,0)</f>
        <v>-6.8812050213,106.7893827682</v>
      </c>
      <c r="AH1154" s="5"/>
      <c r="AI1154" s="5"/>
      <c r="AJ1154" s="5"/>
      <c r="AK1154" s="5" t="s">
        <v>2820</v>
      </c>
    </row>
    <row r="1155" spans="1:37">
      <c r="A1155">
        <v>69</v>
      </c>
      <c r="B1155" s="163">
        <v>45565.390659722201</v>
      </c>
      <c r="C1155" s="27">
        <v>45565.4355208333</v>
      </c>
      <c r="D1155" s="185" t="s">
        <v>2634</v>
      </c>
      <c r="E1155" s="5" t="s">
        <v>109</v>
      </c>
      <c r="F1155" s="5" t="s">
        <v>109</v>
      </c>
      <c r="G1155" s="185" t="s">
        <v>2267</v>
      </c>
      <c r="H1155" s="204">
        <v>45564</v>
      </c>
      <c r="I1155" s="205">
        <v>23.873999999999999</v>
      </c>
      <c r="J1155" s="205">
        <v>31.035</v>
      </c>
      <c r="K1155" s="205">
        <v>74.38</v>
      </c>
      <c r="L1155" s="205">
        <v>77.98</v>
      </c>
      <c r="M1155" s="205">
        <v>82.45</v>
      </c>
      <c r="N1155" s="205">
        <v>20.88</v>
      </c>
      <c r="O1155" s="205">
        <v>61.14</v>
      </c>
      <c r="P1155" s="205">
        <v>2.72</v>
      </c>
      <c r="Q1155" s="205">
        <v>9.7799999999999994</v>
      </c>
      <c r="R1155" s="205">
        <v>1.66</v>
      </c>
      <c r="S1155" s="205">
        <v>1.36</v>
      </c>
      <c r="T1155" s="205">
        <v>23.77</v>
      </c>
      <c r="U1155" s="205">
        <v>0</v>
      </c>
      <c r="V1155" s="205">
        <v>0.39</v>
      </c>
      <c r="W1155" s="205">
        <v>0</v>
      </c>
      <c r="X1155" s="205">
        <v>0</v>
      </c>
      <c r="Y1155" s="205">
        <v>42.53</v>
      </c>
      <c r="Z1155" s="205">
        <v>0</v>
      </c>
      <c r="AA1155" s="5" t="s">
        <v>2821</v>
      </c>
      <c r="AB1155" s="5" t="s">
        <v>2822</v>
      </c>
      <c r="AC1155" s="5" t="s">
        <v>2823</v>
      </c>
      <c r="AD1155" s="5" t="s">
        <v>2824</v>
      </c>
      <c r="AE1155" s="1">
        <v>45564</v>
      </c>
      <c r="AF1155" s="206" t="s">
        <v>2825</v>
      </c>
      <c r="AG1155" t="str">
        <f>VLOOKUP(OfficeForms.Table[[#This Row],[Nama Proyek]],'Nama Proyek'!$D$2:$G$40,4,0)</f>
        <v>-6.88120502,106.78938277</v>
      </c>
      <c r="AH1155" s="5"/>
      <c r="AI1155" s="5"/>
      <c r="AJ1155" s="5"/>
      <c r="AK1155" s="5" t="s">
        <v>2826</v>
      </c>
    </row>
    <row r="1156" spans="1:37">
      <c r="A1156">
        <v>70</v>
      </c>
      <c r="B1156" s="163">
        <v>45565.666064814803</v>
      </c>
      <c r="C1156" s="27">
        <v>45565.837129629603</v>
      </c>
      <c r="D1156" s="185" t="s">
        <v>2522</v>
      </c>
      <c r="E1156" s="5" t="s">
        <v>1282</v>
      </c>
      <c r="F1156" s="5" t="s">
        <v>1282</v>
      </c>
      <c r="G1156" s="185" t="s">
        <v>989</v>
      </c>
      <c r="H1156" s="204">
        <v>45565</v>
      </c>
      <c r="I1156" s="205"/>
      <c r="J1156" s="205"/>
      <c r="K1156" s="205"/>
      <c r="L1156" s="205"/>
      <c r="M1156" s="205"/>
      <c r="N1156" s="205"/>
      <c r="O1156" s="205"/>
      <c r="P1156" s="205"/>
      <c r="Q1156" s="205"/>
      <c r="R1156" s="205"/>
      <c r="S1156" s="205"/>
      <c r="T1156" s="205"/>
      <c r="U1156" s="205"/>
      <c r="V1156" s="205"/>
      <c r="W1156" s="205"/>
      <c r="X1156" s="205"/>
      <c r="Y1156" s="205"/>
      <c r="Z1156" s="205"/>
      <c r="AA1156" s="5" t="s">
        <v>2827</v>
      </c>
      <c r="AB1156" s="5"/>
      <c r="AC1156" s="5" t="s">
        <v>2828</v>
      </c>
      <c r="AD1156" s="5" t="s">
        <v>2829</v>
      </c>
      <c r="AE1156" s="1"/>
      <c r="AF1156" s="206"/>
      <c r="AG1156" t="str">
        <f>VLOOKUP(OfficeForms.Table[[#This Row],[Nama Proyek]],'Nama Proyek'!$D$2:$G$40,4,0)</f>
        <v>-1.98399270,103.7135193</v>
      </c>
      <c r="AH1156" s="5"/>
      <c r="AI1156" s="5"/>
      <c r="AJ1156" s="5"/>
      <c r="AK1156" s="5" t="s">
        <v>2830</v>
      </c>
    </row>
    <row r="1157" spans="1:37">
      <c r="A1157">
        <v>71</v>
      </c>
      <c r="B1157" s="163">
        <v>45566.373402777797</v>
      </c>
      <c r="C1157" s="27">
        <v>45566.374583333301</v>
      </c>
      <c r="D1157" s="120" t="s">
        <v>2509</v>
      </c>
      <c r="E1157" s="5" t="s">
        <v>687</v>
      </c>
      <c r="F1157" s="5" t="s">
        <v>687</v>
      </c>
      <c r="G1157" s="185" t="s">
        <v>750</v>
      </c>
      <c r="H1157" s="204">
        <v>45565</v>
      </c>
      <c r="I1157" s="205">
        <v>94.637</v>
      </c>
      <c r="J1157" s="205">
        <v>94.57</v>
      </c>
      <c r="K1157" s="205"/>
      <c r="L1157" s="205"/>
      <c r="M1157" s="205"/>
      <c r="N1157" s="205"/>
      <c r="O1157" s="205"/>
      <c r="P1157" s="205"/>
      <c r="Q1157" s="205"/>
      <c r="R1157" s="205"/>
      <c r="S1157" s="205"/>
      <c r="T1157" s="205"/>
      <c r="U1157" s="205"/>
      <c r="V1157" s="205"/>
      <c r="W1157" s="205"/>
      <c r="X1157" s="205"/>
      <c r="Y1157" s="205"/>
      <c r="Z1157" s="205"/>
      <c r="AA1157" s="5" t="s">
        <v>2831</v>
      </c>
      <c r="AB1157" s="5" t="s">
        <v>2832</v>
      </c>
      <c r="AC1157" s="5" t="s">
        <v>2833</v>
      </c>
      <c r="AD1157" s="5" t="s">
        <v>2833</v>
      </c>
      <c r="AE1157" s="1">
        <v>45565</v>
      </c>
      <c r="AF1157" s="206" t="s">
        <v>2297</v>
      </c>
      <c r="AG1157" t="str">
        <f>VLOOKUP(OfficeForms.Table[[#This Row],[Nama Proyek]],'Nama Proyek'!$D$2:$G$40,4,0)</f>
        <v>-1.10415341,116.73424356</v>
      </c>
      <c r="AH1157" s="5"/>
      <c r="AI1157" s="5"/>
      <c r="AJ1157" s="5"/>
      <c r="AK1157" s="5" t="s">
        <v>2834</v>
      </c>
    </row>
    <row r="1158" spans="1:37" ht="152.25">
      <c r="A1158">
        <v>73</v>
      </c>
      <c r="B1158" s="163">
        <v>45566.467395833301</v>
      </c>
      <c r="C1158" s="27">
        <v>45566.502303240697</v>
      </c>
      <c r="D1158" s="120" t="s">
        <v>2718</v>
      </c>
      <c r="E1158" s="5" t="s">
        <v>82</v>
      </c>
      <c r="F1158" s="5" t="s">
        <v>82</v>
      </c>
      <c r="G1158" s="185" t="s">
        <v>1317</v>
      </c>
      <c r="H1158" s="204">
        <v>45564</v>
      </c>
      <c r="I1158" s="205">
        <v>49.505000000000003</v>
      </c>
      <c r="J1158" s="205">
        <v>50.405000000000001</v>
      </c>
      <c r="K1158" s="205">
        <v>0.86899808334176898</v>
      </c>
      <c r="L1158" s="205">
        <v>0.19134891287814501</v>
      </c>
      <c r="M1158" s="205">
        <v>7.4875811944239506E-2</v>
      </c>
      <c r="N1158" s="205">
        <v>29.2128523633565</v>
      </c>
      <c r="O1158" s="205">
        <v>0.201999574290426</v>
      </c>
      <c r="P1158" s="205">
        <v>0.19776245978947399</v>
      </c>
      <c r="Q1158" s="205">
        <v>3.8523821495501702E-2</v>
      </c>
      <c r="R1158" s="205">
        <v>0.25913468920358901</v>
      </c>
      <c r="S1158" s="205">
        <v>0.15991960493663299</v>
      </c>
      <c r="T1158" s="205">
        <v>14.701413893899501</v>
      </c>
      <c r="U1158" s="205">
        <v>0</v>
      </c>
      <c r="V1158" s="205">
        <v>3.5978597992209802</v>
      </c>
      <c r="W1158" s="205">
        <v>0</v>
      </c>
      <c r="X1158" s="205">
        <v>0</v>
      </c>
      <c r="Y1158" s="205">
        <v>0</v>
      </c>
      <c r="Z1158" s="205">
        <v>0</v>
      </c>
      <c r="AA1158" s="5" t="s">
        <v>2835</v>
      </c>
      <c r="AB1158" s="5" t="s">
        <v>2836</v>
      </c>
      <c r="AC1158" s="5" t="s">
        <v>2413</v>
      </c>
      <c r="AD1158" s="5" t="s">
        <v>2413</v>
      </c>
      <c r="AE1158" s="1">
        <v>45564</v>
      </c>
      <c r="AF1158" s="206" t="s">
        <v>2837</v>
      </c>
      <c r="AG1158" t="str">
        <f>VLOOKUP(OfficeForms.Table[[#This Row],[Nama Proyek]],'Nama Proyek'!$D$2:$G$40,4,0)</f>
        <v>-7.72647690,113.63515320</v>
      </c>
      <c r="AH1158" s="5"/>
      <c r="AI1158" s="5"/>
      <c r="AJ1158" s="5"/>
      <c r="AK1158" s="5" t="s">
        <v>2838</v>
      </c>
    </row>
    <row r="1159" spans="1:37" ht="213">
      <c r="A1159">
        <v>72</v>
      </c>
      <c r="B1159" s="163">
        <v>45566.482476851903</v>
      </c>
      <c r="C1159" s="27">
        <v>45566.491307870398</v>
      </c>
      <c r="D1159" s="185" t="s">
        <v>2546</v>
      </c>
      <c r="E1159" s="5" t="s">
        <v>85</v>
      </c>
      <c r="F1159" s="5" t="s">
        <v>2421</v>
      </c>
      <c r="G1159" s="185" t="s">
        <v>2336</v>
      </c>
      <c r="H1159" s="204">
        <v>45564</v>
      </c>
      <c r="I1159" s="205">
        <v>16.428999999999998</v>
      </c>
      <c r="J1159" s="205">
        <v>21.398</v>
      </c>
      <c r="K1159" s="205">
        <v>2.1709999999999998</v>
      </c>
      <c r="L1159" s="205">
        <v>0.153</v>
      </c>
      <c r="M1159" s="205">
        <v>0</v>
      </c>
      <c r="N1159" s="205">
        <v>9.36</v>
      </c>
      <c r="O1159" s="205">
        <v>4.2999999999999997E-2</v>
      </c>
      <c r="P1159" s="205">
        <v>0</v>
      </c>
      <c r="Q1159" s="205">
        <v>0</v>
      </c>
      <c r="R1159" s="205">
        <v>0</v>
      </c>
      <c r="S1159" s="205">
        <v>0</v>
      </c>
      <c r="T1159" s="205">
        <v>4.7030000000000003</v>
      </c>
      <c r="U1159" s="205">
        <v>0</v>
      </c>
      <c r="V1159" s="205">
        <v>0</v>
      </c>
      <c r="W1159" s="205">
        <v>0</v>
      </c>
      <c r="X1159" s="205">
        <v>0</v>
      </c>
      <c r="Y1159" s="205">
        <v>0</v>
      </c>
      <c r="Z1159" s="205">
        <v>0</v>
      </c>
      <c r="AA1159" s="5" t="s">
        <v>2337</v>
      </c>
      <c r="AB1159" s="5" t="s">
        <v>2839</v>
      </c>
      <c r="AC1159" s="5" t="s">
        <v>2362</v>
      </c>
      <c r="AD1159" s="5" t="s">
        <v>2362</v>
      </c>
      <c r="AE1159" s="1">
        <v>45565</v>
      </c>
      <c r="AF1159" s="206" t="s">
        <v>2840</v>
      </c>
      <c r="AG1159" t="str">
        <f>VLOOKUP(OfficeForms.Table[[#This Row],[Nama Proyek]],'Nama Proyek'!$D$2:$G$40,4,0)</f>
        <v>-6.33533300,107.77576100</v>
      </c>
      <c r="AH1159" s="5"/>
      <c r="AI1159" s="5"/>
      <c r="AJ1159" s="5"/>
      <c r="AK1159" s="5" t="s">
        <v>2841</v>
      </c>
    </row>
    <row r="1160" spans="1:37">
      <c r="A1160">
        <v>75</v>
      </c>
      <c r="B1160" s="163">
        <v>45566.588252314803</v>
      </c>
      <c r="C1160" s="27">
        <v>45566.712442129603</v>
      </c>
      <c r="D1160" s="120" t="s">
        <v>2256</v>
      </c>
      <c r="E1160" s="5" t="s">
        <v>734</v>
      </c>
      <c r="F1160" s="5" t="s">
        <v>2842</v>
      </c>
      <c r="G1160" s="185" t="s">
        <v>735</v>
      </c>
      <c r="H1160" s="204">
        <v>45565</v>
      </c>
      <c r="I1160" s="205">
        <v>70.266000000000005</v>
      </c>
      <c r="J1160" s="205">
        <v>69.465999999999994</v>
      </c>
      <c r="K1160" s="205">
        <v>0.39200000000000002</v>
      </c>
      <c r="L1160" s="205">
        <v>2.2189999999999999</v>
      </c>
      <c r="M1160" s="205">
        <v>44.036000000000001</v>
      </c>
      <c r="N1160" s="205">
        <v>10.821</v>
      </c>
      <c r="O1160" s="205">
        <v>0.93200000000000005</v>
      </c>
      <c r="P1160" s="205">
        <v>4.6210000000000004</v>
      </c>
      <c r="Q1160" s="205">
        <v>0.76300000000000001</v>
      </c>
      <c r="R1160" s="205"/>
      <c r="S1160" s="205"/>
      <c r="T1160" s="205"/>
      <c r="U1160" s="205"/>
      <c r="V1160" s="205"/>
      <c r="W1160" s="205"/>
      <c r="X1160" s="205"/>
      <c r="Y1160" s="205"/>
      <c r="Z1160" s="205"/>
      <c r="AA1160" s="5" t="s">
        <v>2843</v>
      </c>
      <c r="AB1160" s="5" t="s">
        <v>2844</v>
      </c>
      <c r="AC1160" s="5"/>
      <c r="AD1160" s="5"/>
      <c r="AE1160" s="1">
        <v>45565</v>
      </c>
      <c r="AF1160" s="206" t="s">
        <v>2845</v>
      </c>
      <c r="AG1160" t="str">
        <f>VLOOKUP(OfficeForms.Table[[#This Row],[Nama Proyek]],'Nama Proyek'!$D$2:$G$40,4,0)</f>
        <v>-0.88562397,119.85928375</v>
      </c>
      <c r="AH1160" s="5"/>
      <c r="AI1160" s="5"/>
      <c r="AJ1160" s="5"/>
      <c r="AK1160" s="5" t="s">
        <v>2846</v>
      </c>
    </row>
    <row r="1161" spans="1:37">
      <c r="A1161">
        <v>74</v>
      </c>
      <c r="B1161" s="163">
        <v>45566.6168287037</v>
      </c>
      <c r="C1161" s="27">
        <v>45566.628576388903</v>
      </c>
      <c r="D1161" s="185" t="s">
        <v>2847</v>
      </c>
      <c r="E1161" s="5" t="s">
        <v>2848</v>
      </c>
      <c r="F1161" s="5" t="s">
        <v>2214</v>
      </c>
      <c r="G1161" s="185" t="s">
        <v>1315</v>
      </c>
      <c r="H1161" s="204">
        <v>45560</v>
      </c>
      <c r="I1161" s="205">
        <v>84.801000000000002</v>
      </c>
      <c r="J1161" s="205">
        <v>94.93</v>
      </c>
      <c r="K1161" s="205">
        <v>49.2</v>
      </c>
      <c r="L1161" s="205">
        <v>794</v>
      </c>
      <c r="M1161" s="205">
        <v>70</v>
      </c>
      <c r="N1161" s="205">
        <v>35038</v>
      </c>
      <c r="O1161" s="205">
        <v>941</v>
      </c>
      <c r="P1161" s="205">
        <v>6403</v>
      </c>
      <c r="Q1161" s="205">
        <v>110</v>
      </c>
      <c r="R1161" s="205">
        <v>1322</v>
      </c>
      <c r="S1161" s="205">
        <v>9765</v>
      </c>
      <c r="T1161" s="205">
        <v>10977</v>
      </c>
      <c r="U1161" s="205"/>
      <c r="V1161" s="205">
        <v>10574</v>
      </c>
      <c r="W1161" s="205">
        <v>1655</v>
      </c>
      <c r="X1161" s="205"/>
      <c r="Y1161" s="205">
        <v>2232</v>
      </c>
      <c r="Z1161" s="205"/>
      <c r="AA1161" s="5" t="s">
        <v>2849</v>
      </c>
      <c r="AB1161" s="5" t="s">
        <v>2850</v>
      </c>
      <c r="AC1161" s="5"/>
      <c r="AD1161" s="5"/>
      <c r="AE1161" s="1">
        <v>45560</v>
      </c>
      <c r="AF1161" s="206"/>
      <c r="AG1161" t="str">
        <f>VLOOKUP(OfficeForms.Table[[#This Row],[Nama Proyek]],'Nama Proyek'!$D$2:$G$40,4,0)</f>
        <v>-6.42093860,107.18760070</v>
      </c>
      <c r="AH1161" s="5"/>
      <c r="AI1161" s="5"/>
      <c r="AJ1161" s="5"/>
      <c r="AK1161" s="5" t="s">
        <v>2851</v>
      </c>
    </row>
    <row r="1162" spans="1:37">
      <c r="A1162">
        <v>76</v>
      </c>
      <c r="B1162" s="163">
        <v>45567.374155092599</v>
      </c>
      <c r="C1162" s="27">
        <v>45567.375706018502</v>
      </c>
      <c r="D1162" s="185" t="s">
        <v>2256</v>
      </c>
      <c r="E1162" s="5" t="s">
        <v>734</v>
      </c>
      <c r="F1162" s="5" t="s">
        <v>734</v>
      </c>
      <c r="G1162" s="185" t="s">
        <v>735</v>
      </c>
      <c r="H1162" s="204">
        <v>45565</v>
      </c>
      <c r="I1162" s="205"/>
      <c r="J1162" s="205"/>
      <c r="K1162" s="205"/>
      <c r="L1162" s="205"/>
      <c r="M1162" s="205"/>
      <c r="N1162" s="205"/>
      <c r="O1162" s="205"/>
      <c r="P1162" s="205"/>
      <c r="Q1162" s="205"/>
      <c r="R1162" s="205"/>
      <c r="S1162" s="205"/>
      <c r="T1162" s="205"/>
      <c r="U1162" s="205"/>
      <c r="V1162" s="205"/>
      <c r="W1162" s="205"/>
      <c r="X1162" s="205"/>
      <c r="Y1162" s="205"/>
      <c r="Z1162" s="205"/>
      <c r="AA1162" s="5"/>
      <c r="AB1162" s="5"/>
      <c r="AC1162" s="5" t="s">
        <v>2852</v>
      </c>
      <c r="AD1162" s="5" t="s">
        <v>2853</v>
      </c>
      <c r="AE1162" s="1"/>
      <c r="AF1162" s="206"/>
      <c r="AG1162" t="str">
        <f>VLOOKUP(OfficeForms.Table[[#This Row],[Nama Proyek]],'Nama Proyek'!$D$2:$G$40,4,0)</f>
        <v>-0.88562397,119.85928375</v>
      </c>
      <c r="AH1162" s="5"/>
      <c r="AI1162" s="5"/>
      <c r="AJ1162" s="5"/>
      <c r="AK1162" s="5" t="s">
        <v>2854</v>
      </c>
    </row>
    <row r="1163" spans="1:37" ht="30.75">
      <c r="A1163">
        <v>77</v>
      </c>
      <c r="B1163" s="163">
        <v>45569.570497685199</v>
      </c>
      <c r="C1163" s="27">
        <v>45569.576898148203</v>
      </c>
      <c r="D1163" s="120" t="s">
        <v>2580</v>
      </c>
      <c r="E1163" s="5" t="s">
        <v>57</v>
      </c>
      <c r="F1163" s="5" t="s">
        <v>57</v>
      </c>
      <c r="G1163" s="185" t="s">
        <v>1484</v>
      </c>
      <c r="H1163" s="204">
        <v>45560</v>
      </c>
      <c r="I1163" s="205">
        <v>66.42</v>
      </c>
      <c r="J1163" s="205">
        <v>53.073999999999998</v>
      </c>
      <c r="K1163" s="205">
        <v>1.478</v>
      </c>
      <c r="L1163" s="205">
        <v>1.2170000000000001</v>
      </c>
      <c r="M1163" s="205">
        <v>24.321000000000002</v>
      </c>
      <c r="N1163" s="205"/>
      <c r="O1163" s="205"/>
      <c r="P1163" s="205"/>
      <c r="Q1163" s="205">
        <v>39.404000000000003</v>
      </c>
      <c r="R1163" s="205"/>
      <c r="S1163" s="205"/>
      <c r="T1163" s="205"/>
      <c r="U1163" s="205"/>
      <c r="V1163" s="205"/>
      <c r="W1163" s="205"/>
      <c r="X1163" s="205"/>
      <c r="Y1163" s="205"/>
      <c r="Z1163" s="205"/>
      <c r="AA1163" s="5" t="s">
        <v>2855</v>
      </c>
      <c r="AB1163" s="5" t="s">
        <v>2856</v>
      </c>
      <c r="AC1163" s="120" t="s">
        <v>2857</v>
      </c>
      <c r="AD1163" s="120" t="s">
        <v>2857</v>
      </c>
      <c r="AE1163" s="1">
        <v>45560</v>
      </c>
      <c r="AF1163" s="206" t="s">
        <v>2858</v>
      </c>
      <c r="AG1163" t="str">
        <f>VLOOKUP(OfficeForms.Table[[#This Row],[Nama Proyek]],'Nama Proyek'!$D$2:$G$40,4,0)</f>
        <v>-8.01003300,110.33312900</v>
      </c>
      <c r="AH1163" s="5"/>
      <c r="AI1163" s="5"/>
      <c r="AJ1163" s="5"/>
      <c r="AK1163" s="5" t="s">
        <v>2859</v>
      </c>
    </row>
    <row r="1164" spans="1:37">
      <c r="A1164">
        <v>78</v>
      </c>
      <c r="B1164" s="163">
        <v>45586.497847222199</v>
      </c>
      <c r="C1164" s="27">
        <v>45586.503460648099</v>
      </c>
      <c r="D1164" s="185" t="s">
        <v>2607</v>
      </c>
      <c r="E1164" s="5" t="s">
        <v>2425</v>
      </c>
      <c r="F1164" s="5" t="s">
        <v>2425</v>
      </c>
      <c r="G1164" s="185" t="s">
        <v>2300</v>
      </c>
      <c r="H1164" s="204">
        <v>45534</v>
      </c>
      <c r="I1164" s="205">
        <v>100</v>
      </c>
      <c r="J1164" s="205">
        <v>99.78</v>
      </c>
      <c r="K1164" s="205">
        <v>0.77800000000000002</v>
      </c>
      <c r="L1164" s="205">
        <v>2.2349999999999999</v>
      </c>
      <c r="M1164" s="205">
        <v>67.763999999999996</v>
      </c>
      <c r="N1164" s="205">
        <v>0</v>
      </c>
      <c r="O1164" s="205">
        <v>2.5999999999999999E-2</v>
      </c>
      <c r="P1164" s="205">
        <v>0</v>
      </c>
      <c r="Q1164" s="205">
        <v>27.934000000000001</v>
      </c>
      <c r="R1164" s="205">
        <v>0</v>
      </c>
      <c r="S1164" s="205">
        <v>1.262</v>
      </c>
      <c r="T1164" s="205">
        <v>0</v>
      </c>
      <c r="U1164" s="205">
        <v>0</v>
      </c>
      <c r="V1164" s="205">
        <v>0</v>
      </c>
      <c r="W1164" s="205">
        <v>0</v>
      </c>
      <c r="X1164" s="205">
        <v>0</v>
      </c>
      <c r="Y1164" s="205">
        <v>0</v>
      </c>
      <c r="Z1164" s="205">
        <v>0</v>
      </c>
      <c r="AA1164" s="5" t="s">
        <v>2860</v>
      </c>
      <c r="AB1164" s="120" t="s">
        <v>2861</v>
      </c>
      <c r="AC1164" s="120" t="s">
        <v>2862</v>
      </c>
      <c r="AD1164" s="219" t="s">
        <v>2297</v>
      </c>
      <c r="AE1164" s="1">
        <v>45534</v>
      </c>
      <c r="AF1164" s="206" t="s">
        <v>2297</v>
      </c>
      <c r="AG1164" t="str">
        <f>VLOOKUP(OfficeForms.Table[[#This Row],[Nama Proyek]],'Nama Proyek'!$D$2:$G$40,4,0)</f>
        <v>-6.92723742,109.95182730</v>
      </c>
      <c r="AH1164" s="5"/>
      <c r="AI1164" s="5"/>
      <c r="AJ1164" s="5"/>
      <c r="AK1164" s="5" t="s">
        <v>2863</v>
      </c>
    </row>
    <row r="1165" spans="1:37">
      <c r="A1165">
        <v>79</v>
      </c>
      <c r="B1165" s="163">
        <v>45588.433784722198</v>
      </c>
      <c r="C1165" s="27">
        <v>45588.437314814801</v>
      </c>
      <c r="D1165" s="185" t="s">
        <v>2585</v>
      </c>
      <c r="E1165" s="5" t="s">
        <v>2586</v>
      </c>
      <c r="F1165" s="5" t="s">
        <v>1479</v>
      </c>
      <c r="G1165" s="185" t="s">
        <v>1480</v>
      </c>
      <c r="H1165" s="204">
        <v>45585</v>
      </c>
      <c r="I1165" s="205">
        <v>64.742000000000004</v>
      </c>
      <c r="J1165" s="205">
        <v>72.944000000000003</v>
      </c>
      <c r="K1165" s="205"/>
      <c r="L1165" s="205"/>
      <c r="M1165" s="205"/>
      <c r="N1165" s="205"/>
      <c r="O1165" s="205"/>
      <c r="P1165" s="205"/>
      <c r="Q1165" s="205"/>
      <c r="R1165" s="205"/>
      <c r="S1165" s="205"/>
      <c r="T1165" s="205"/>
      <c r="U1165" s="205"/>
      <c r="V1165" s="205"/>
      <c r="W1165" s="205"/>
      <c r="X1165" s="205"/>
      <c r="Y1165" s="205"/>
      <c r="Z1165" s="205"/>
      <c r="AA1165" s="5"/>
      <c r="AB1165" s="120"/>
      <c r="AC1165" s="120"/>
      <c r="AD1165" s="219"/>
      <c r="AE1165" s="1"/>
      <c r="AF1165" s="206"/>
      <c r="AG1165" t="str">
        <f>VLOOKUP(OfficeForms.Table[[#This Row],[Nama Proyek]],'Nama Proyek'!$D$2:$G$40,4,0)</f>
        <v>-6.23191260,107.90813480</v>
      </c>
      <c r="AH1165" s="5"/>
      <c r="AI1165" s="5"/>
      <c r="AJ1165" s="5"/>
      <c r="AK1165" s="5" t="s">
        <v>2864</v>
      </c>
    </row>
    <row r="1166" spans="1:37" ht="30.75">
      <c r="A1166">
        <v>80</v>
      </c>
      <c r="B1166" s="163">
        <v>45588.541145833296</v>
      </c>
      <c r="C1166" s="27">
        <v>45588.561793981498</v>
      </c>
      <c r="D1166" s="185" t="s">
        <v>2865</v>
      </c>
      <c r="E1166" s="5" t="s">
        <v>2866</v>
      </c>
      <c r="F1166" s="5" t="s">
        <v>2867</v>
      </c>
      <c r="G1166" s="185" t="s">
        <v>2290</v>
      </c>
      <c r="H1166" s="204">
        <v>45584</v>
      </c>
      <c r="I1166" s="205">
        <v>93.082999999999998</v>
      </c>
      <c r="J1166" s="205">
        <v>79.108000000000004</v>
      </c>
      <c r="K1166" s="205">
        <v>0.32800000000000001</v>
      </c>
      <c r="L1166" s="205">
        <v>4.8000000000000001E-2</v>
      </c>
      <c r="M1166" s="205">
        <v>38.430999999999997</v>
      </c>
      <c r="N1166" s="205">
        <v>0.28599999999999998</v>
      </c>
      <c r="O1166" s="205">
        <v>0.24299999999999999</v>
      </c>
      <c r="P1166" s="205">
        <v>53.442999999999998</v>
      </c>
      <c r="Q1166" s="205">
        <v>0.21099999999999999</v>
      </c>
      <c r="R1166" s="205">
        <v>9.4E-2</v>
      </c>
      <c r="S1166" s="205"/>
      <c r="T1166" s="205"/>
      <c r="U1166" s="205"/>
      <c r="V1166" s="205"/>
      <c r="W1166" s="205"/>
      <c r="X1166" s="205"/>
      <c r="Y1166" s="205"/>
      <c r="Z1166" s="205"/>
      <c r="AA1166" s="120" t="s">
        <v>2868</v>
      </c>
      <c r="AB1166" s="120" t="s">
        <v>2869</v>
      </c>
      <c r="AC1166" s="120" t="s">
        <v>2870</v>
      </c>
      <c r="AD1166" s="219"/>
      <c r="AE1166" s="1">
        <v>45584</v>
      </c>
      <c r="AF1166" s="206" t="s">
        <v>2871</v>
      </c>
      <c r="AG1166" t="str">
        <f>VLOOKUP(OfficeForms.Table[[#This Row],[Nama Proyek]],'Nama Proyek'!$D$2:$G$40,4,0)</f>
        <v>-0.99046214,116.69024762</v>
      </c>
      <c r="AH1166" s="5"/>
      <c r="AI1166" s="5"/>
      <c r="AJ1166" s="5"/>
      <c r="AK1166" s="5" t="s">
        <v>2872</v>
      </c>
    </row>
    <row r="1167" spans="1:37" ht="183">
      <c r="A1167">
        <v>81</v>
      </c>
      <c r="B1167" s="163">
        <v>45589.357650462996</v>
      </c>
      <c r="C1167" s="27">
        <v>45589.364733796298</v>
      </c>
      <c r="D1167" s="185" t="s">
        <v>2546</v>
      </c>
      <c r="E1167" s="5" t="s">
        <v>85</v>
      </c>
      <c r="F1167" s="5" t="s">
        <v>85</v>
      </c>
      <c r="G1167" s="185" t="s">
        <v>2336</v>
      </c>
      <c r="H1167" s="204">
        <v>45585</v>
      </c>
      <c r="I1167" s="205">
        <v>22.687000000000001</v>
      </c>
      <c r="J1167" s="205">
        <v>27.512</v>
      </c>
      <c r="K1167" s="205">
        <v>2.2610000000000001</v>
      </c>
      <c r="L1167" s="205">
        <v>0.153</v>
      </c>
      <c r="M1167" s="205">
        <v>0</v>
      </c>
      <c r="N1167" s="205">
        <v>12.483000000000001</v>
      </c>
      <c r="O1167" s="205">
        <v>4.8000000000000001E-2</v>
      </c>
      <c r="P1167" s="205">
        <v>0</v>
      </c>
      <c r="Q1167" s="205">
        <v>0</v>
      </c>
      <c r="R1167" s="205">
        <v>0</v>
      </c>
      <c r="S1167" s="205">
        <v>0</v>
      </c>
      <c r="T1167" s="205">
        <v>7.7430000000000003</v>
      </c>
      <c r="U1167" s="205">
        <v>0</v>
      </c>
      <c r="V1167" s="205">
        <v>0</v>
      </c>
      <c r="W1167" s="205">
        <v>0</v>
      </c>
      <c r="X1167" s="205">
        <v>0</v>
      </c>
      <c r="Y1167" s="205">
        <v>0</v>
      </c>
      <c r="Z1167" s="205">
        <v>0</v>
      </c>
      <c r="AA1167" s="5" t="s">
        <v>2873</v>
      </c>
      <c r="AB1167" s="120" t="s">
        <v>2874</v>
      </c>
      <c r="AC1167" s="120" t="s">
        <v>2875</v>
      </c>
      <c r="AD1167" s="219" t="s">
        <v>2875</v>
      </c>
      <c r="AE1167" s="1">
        <v>45585</v>
      </c>
      <c r="AF1167" s="206" t="s">
        <v>2876</v>
      </c>
      <c r="AG1167" t="str">
        <f>VLOOKUP(OfficeForms.Table[[#This Row],[Nama Proyek]],'Nama Proyek'!$D$2:$G$40,4,0)</f>
        <v>-6.33533300,107.77576100</v>
      </c>
      <c r="AH1167" s="5"/>
      <c r="AI1167" s="5"/>
      <c r="AJ1167" s="5"/>
      <c r="AK1167" s="5" t="s">
        <v>2877</v>
      </c>
    </row>
    <row r="1168" spans="1:37" ht="45.75">
      <c r="A1168">
        <v>82</v>
      </c>
      <c r="B1168" s="163">
        <v>45592.990856481498</v>
      </c>
      <c r="C1168" s="27">
        <v>45592.994143518503</v>
      </c>
      <c r="D1168" s="185" t="s">
        <v>2865</v>
      </c>
      <c r="E1168" s="5" t="s">
        <v>2866</v>
      </c>
      <c r="F1168" s="5" t="s">
        <v>2867</v>
      </c>
      <c r="G1168" s="185" t="s">
        <v>2290</v>
      </c>
      <c r="H1168" s="204">
        <v>45591</v>
      </c>
      <c r="I1168" s="205">
        <v>95.790999999999997</v>
      </c>
      <c r="J1168" s="205">
        <v>81.588999999999999</v>
      </c>
      <c r="K1168" s="205">
        <v>0.33400000000000002</v>
      </c>
      <c r="L1168" s="205">
        <v>7.1999999999999995E-2</v>
      </c>
      <c r="M1168" s="205">
        <v>38.631999999999998</v>
      </c>
      <c r="N1168" s="205">
        <v>0.31900000000000001</v>
      </c>
      <c r="O1168" s="205">
        <v>0.24299999999999999</v>
      </c>
      <c r="P1168" s="205">
        <v>55.887</v>
      </c>
      <c r="Q1168" s="205">
        <v>0.21099999999999999</v>
      </c>
      <c r="R1168" s="205">
        <v>9.4E-2</v>
      </c>
      <c r="S1168" s="205"/>
      <c r="T1168" s="205"/>
      <c r="U1168" s="205"/>
      <c r="V1168" s="205"/>
      <c r="W1168" s="205"/>
      <c r="X1168" s="205"/>
      <c r="Y1168" s="205"/>
      <c r="Z1168" s="205"/>
      <c r="AA1168" s="5" t="s">
        <v>2878</v>
      </c>
      <c r="AB1168" s="120" t="s">
        <v>2879</v>
      </c>
      <c r="AC1168" s="120"/>
      <c r="AD1168" s="219"/>
      <c r="AE1168" s="1">
        <v>45591</v>
      </c>
      <c r="AF1168" s="206" t="s">
        <v>2880</v>
      </c>
      <c r="AG1168" t="str">
        <f>VLOOKUP(OfficeForms.Table[[#This Row],[Nama Proyek]],'Nama Proyek'!$D$2:$G$40,4,0)</f>
        <v>-0.99046214,116.69024762</v>
      </c>
      <c r="AH1168" s="5"/>
      <c r="AI1168" s="5"/>
      <c r="AJ1168" s="5"/>
      <c r="AK1168" s="5" t="s">
        <v>2881</v>
      </c>
    </row>
    <row r="1169" spans="1:37">
      <c r="A1169">
        <v>83</v>
      </c>
      <c r="B1169" s="163">
        <v>45593.447685185201</v>
      </c>
      <c r="C1169" s="27">
        <v>45593.454722222203</v>
      </c>
      <c r="D1169" s="185" t="s">
        <v>2634</v>
      </c>
      <c r="E1169" s="5" t="s">
        <v>109</v>
      </c>
      <c r="F1169" s="5" t="s">
        <v>109</v>
      </c>
      <c r="G1169" s="185" t="s">
        <v>2267</v>
      </c>
      <c r="H1169" s="204">
        <v>45592</v>
      </c>
      <c r="I1169" s="205">
        <v>28.140999999999998</v>
      </c>
      <c r="J1169" s="205">
        <v>37.692999999999998</v>
      </c>
      <c r="K1169" s="205">
        <v>74.38</v>
      </c>
      <c r="L1169" s="205">
        <v>77.98</v>
      </c>
      <c r="M1169" s="205">
        <v>82.45</v>
      </c>
      <c r="N1169" s="205">
        <v>23.02</v>
      </c>
      <c r="O1169" s="205">
        <v>61.14</v>
      </c>
      <c r="P1169" s="205">
        <v>2.72</v>
      </c>
      <c r="Q1169" s="205">
        <v>9.83</v>
      </c>
      <c r="R1169" s="205">
        <v>1.8</v>
      </c>
      <c r="S1169" s="205">
        <v>1.36</v>
      </c>
      <c r="T1169" s="205">
        <v>28.99</v>
      </c>
      <c r="U1169" s="205">
        <v>0</v>
      </c>
      <c r="V1169" s="205">
        <v>0.41</v>
      </c>
      <c r="W1169" s="205">
        <v>0</v>
      </c>
      <c r="X1169" s="205">
        <v>0</v>
      </c>
      <c r="Y1169" s="205">
        <v>42.53</v>
      </c>
      <c r="Z1169" s="205">
        <v>0</v>
      </c>
      <c r="AA1169" s="5" t="s">
        <v>2882</v>
      </c>
      <c r="AB1169" s="120" t="s">
        <v>2883</v>
      </c>
      <c r="AC1169" s="120" t="s">
        <v>2884</v>
      </c>
      <c r="AD1169" s="165" t="s">
        <v>2885</v>
      </c>
      <c r="AE1169" s="1">
        <v>45592</v>
      </c>
      <c r="AF1169" s="206" t="s">
        <v>2886</v>
      </c>
      <c r="AG1169" t="str">
        <f>VLOOKUP(OfficeForms.Table[[#This Row],[Nama Proyek]],'Nama Proyek'!$D$2:$G$40,4,0)</f>
        <v>-6.88120502,106.78938277</v>
      </c>
      <c r="AH1169" s="5"/>
      <c r="AI1169" s="5"/>
      <c r="AJ1169" s="5"/>
      <c r="AK1169" s="5" t="s">
        <v>2887</v>
      </c>
    </row>
    <row r="1170" spans="1:37" ht="229.5">
      <c r="A1170">
        <v>84</v>
      </c>
      <c r="B1170" s="163">
        <v>45593.802187499998</v>
      </c>
      <c r="C1170" s="27">
        <v>45593.802199074104</v>
      </c>
      <c r="D1170" s="185" t="s">
        <v>2546</v>
      </c>
      <c r="E1170" s="5" t="s">
        <v>85</v>
      </c>
      <c r="F1170" s="5" t="s">
        <v>85</v>
      </c>
      <c r="G1170" s="185" t="s">
        <v>2336</v>
      </c>
      <c r="H1170" s="204">
        <v>45592</v>
      </c>
      <c r="I1170" s="205">
        <v>23.957999999999998</v>
      </c>
      <c r="J1170" s="205">
        <v>23.619</v>
      </c>
      <c r="K1170" s="205">
        <v>2.2650000000000001</v>
      </c>
      <c r="L1170" s="205">
        <v>0.153</v>
      </c>
      <c r="M1170" s="205">
        <v>0</v>
      </c>
      <c r="N1170" s="205">
        <v>12.976000000000001</v>
      </c>
      <c r="O1170" s="205">
        <v>4.8000000000000001E-2</v>
      </c>
      <c r="P1170" s="205">
        <v>0</v>
      </c>
      <c r="Q1170" s="205">
        <v>0</v>
      </c>
      <c r="R1170" s="205">
        <v>0</v>
      </c>
      <c r="S1170" s="205">
        <v>0</v>
      </c>
      <c r="T1170" s="205">
        <v>8.5169999999999995</v>
      </c>
      <c r="U1170" s="205">
        <v>0</v>
      </c>
      <c r="V1170" s="205">
        <v>0</v>
      </c>
      <c r="W1170" s="205">
        <v>0</v>
      </c>
      <c r="X1170" s="205">
        <v>0</v>
      </c>
      <c r="Y1170" s="205">
        <v>0</v>
      </c>
      <c r="Z1170" s="205">
        <v>0</v>
      </c>
      <c r="AA1170" s="5" t="s">
        <v>2888</v>
      </c>
      <c r="AB1170" s="120" t="s">
        <v>2888</v>
      </c>
      <c r="AC1170" s="120" t="s">
        <v>2888</v>
      </c>
      <c r="AD1170" s="219" t="s">
        <v>2888</v>
      </c>
      <c r="AE1170" s="1">
        <v>45592</v>
      </c>
      <c r="AF1170" s="206" t="s">
        <v>2889</v>
      </c>
      <c r="AG1170" t="str">
        <f>VLOOKUP(OfficeForms.Table[[#This Row],[Nama Proyek]],'Nama Proyek'!$D$2:$G$40,4,0)</f>
        <v>-6.33533300,107.77576100</v>
      </c>
      <c r="AH1170" s="5"/>
      <c r="AI1170" s="5"/>
      <c r="AJ1170" s="5"/>
      <c r="AK1170" s="5" t="s">
        <v>2890</v>
      </c>
    </row>
    <row r="1171" spans="1:37" ht="152.25">
      <c r="A1171">
        <v>85</v>
      </c>
      <c r="B1171" s="163">
        <v>45593.892013888901</v>
      </c>
      <c r="C1171" s="27">
        <v>45593.900428240697</v>
      </c>
      <c r="D1171" s="185" t="s">
        <v>2509</v>
      </c>
      <c r="E1171" s="5" t="s">
        <v>687</v>
      </c>
      <c r="F1171" s="5" t="s">
        <v>2328</v>
      </c>
      <c r="G1171" s="185" t="s">
        <v>750</v>
      </c>
      <c r="H1171" s="204">
        <v>45592</v>
      </c>
      <c r="I1171" s="205">
        <v>96.436000000000007</v>
      </c>
      <c r="J1171" s="205">
        <v>96.33</v>
      </c>
      <c r="K1171" s="205"/>
      <c r="L1171" s="205"/>
      <c r="M1171" s="205"/>
      <c r="N1171" s="205"/>
      <c r="O1171" s="205"/>
      <c r="P1171" s="205"/>
      <c r="Q1171" s="205"/>
      <c r="R1171" s="205"/>
      <c r="S1171" s="205"/>
      <c r="T1171" s="205"/>
      <c r="U1171" s="205"/>
      <c r="V1171" s="205"/>
      <c r="W1171" s="205"/>
      <c r="X1171" s="205"/>
      <c r="Y1171" s="205"/>
      <c r="Z1171" s="205"/>
      <c r="AA1171" s="5" t="s">
        <v>2891</v>
      </c>
      <c r="AB1171" s="120" t="s">
        <v>2892</v>
      </c>
      <c r="AC1171" s="120" t="s">
        <v>2893</v>
      </c>
      <c r="AD1171" s="219" t="s">
        <v>2893</v>
      </c>
      <c r="AE1171" s="1">
        <v>45592</v>
      </c>
      <c r="AF1171" s="206" t="s">
        <v>2894</v>
      </c>
      <c r="AG1171" t="str">
        <f>VLOOKUP(OfficeForms.Table[[#This Row],[Nama Proyek]],'Nama Proyek'!$D$2:$G$40,4,0)</f>
        <v>-1.10415341,116.73424356</v>
      </c>
      <c r="AH1171" s="5"/>
      <c r="AI1171" s="5"/>
      <c r="AJ1171" s="5"/>
      <c r="AK1171" s="5" t="s">
        <v>2895</v>
      </c>
    </row>
    <row r="1172" spans="1:37">
      <c r="A1172">
        <v>86</v>
      </c>
      <c r="B1172" s="163">
        <v>45594.485648148097</v>
      </c>
      <c r="C1172" s="27">
        <v>45594.493796296301</v>
      </c>
      <c r="D1172" s="185" t="s">
        <v>2525</v>
      </c>
      <c r="E1172" s="5" t="s">
        <v>47</v>
      </c>
      <c r="F1172" s="5" t="s">
        <v>214</v>
      </c>
      <c r="G1172" s="185" t="s">
        <v>2734</v>
      </c>
      <c r="H1172" s="204">
        <v>45591</v>
      </c>
      <c r="I1172" s="205">
        <v>6.0620000000000003</v>
      </c>
      <c r="J1172" s="205">
        <v>8.8469999999999995</v>
      </c>
      <c r="K1172" s="205">
        <v>0.495</v>
      </c>
      <c r="L1172" s="205">
        <v>0.13700000000000001</v>
      </c>
      <c r="M1172" s="205">
        <v>2.5000000000000001E-2</v>
      </c>
      <c r="N1172" s="205">
        <v>2.0190000000000001</v>
      </c>
      <c r="O1172" s="205">
        <v>4.2000000000000003E-2</v>
      </c>
      <c r="P1172" s="205">
        <v>1.2999999999999999E-2</v>
      </c>
      <c r="Q1172" s="205">
        <v>0.02</v>
      </c>
      <c r="R1172" s="205"/>
      <c r="S1172" s="205"/>
      <c r="T1172" s="205">
        <v>1.7170000000000001</v>
      </c>
      <c r="U1172" s="205"/>
      <c r="V1172" s="205"/>
      <c r="W1172" s="205"/>
      <c r="X1172" s="205"/>
      <c r="Y1172" s="205"/>
      <c r="Z1172" s="205"/>
      <c r="AA1172" s="5" t="s">
        <v>2896</v>
      </c>
      <c r="AB1172" s="120" t="s">
        <v>2897</v>
      </c>
      <c r="AC1172" s="120" t="s">
        <v>2896</v>
      </c>
      <c r="AD1172" s="219"/>
      <c r="AE1172" s="1"/>
      <c r="AF1172" s="206"/>
      <c r="AG1172" t="str">
        <f>VLOOKUP(OfficeForms.Table[[#This Row],[Nama Proyek]],'Nama Proyek'!$D$2:$G$40,4,0)</f>
        <v>-6.8812050213,106.7893827682</v>
      </c>
      <c r="AH1172" s="5"/>
      <c r="AI1172" s="5"/>
      <c r="AJ1172" s="5"/>
      <c r="AK1172" s="5" t="s">
        <v>2898</v>
      </c>
    </row>
    <row r="1173" spans="1:37" ht="106.5">
      <c r="A1173">
        <v>87</v>
      </c>
      <c r="B1173" s="163">
        <v>45594.605914351901</v>
      </c>
      <c r="C1173" s="27">
        <v>45594.638854166697</v>
      </c>
      <c r="D1173" s="185" t="s">
        <v>2600</v>
      </c>
      <c r="E1173" s="5" t="s">
        <v>855</v>
      </c>
      <c r="F1173" s="5" t="s">
        <v>855</v>
      </c>
      <c r="G1173" s="185" t="s">
        <v>2601</v>
      </c>
      <c r="H1173" s="204">
        <v>45592</v>
      </c>
      <c r="I1173" s="205">
        <v>42.03</v>
      </c>
      <c r="J1173" s="205">
        <v>39.348999999999997</v>
      </c>
      <c r="K1173" s="205">
        <v>0.8</v>
      </c>
      <c r="L1173" s="205">
        <v>0.19</v>
      </c>
      <c r="M1173" s="205">
        <v>1.57</v>
      </c>
      <c r="N1173" s="205"/>
      <c r="O1173" s="205">
        <v>0</v>
      </c>
      <c r="P1173" s="205">
        <v>0.22</v>
      </c>
      <c r="Q1173" s="205">
        <v>39.25</v>
      </c>
      <c r="R1173" s="205"/>
      <c r="S1173" s="205">
        <v>0</v>
      </c>
      <c r="T1173" s="205"/>
      <c r="U1173" s="205"/>
      <c r="V1173" s="205"/>
      <c r="W1173" s="205"/>
      <c r="X1173" s="205"/>
      <c r="Y1173" s="205"/>
      <c r="Z1173" s="205"/>
      <c r="AA1173" s="5" t="s">
        <v>2899</v>
      </c>
      <c r="AB1173" s="120" t="s">
        <v>2900</v>
      </c>
      <c r="AC1173" s="120" t="s">
        <v>2901</v>
      </c>
      <c r="AD1173" s="219" t="s">
        <v>2902</v>
      </c>
      <c r="AE1173" s="1">
        <v>45592</v>
      </c>
      <c r="AF1173" s="206" t="s">
        <v>2903</v>
      </c>
      <c r="AG1173" t="str">
        <f>VLOOKUP(OfficeForms.Table[[#This Row],[Nama Proyek]],'Nama Proyek'!$D$2:$G$40,4,0)</f>
        <v>-1.13731907,116.79020552</v>
      </c>
      <c r="AH1173" s="5"/>
      <c r="AI1173" s="5"/>
      <c r="AJ1173" s="5"/>
      <c r="AK1173" s="5" t="s">
        <v>2904</v>
      </c>
    </row>
    <row r="1174" spans="1:37">
      <c r="A1174">
        <v>88</v>
      </c>
      <c r="B1174" s="163">
        <v>45595.407754629603</v>
      </c>
      <c r="C1174" s="27">
        <v>45595.418252314797</v>
      </c>
      <c r="D1174" s="185" t="s">
        <v>2781</v>
      </c>
      <c r="E1174" s="5" t="s">
        <v>1546</v>
      </c>
      <c r="F1174" s="5" t="s">
        <v>2905</v>
      </c>
      <c r="G1174" s="185" t="s">
        <v>1480</v>
      </c>
      <c r="H1174" s="204">
        <v>45594</v>
      </c>
      <c r="I1174" s="205"/>
      <c r="J1174" s="205"/>
      <c r="K1174" s="205"/>
      <c r="L1174" s="205"/>
      <c r="M1174" s="205"/>
      <c r="N1174" s="205"/>
      <c r="O1174" s="205"/>
      <c r="P1174" s="205"/>
      <c r="Q1174" s="205"/>
      <c r="R1174" s="205"/>
      <c r="S1174" s="205"/>
      <c r="T1174" s="205"/>
      <c r="U1174" s="205"/>
      <c r="V1174" s="205"/>
      <c r="W1174" s="205"/>
      <c r="X1174" s="205"/>
      <c r="Y1174" s="205"/>
      <c r="Z1174" s="205"/>
      <c r="AA1174" s="5" t="s">
        <v>2906</v>
      </c>
      <c r="AB1174" s="120" t="s">
        <v>2907</v>
      </c>
      <c r="AC1174" s="120" t="s">
        <v>2908</v>
      </c>
      <c r="AD1174" s="219" t="s">
        <v>2909</v>
      </c>
      <c r="AE1174" s="1"/>
      <c r="AF1174" s="206"/>
      <c r="AG1174" t="str">
        <f>VLOOKUP(OfficeForms.Table[[#This Row],[Nama Proyek]],'Nama Proyek'!$D$2:$G$29,4,0)</f>
        <v>-6.23191260,107.90813480</v>
      </c>
      <c r="AH1174" s="5"/>
      <c r="AI1174" s="5"/>
      <c r="AJ1174" s="5"/>
      <c r="AK1174" s="5" t="s">
        <v>2910</v>
      </c>
    </row>
    <row r="1175" spans="1:37">
      <c r="A1175">
        <v>89</v>
      </c>
      <c r="B1175" s="163">
        <v>45595.745185185202</v>
      </c>
      <c r="C1175" s="27">
        <v>45595.756342592598</v>
      </c>
      <c r="D1175" s="185" t="s">
        <v>2847</v>
      </c>
      <c r="E1175" s="5" t="s">
        <v>2848</v>
      </c>
      <c r="F1175" s="5" t="s">
        <v>2214</v>
      </c>
      <c r="G1175" s="185" t="s">
        <v>1315</v>
      </c>
      <c r="H1175" s="204">
        <v>45595</v>
      </c>
      <c r="I1175" s="205">
        <v>86.263999999999996</v>
      </c>
      <c r="J1175" s="205">
        <v>100</v>
      </c>
      <c r="K1175" s="205">
        <v>50.25</v>
      </c>
      <c r="L1175" s="205">
        <v>7.94</v>
      </c>
      <c r="M1175" s="205">
        <v>70</v>
      </c>
      <c r="N1175" s="205">
        <v>35.037999999999997</v>
      </c>
      <c r="O1175" s="205">
        <v>9.41</v>
      </c>
      <c r="P1175" s="205">
        <v>68.59</v>
      </c>
      <c r="Q1175" s="205">
        <v>11</v>
      </c>
      <c r="R1175" s="205">
        <v>13.22</v>
      </c>
      <c r="S1175" s="205">
        <v>98.88</v>
      </c>
      <c r="T1175" s="205">
        <v>10.977</v>
      </c>
      <c r="U1175" s="205"/>
      <c r="V1175" s="205">
        <v>10.933999999999999</v>
      </c>
      <c r="W1175" s="205">
        <v>20.73</v>
      </c>
      <c r="X1175" s="205"/>
      <c r="Y1175" s="205">
        <v>22.32</v>
      </c>
      <c r="Z1175" s="205"/>
      <c r="AA1175" s="120" t="s">
        <v>2911</v>
      </c>
      <c r="AB1175" s="120"/>
      <c r="AC1175" s="120"/>
      <c r="AD1175" s="219"/>
      <c r="AE1175" s="1">
        <v>45595</v>
      </c>
      <c r="AF1175" s="206"/>
      <c r="AG1175" t="str">
        <f>VLOOKUP(OfficeForms.Table[[#This Row],[Nama Proyek]],'Nama Proyek'!$D$2:$G$40,4,0)</f>
        <v>-6.42093860,107.18760070</v>
      </c>
      <c r="AH1175" s="5"/>
      <c r="AI1175" s="5"/>
      <c r="AJ1175" s="5"/>
      <c r="AK1175" s="5" t="s">
        <v>2912</v>
      </c>
    </row>
    <row r="1176" spans="1:37">
      <c r="A1176">
        <v>90</v>
      </c>
      <c r="B1176" s="163">
        <v>45597.427719907399</v>
      </c>
      <c r="C1176" s="27">
        <v>45597.433923611097</v>
      </c>
      <c r="D1176" s="185" t="s">
        <v>2256</v>
      </c>
      <c r="E1176" s="5" t="s">
        <v>734</v>
      </c>
      <c r="F1176" s="5" t="s">
        <v>2088</v>
      </c>
      <c r="G1176" s="185" t="s">
        <v>735</v>
      </c>
      <c r="H1176" s="204">
        <v>45592</v>
      </c>
      <c r="I1176" s="205">
        <v>75.825999999999993</v>
      </c>
      <c r="J1176" s="205">
        <v>76.293999999999997</v>
      </c>
      <c r="K1176" s="205">
        <v>0.39200000000000002</v>
      </c>
      <c r="L1176" s="205">
        <v>2.2189999999999999</v>
      </c>
      <c r="M1176" s="205">
        <v>44.036000000000001</v>
      </c>
      <c r="N1176" s="205">
        <v>15.928000000000001</v>
      </c>
      <c r="O1176" s="205">
        <v>0.93200000000000005</v>
      </c>
      <c r="P1176" s="205">
        <v>4.6319999999999997</v>
      </c>
      <c r="Q1176" s="205">
        <v>0.76300000000000001</v>
      </c>
      <c r="R1176" s="205"/>
      <c r="S1176" s="205"/>
      <c r="T1176" s="205"/>
      <c r="U1176" s="205"/>
      <c r="V1176" s="205"/>
      <c r="W1176" s="205"/>
      <c r="X1176" s="205"/>
      <c r="Y1176" s="205"/>
      <c r="Z1176" s="205"/>
      <c r="AA1176" s="120" t="s">
        <v>2913</v>
      </c>
      <c r="AB1176" s="120" t="s">
        <v>2914</v>
      </c>
      <c r="AC1176" s="120" t="s">
        <v>2915</v>
      </c>
      <c r="AD1176" s="219" t="s">
        <v>2916</v>
      </c>
      <c r="AE1176" s="1">
        <v>45592</v>
      </c>
      <c r="AF1176" s="206" t="s">
        <v>2917</v>
      </c>
      <c r="AG1176" t="str">
        <f>VLOOKUP(OfficeForms.Table[[#This Row],[Nama Proyek]],'Nama Proyek'!$D$2:$G$40,4,0)</f>
        <v>-0.88562397,119.85928375</v>
      </c>
      <c r="AH1176" s="5"/>
      <c r="AI1176" s="5"/>
      <c r="AJ1176" s="5"/>
      <c r="AK1176" s="5" t="s">
        <v>2918</v>
      </c>
    </row>
    <row r="1177" spans="1:37" ht="30.75">
      <c r="A1177">
        <v>91</v>
      </c>
      <c r="B1177" s="163">
        <v>45597.536585648202</v>
      </c>
      <c r="C1177" s="27">
        <v>45597.546076388899</v>
      </c>
      <c r="D1177" s="185" t="s">
        <v>2580</v>
      </c>
      <c r="E1177" s="5" t="s">
        <v>57</v>
      </c>
      <c r="F1177" s="5" t="s">
        <v>57</v>
      </c>
      <c r="G1177" s="185" t="s">
        <v>1484</v>
      </c>
      <c r="H1177" s="204">
        <v>45590</v>
      </c>
      <c r="I1177" s="205">
        <v>78.67</v>
      </c>
      <c r="J1177" s="205">
        <v>61.204000000000001</v>
      </c>
      <c r="K1177" s="205">
        <v>1.627</v>
      </c>
      <c r="L1177" s="205">
        <v>3.7320000000000002</v>
      </c>
      <c r="M1177" s="205">
        <v>27.138000000000002</v>
      </c>
      <c r="N1177" s="205"/>
      <c r="O1177" s="205"/>
      <c r="P1177" s="205"/>
      <c r="Q1177" s="205">
        <v>46.173000000000002</v>
      </c>
      <c r="R1177" s="205"/>
      <c r="S1177" s="205"/>
      <c r="T1177" s="205"/>
      <c r="U1177" s="205"/>
      <c r="V1177" s="205"/>
      <c r="W1177" s="205"/>
      <c r="X1177" s="205"/>
      <c r="Y1177" s="205"/>
      <c r="Z1177" s="205"/>
      <c r="AA1177" s="120" t="s">
        <v>2919</v>
      </c>
      <c r="AB1177" s="120" t="s">
        <v>2920</v>
      </c>
      <c r="AC1177" s="120" t="s">
        <v>2921</v>
      </c>
      <c r="AD1177" s="165" t="s">
        <v>2921</v>
      </c>
      <c r="AE1177" s="1">
        <v>45590</v>
      </c>
      <c r="AF1177" s="206" t="s">
        <v>2922</v>
      </c>
      <c r="AG1177" t="str">
        <f>VLOOKUP(OfficeForms.Table[[#This Row],[Nama Proyek]],'Nama Proyek'!$D$2:$G$29,4,0)</f>
        <v>-8.01003300,110.33312900</v>
      </c>
      <c r="AH1177" s="5"/>
      <c r="AI1177" s="5"/>
      <c r="AJ1177" s="5"/>
      <c r="AK1177" s="5" t="s">
        <v>2923</v>
      </c>
    </row>
    <row r="1178" spans="1:37" ht="45.75">
      <c r="A1178">
        <v>92</v>
      </c>
      <c r="B1178" s="163">
        <v>45600.384236111102</v>
      </c>
      <c r="C1178" s="27">
        <v>45600.392175925903</v>
      </c>
      <c r="D1178" s="185" t="s">
        <v>2865</v>
      </c>
      <c r="E1178" s="5" t="s">
        <v>2866</v>
      </c>
      <c r="F1178" s="5" t="s">
        <v>2867</v>
      </c>
      <c r="G1178" s="185" t="s">
        <v>2290</v>
      </c>
      <c r="H1178" s="204">
        <v>45598</v>
      </c>
      <c r="I1178" s="205">
        <v>97.36</v>
      </c>
      <c r="J1178" s="205">
        <v>83.55</v>
      </c>
      <c r="K1178" s="205">
        <v>0.34499999999999997</v>
      </c>
      <c r="L1178" s="205">
        <v>8.5000000000000006E-2</v>
      </c>
      <c r="M1178" s="205">
        <v>38.853999999999999</v>
      </c>
      <c r="N1178" s="205"/>
      <c r="O1178" s="205">
        <v>0.435</v>
      </c>
      <c r="P1178" s="205">
        <v>0.28199999999999997</v>
      </c>
      <c r="Q1178" s="205">
        <v>57.051000000000002</v>
      </c>
      <c r="R1178" s="205"/>
      <c r="S1178" s="205">
        <v>0.21099999999999999</v>
      </c>
      <c r="T1178" s="205">
        <v>9.4E-2</v>
      </c>
      <c r="U1178" s="205"/>
      <c r="V1178" s="205"/>
      <c r="W1178" s="205"/>
      <c r="X1178" s="205"/>
      <c r="Y1178" s="205"/>
      <c r="Z1178" s="205"/>
      <c r="AA1178" s="120" t="s">
        <v>2924</v>
      </c>
      <c r="AB1178" s="120" t="s">
        <v>2925</v>
      </c>
      <c r="AC1178" s="120" t="s">
        <v>2926</v>
      </c>
      <c r="AD1178" s="165"/>
      <c r="AE1178" s="1">
        <v>45598</v>
      </c>
      <c r="AF1178" s="206" t="s">
        <v>2927</v>
      </c>
      <c r="AG1178" t="str">
        <f>VLOOKUP(OfficeForms.Table[[#This Row],[Nama Proyek]],'Nama Proyek'!$D$2:$G$29,4,0)</f>
        <v>-0.99046214,116.69024762</v>
      </c>
      <c r="AH1178" s="5"/>
      <c r="AI1178" s="5"/>
      <c r="AJ1178" s="5"/>
      <c r="AK1178" s="5" t="s">
        <v>2928</v>
      </c>
    </row>
    <row r="1179" spans="1:37">
      <c r="A1179">
        <v>93</v>
      </c>
      <c r="B1179" s="163">
        <v>45600.403402777803</v>
      </c>
      <c r="C1179" s="27">
        <v>45600.4362847222</v>
      </c>
      <c r="D1179" s="185" t="s">
        <v>2662</v>
      </c>
      <c r="E1179" s="5" t="s">
        <v>998</v>
      </c>
      <c r="F1179" s="5" t="s">
        <v>998</v>
      </c>
      <c r="G1179" s="185" t="s">
        <v>2663</v>
      </c>
      <c r="H1179" s="204">
        <v>45592</v>
      </c>
      <c r="I1179" s="205">
        <v>72.61</v>
      </c>
      <c r="J1179" s="205">
        <v>73.412999999999997</v>
      </c>
      <c r="K1179" s="205">
        <v>2.3180000000000001</v>
      </c>
      <c r="L1179" s="205">
        <v>1.133</v>
      </c>
      <c r="M1179" s="205">
        <v>28.808</v>
      </c>
      <c r="N1179" s="205"/>
      <c r="O1179" s="205">
        <v>7.8579999999999997</v>
      </c>
      <c r="P1179" s="205">
        <v>2.1709999999999998</v>
      </c>
      <c r="Q1179" s="205">
        <v>30.227</v>
      </c>
      <c r="R1179" s="205"/>
      <c r="S1179" s="205">
        <v>9.6000000000000002E-2</v>
      </c>
      <c r="T1179" s="205"/>
      <c r="U1179" s="205"/>
      <c r="V1179" s="205"/>
      <c r="W1179" s="205"/>
      <c r="X1179" s="205"/>
      <c r="Y1179" s="205"/>
      <c r="Z1179" s="205"/>
      <c r="AA1179" s="120" t="s">
        <v>2929</v>
      </c>
      <c r="AB1179" s="120" t="s">
        <v>2930</v>
      </c>
      <c r="AC1179" s="120" t="s">
        <v>2931</v>
      </c>
      <c r="AD1179" s="165"/>
      <c r="AE1179" s="1"/>
      <c r="AF1179" s="206"/>
      <c r="AG1179" t="str">
        <f>VLOOKUP(OfficeForms.Table[[#This Row],[Nama Proyek]],'Nama Proyek'!$D$2:$G$29,4,0)</f>
        <v>-1.15205556,116.69316667</v>
      </c>
      <c r="AH1179" s="5"/>
      <c r="AI1179" s="5"/>
      <c r="AJ1179" s="5"/>
      <c r="AK1179" s="5" t="s">
        <v>2932</v>
      </c>
    </row>
    <row r="1180" spans="1:37" ht="60.75">
      <c r="A1180">
        <v>94</v>
      </c>
      <c r="B1180" s="163">
        <v>45600.660578703697</v>
      </c>
      <c r="C1180" s="27">
        <v>45600.713796296302</v>
      </c>
      <c r="D1180" s="185" t="s">
        <v>2933</v>
      </c>
      <c r="E1180" s="5" t="s">
        <v>1952</v>
      </c>
      <c r="F1180" s="5" t="s">
        <v>1952</v>
      </c>
      <c r="G1180" s="185" t="s">
        <v>2484</v>
      </c>
      <c r="H1180" s="204">
        <v>45596</v>
      </c>
      <c r="I1180" s="205">
        <v>49.582000000000001</v>
      </c>
      <c r="J1180" s="205">
        <v>31.478000000000002</v>
      </c>
      <c r="K1180" s="205">
        <v>0.42699999999999999</v>
      </c>
      <c r="L1180" s="205">
        <v>0.94299999999999995</v>
      </c>
      <c r="M1180" s="205">
        <v>38.834000000000003</v>
      </c>
      <c r="N1180" s="205">
        <v>0</v>
      </c>
      <c r="O1180" s="205">
        <v>2.1160000000000001</v>
      </c>
      <c r="P1180" s="205">
        <v>0</v>
      </c>
      <c r="Q1180" s="205">
        <v>7.2619999999999996</v>
      </c>
      <c r="R1180" s="205">
        <v>0</v>
      </c>
      <c r="S1180" s="205">
        <v>0</v>
      </c>
      <c r="T1180" s="205">
        <v>0</v>
      </c>
      <c r="U1180" s="205">
        <v>0</v>
      </c>
      <c r="V1180" s="205">
        <v>0</v>
      </c>
      <c r="W1180" s="205">
        <v>0</v>
      </c>
      <c r="X1180" s="205">
        <v>0</v>
      </c>
      <c r="Y1180" s="205">
        <v>0</v>
      </c>
      <c r="Z1180" s="205">
        <v>0</v>
      </c>
      <c r="AA1180" s="120" t="s">
        <v>2934</v>
      </c>
      <c r="AB1180" s="120" t="s">
        <v>2934</v>
      </c>
      <c r="AC1180" s="120" t="s">
        <v>2935</v>
      </c>
      <c r="AD1180" s="165" t="s">
        <v>2936</v>
      </c>
      <c r="AE1180" s="1">
        <v>45596</v>
      </c>
      <c r="AF1180" s="206" t="s">
        <v>2937</v>
      </c>
      <c r="AG1180" t="str">
        <f>VLOOKUP(OfficeForms.Table[[#This Row],[Nama Proyek]],'Nama Proyek'!$D$2:$G$29,4,0)</f>
        <v>-8.30961900,112.11101000</v>
      </c>
      <c r="AH1180" s="5"/>
      <c r="AI1180" s="5"/>
      <c r="AJ1180" s="5"/>
      <c r="AK1180" s="5" t="s">
        <v>2938</v>
      </c>
    </row>
    <row r="1181" spans="1:37">
      <c r="A1181">
        <v>95</v>
      </c>
      <c r="B1181" s="163">
        <v>45601.2899652778</v>
      </c>
      <c r="C1181" s="27">
        <v>45601.3145717593</v>
      </c>
      <c r="D1181" s="185" t="s">
        <v>2522</v>
      </c>
      <c r="E1181" s="5" t="s">
        <v>1282</v>
      </c>
      <c r="F1181" s="5" t="s">
        <v>1282</v>
      </c>
      <c r="G1181" s="185" t="s">
        <v>989</v>
      </c>
      <c r="H1181" s="204">
        <v>45560</v>
      </c>
      <c r="I1181" s="205">
        <v>100</v>
      </c>
      <c r="J1181" s="205">
        <v>100</v>
      </c>
      <c r="K1181" s="205">
        <v>3.09</v>
      </c>
      <c r="L1181" s="205">
        <v>0.56999999999999995</v>
      </c>
      <c r="M1181" s="205">
        <v>0</v>
      </c>
      <c r="N1181" s="205">
        <v>23.89</v>
      </c>
      <c r="O1181" s="205">
        <v>0.1</v>
      </c>
      <c r="P1181" s="205">
        <v>2.6</v>
      </c>
      <c r="Q1181" s="205">
        <v>0.24</v>
      </c>
      <c r="R1181" s="205">
        <v>2.91</v>
      </c>
      <c r="S1181" s="205">
        <v>18.62</v>
      </c>
      <c r="T1181" s="205">
        <v>38.81</v>
      </c>
      <c r="U1181" s="205">
        <v>0</v>
      </c>
      <c r="V1181" s="205">
        <v>5.92</v>
      </c>
      <c r="W1181" s="205">
        <v>1.98</v>
      </c>
      <c r="X1181" s="205">
        <v>0.47</v>
      </c>
      <c r="Y1181" s="205">
        <v>0</v>
      </c>
      <c r="Z1181" s="205">
        <v>0.82</v>
      </c>
      <c r="AA1181" s="120" t="s">
        <v>2939</v>
      </c>
      <c r="AB1181" s="120"/>
      <c r="AC1181" s="120" t="s">
        <v>2940</v>
      </c>
      <c r="AD1181" s="165"/>
      <c r="AE1181" s="1">
        <v>45550</v>
      </c>
      <c r="AF1181" s="206" t="s">
        <v>2941</v>
      </c>
      <c r="AG1181" t="str">
        <f>VLOOKUP(OfficeForms.Table[[#This Row],[Nama Proyek]],'Nama Proyek'!$D$2:$G$29,4,0)</f>
        <v>-1.98399270,103.7135193</v>
      </c>
      <c r="AH1181" s="5"/>
      <c r="AI1181" s="5"/>
      <c r="AJ1181" s="5"/>
      <c r="AK1181" s="5" t="s">
        <v>2942</v>
      </c>
    </row>
    <row r="1182" spans="1:37" ht="409.6">
      <c r="A1182">
        <v>96</v>
      </c>
      <c r="B1182" s="163">
        <v>45602.374849537002</v>
      </c>
      <c r="C1182" s="27">
        <v>45602.3839351852</v>
      </c>
      <c r="D1182" s="185" t="s">
        <v>2718</v>
      </c>
      <c r="E1182" s="5" t="s">
        <v>82</v>
      </c>
      <c r="F1182" s="5" t="s">
        <v>82</v>
      </c>
      <c r="G1182" s="185" t="s">
        <v>1317</v>
      </c>
      <c r="H1182" s="204">
        <v>45592</v>
      </c>
      <c r="I1182" s="205">
        <v>51.616999999999997</v>
      </c>
      <c r="J1182" s="205">
        <v>53.392000000000003</v>
      </c>
      <c r="K1182" s="205">
        <v>0.93400000000000005</v>
      </c>
      <c r="L1182" s="205">
        <v>0.189</v>
      </c>
      <c r="M1182" s="205">
        <v>7.1999999999999995E-2</v>
      </c>
      <c r="N1182" s="205">
        <v>30.004000000000001</v>
      </c>
      <c r="O1182" s="205">
        <v>0.20399999999999999</v>
      </c>
      <c r="P1182" s="205">
        <v>0.20899999999999999</v>
      </c>
      <c r="Q1182" s="205">
        <v>2.8000000000000001E-2</v>
      </c>
      <c r="R1182" s="205">
        <v>0.23100000000000001</v>
      </c>
      <c r="S1182" s="205">
        <v>0.183</v>
      </c>
      <c r="T1182" s="205">
        <v>15.555999999999999</v>
      </c>
      <c r="U1182" s="205">
        <v>0</v>
      </c>
      <c r="V1182" s="205">
        <v>3.996</v>
      </c>
      <c r="W1182" s="205">
        <v>0</v>
      </c>
      <c r="X1182" s="205">
        <v>0</v>
      </c>
      <c r="Y1182" s="205">
        <v>1.2E-2</v>
      </c>
      <c r="Z1182" s="205">
        <v>0</v>
      </c>
      <c r="AA1182" s="120" t="s">
        <v>2943</v>
      </c>
      <c r="AB1182" s="120" t="s">
        <v>2836</v>
      </c>
      <c r="AC1182" s="120" t="s">
        <v>2413</v>
      </c>
      <c r="AD1182" s="165" t="s">
        <v>2413</v>
      </c>
      <c r="AE1182" s="1">
        <v>45592</v>
      </c>
      <c r="AF1182" s="206" t="s">
        <v>2944</v>
      </c>
      <c r="AG1182" t="str">
        <f>VLOOKUP(OfficeForms.Table[[#This Row],[Nama Proyek]],'Nama Proyek'!$D$2:$G$29,4,0)</f>
        <v>-7.72647690,113.63515320</v>
      </c>
      <c r="AH1182" s="5"/>
      <c r="AI1182" s="5"/>
      <c r="AJ1182" s="5"/>
      <c r="AK1182" s="5" t="s">
        <v>2945</v>
      </c>
    </row>
    <row r="1183" spans="1:37">
      <c r="A1183">
        <v>97</v>
      </c>
      <c r="B1183" s="163">
        <v>45602.569780092599</v>
      </c>
      <c r="C1183" s="27">
        <v>45602.578715277799</v>
      </c>
      <c r="D1183" s="185" t="s">
        <v>2946</v>
      </c>
      <c r="E1183" s="5" t="s">
        <v>2947</v>
      </c>
      <c r="F1183" s="5" t="s">
        <v>2948</v>
      </c>
      <c r="G1183" s="185" t="s">
        <v>1484</v>
      </c>
      <c r="H1183" s="204">
        <v>45599</v>
      </c>
      <c r="I1183" s="205">
        <v>66.542000000000002</v>
      </c>
      <c r="J1183" s="205">
        <v>61.921999999999997</v>
      </c>
      <c r="K1183" s="205">
        <v>1.4893000000000001</v>
      </c>
      <c r="L1183" s="205">
        <v>1.4399</v>
      </c>
      <c r="M1183" s="205">
        <v>21.743600000000001</v>
      </c>
      <c r="N1183" s="205">
        <v>0</v>
      </c>
      <c r="O1183" s="205">
        <v>5.5899999999999998E-2</v>
      </c>
      <c r="P1183" s="205">
        <v>0</v>
      </c>
      <c r="Q1183" s="205">
        <v>41.8127</v>
      </c>
      <c r="R1183" s="205">
        <v>0</v>
      </c>
      <c r="S1183" s="205">
        <v>0</v>
      </c>
      <c r="T1183" s="205">
        <v>0</v>
      </c>
      <c r="U1183" s="205">
        <v>0</v>
      </c>
      <c r="V1183" s="205">
        <v>0</v>
      </c>
      <c r="W1183" s="205">
        <v>0</v>
      </c>
      <c r="X1183" s="205">
        <v>0</v>
      </c>
      <c r="Y1183" s="205">
        <v>0</v>
      </c>
      <c r="Z1183" s="205">
        <v>0</v>
      </c>
      <c r="AA1183" s="120" t="s">
        <v>2949</v>
      </c>
      <c r="AB1183" s="120" t="s">
        <v>2949</v>
      </c>
      <c r="AC1183" s="165" t="s">
        <v>2297</v>
      </c>
      <c r="AD1183" s="165" t="s">
        <v>2297</v>
      </c>
      <c r="AE1183" s="1">
        <v>45599</v>
      </c>
      <c r="AF1183" s="206" t="s">
        <v>2950</v>
      </c>
      <c r="AG1183" t="str">
        <f>VLOOKUP(OfficeForms.Table[[#This Row],[Nama Proyek]],'Nama Proyek'!$D$2:$G$29,4,0)</f>
        <v>-8.01003300,110.33312900</v>
      </c>
      <c r="AH1183" s="5"/>
      <c r="AI1183" s="5"/>
      <c r="AJ1183" s="5"/>
      <c r="AK1183" s="5" t="s">
        <v>2951</v>
      </c>
    </row>
    <row r="1184" spans="1:37" ht="45.75">
      <c r="A1184">
        <v>98</v>
      </c>
      <c r="B1184" s="163">
        <v>45606.969618055598</v>
      </c>
      <c r="C1184" s="27">
        <v>45606.972430555601</v>
      </c>
      <c r="D1184" s="185" t="s">
        <v>2865</v>
      </c>
      <c r="E1184" s="5" t="s">
        <v>2866</v>
      </c>
      <c r="F1184" s="5" t="s">
        <v>2867</v>
      </c>
      <c r="G1184" s="185" t="s">
        <v>2290</v>
      </c>
      <c r="H1184" s="204">
        <v>45605</v>
      </c>
      <c r="I1184" s="205">
        <v>98.22</v>
      </c>
      <c r="J1184" s="205">
        <v>85.5</v>
      </c>
      <c r="K1184" s="205">
        <v>0.34499999999999997</v>
      </c>
      <c r="L1184" s="205">
        <v>8.5000000000000006E-2</v>
      </c>
      <c r="M1184" s="205">
        <v>39.350999999999999</v>
      </c>
      <c r="N1184" s="205"/>
      <c r="O1184" s="205">
        <v>0.51</v>
      </c>
      <c r="P1184" s="205">
        <v>0.35</v>
      </c>
      <c r="Q1184" s="205">
        <v>57.277000000000001</v>
      </c>
      <c r="R1184" s="205"/>
      <c r="S1184" s="205">
        <v>0.21099999999999999</v>
      </c>
      <c r="T1184" s="205">
        <v>9.4E-2</v>
      </c>
      <c r="U1184" s="205"/>
      <c r="V1184" s="205"/>
      <c r="W1184" s="205"/>
      <c r="X1184" s="205"/>
      <c r="Y1184" s="205"/>
      <c r="Z1184" s="205"/>
      <c r="AA1184" s="120" t="s">
        <v>2952</v>
      </c>
      <c r="AB1184" s="120" t="s">
        <v>2953</v>
      </c>
      <c r="AC1184" s="165" t="s">
        <v>2954</v>
      </c>
      <c r="AD1184" s="165"/>
      <c r="AE1184" s="1">
        <v>45605</v>
      </c>
      <c r="AF1184" s="206" t="s">
        <v>2955</v>
      </c>
      <c r="AG1184" t="str">
        <f>VLOOKUP(OfficeForms.Table[[#This Row],[Nama Proyek]],'Nama Proyek'!$D$2:$G$29,4,0)</f>
        <v>-0.99046214,116.69024762</v>
      </c>
      <c r="AH1184" s="5"/>
      <c r="AI1184" s="5"/>
      <c r="AJ1184" s="5"/>
      <c r="AK1184" s="5" t="s">
        <v>2956</v>
      </c>
    </row>
    <row r="1185" spans="1:37" ht="60.75">
      <c r="A1185">
        <v>99</v>
      </c>
      <c r="B1185" s="163">
        <v>45615.382349537002</v>
      </c>
      <c r="C1185" s="27">
        <v>45615.384201388901</v>
      </c>
      <c r="D1185" s="185" t="s">
        <v>2865</v>
      </c>
      <c r="E1185" s="5" t="s">
        <v>2866</v>
      </c>
      <c r="F1185" s="5" t="s">
        <v>2867</v>
      </c>
      <c r="G1185" s="185" t="s">
        <v>2290</v>
      </c>
      <c r="H1185" s="204">
        <v>45612</v>
      </c>
      <c r="I1185" s="205">
        <v>98.605999999999995</v>
      </c>
      <c r="J1185" s="205">
        <v>87.457999999999998</v>
      </c>
      <c r="K1185" s="205">
        <v>0.36</v>
      </c>
      <c r="L1185" s="205">
        <v>8.5000000000000006E-2</v>
      </c>
      <c r="M1185" s="205">
        <v>39.552999999999997</v>
      </c>
      <c r="N1185" s="205"/>
      <c r="O1185" s="205">
        <v>0.51</v>
      </c>
      <c r="P1185" s="205">
        <v>0.35899999999999999</v>
      </c>
      <c r="Q1185" s="205">
        <v>57.433</v>
      </c>
      <c r="R1185" s="205"/>
      <c r="S1185" s="205">
        <v>0.21099999999999999</v>
      </c>
      <c r="T1185" s="205">
        <v>9.4E-2</v>
      </c>
      <c r="U1185" s="205"/>
      <c r="V1185" s="205"/>
      <c r="W1185" s="205"/>
      <c r="X1185" s="205"/>
      <c r="Y1185" s="205"/>
      <c r="Z1185" s="205"/>
      <c r="AA1185" s="120" t="s">
        <v>2957</v>
      </c>
      <c r="AB1185" s="120" t="s">
        <v>2958</v>
      </c>
      <c r="AC1185" s="165"/>
      <c r="AD1185" s="165"/>
      <c r="AE1185" s="1">
        <v>45612</v>
      </c>
      <c r="AF1185" s="206" t="s">
        <v>2959</v>
      </c>
      <c r="AG1185" t="str">
        <f>VLOOKUP(OfficeForms.Table[[#This Row],[Nama Proyek]],'Nama Proyek'!$D$2:$G$29,4,0)</f>
        <v>-0.99046214,116.69024762</v>
      </c>
      <c r="AH1185" s="5"/>
      <c r="AI1185" s="5"/>
      <c r="AJ1185" s="5"/>
      <c r="AK1185" s="5"/>
    </row>
    <row r="1186" spans="1:37">
      <c r="A1186">
        <v>100</v>
      </c>
      <c r="B1186" s="163">
        <v>45621.452106481498</v>
      </c>
      <c r="C1186" s="27">
        <v>45621.453541666699</v>
      </c>
      <c r="D1186" s="185" t="s">
        <v>2585</v>
      </c>
      <c r="E1186" s="5" t="s">
        <v>2586</v>
      </c>
      <c r="F1186" s="5" t="s">
        <v>1479</v>
      </c>
      <c r="G1186" s="185" t="s">
        <v>1480</v>
      </c>
      <c r="H1186" s="204">
        <v>45613</v>
      </c>
      <c r="I1186" s="205">
        <v>65.944000000000003</v>
      </c>
      <c r="J1186" s="205">
        <v>65.33</v>
      </c>
      <c r="K1186" s="205"/>
      <c r="L1186" s="205"/>
      <c r="M1186" s="205"/>
      <c r="N1186" s="205"/>
      <c r="O1186" s="205"/>
      <c r="P1186" s="205"/>
      <c r="Q1186" s="205"/>
      <c r="R1186" s="205"/>
      <c r="S1186" s="205"/>
      <c r="T1186" s="205"/>
      <c r="U1186" s="205"/>
      <c r="V1186" s="205"/>
      <c r="W1186" s="205"/>
      <c r="X1186" s="205"/>
      <c r="Y1186" s="205"/>
      <c r="Z1186" s="205"/>
      <c r="AA1186" s="120"/>
      <c r="AB1186" s="120"/>
      <c r="AC1186" s="165"/>
      <c r="AD1186" s="165"/>
      <c r="AE1186" s="1"/>
      <c r="AF1186" s="206"/>
      <c r="AG1186" t="str">
        <f>VLOOKUP(OfficeForms.Table[[#This Row],[Nama Proyek]],'Nama Proyek'!$D$2:$G$29,4,0)</f>
        <v>-6.23191260,107.90813480</v>
      </c>
      <c r="AH1186" s="5"/>
      <c r="AI1186" s="5"/>
      <c r="AJ1186" s="5"/>
      <c r="AK1186" s="5"/>
    </row>
    <row r="1187" spans="1:37" ht="60.75">
      <c r="A1187">
        <v>101</v>
      </c>
      <c r="B1187" s="163">
        <v>45621.506053240701</v>
      </c>
      <c r="C1187" s="27">
        <v>45621.574872685203</v>
      </c>
      <c r="D1187" s="185" t="s">
        <v>2865</v>
      </c>
      <c r="E1187" s="5" t="s">
        <v>2866</v>
      </c>
      <c r="F1187" s="5" t="s">
        <v>2867</v>
      </c>
      <c r="G1187" s="185" t="s">
        <v>2290</v>
      </c>
      <c r="H1187" s="204">
        <v>45619</v>
      </c>
      <c r="I1187" s="205">
        <v>98.933999999999997</v>
      </c>
      <c r="J1187" s="205">
        <v>89.415000000000006</v>
      </c>
      <c r="K1187" s="205">
        <v>0.36</v>
      </c>
      <c r="L1187" s="205">
        <v>8.5000000000000006E-2</v>
      </c>
      <c r="M1187" s="205">
        <v>39.704000000000001</v>
      </c>
      <c r="N1187" s="205"/>
      <c r="O1187" s="205">
        <v>0.51</v>
      </c>
      <c r="P1187" s="205">
        <v>0.35599999999999998</v>
      </c>
      <c r="Q1187" s="205">
        <v>57.609000000000002</v>
      </c>
      <c r="R1187" s="205"/>
      <c r="S1187" s="205">
        <v>0.21099999999999999</v>
      </c>
      <c r="T1187" s="205">
        <v>9.4E-2</v>
      </c>
      <c r="U1187" s="205"/>
      <c r="V1187" s="205"/>
      <c r="W1187" s="205"/>
      <c r="X1187" s="205"/>
      <c r="Y1187" s="205"/>
      <c r="Z1187" s="205"/>
      <c r="AA1187" s="120" t="s">
        <v>2960</v>
      </c>
      <c r="AB1187" s="120" t="s">
        <v>2960</v>
      </c>
      <c r="AC1187" s="165" t="s">
        <v>2961</v>
      </c>
      <c r="AD1187" s="165"/>
      <c r="AE1187" s="1">
        <v>45619</v>
      </c>
      <c r="AF1187" s="206" t="s">
        <v>2959</v>
      </c>
      <c r="AG1187" t="str">
        <f>VLOOKUP(OfficeForms.Table[[#This Row],[Nama Proyek]],'Nama Proyek'!$D$2:$G$29,4,0)</f>
        <v>-0.99046214,116.69024762</v>
      </c>
      <c r="AH1187" s="5"/>
      <c r="AI1187" s="5"/>
      <c r="AJ1187" s="5"/>
      <c r="AK1187" s="5"/>
    </row>
    <row r="1188" spans="1:37">
      <c r="A1188">
        <v>102</v>
      </c>
      <c r="B1188" s="163">
        <v>45622.629560185203</v>
      </c>
      <c r="C1188" s="27">
        <v>45622.631273148101</v>
      </c>
      <c r="D1188" s="185" t="s">
        <v>2509</v>
      </c>
      <c r="E1188" s="5" t="s">
        <v>687</v>
      </c>
      <c r="F1188" s="5" t="s">
        <v>687</v>
      </c>
      <c r="G1188" s="185" t="s">
        <v>750</v>
      </c>
      <c r="H1188" s="204">
        <v>45621</v>
      </c>
      <c r="I1188" s="205">
        <v>97.432000000000002</v>
      </c>
      <c r="J1188" s="205">
        <v>97.418000000000006</v>
      </c>
      <c r="K1188" s="205"/>
      <c r="L1188" s="205"/>
      <c r="M1188" s="205"/>
      <c r="N1188" s="205"/>
      <c r="O1188" s="205"/>
      <c r="P1188" s="205"/>
      <c r="Q1188" s="205"/>
      <c r="R1188" s="205"/>
      <c r="S1188" s="205"/>
      <c r="T1188" s="205"/>
      <c r="U1188" s="205"/>
      <c r="V1188" s="205"/>
      <c r="W1188" s="205"/>
      <c r="X1188" s="205"/>
      <c r="Y1188" s="205"/>
      <c r="Z1188" s="205"/>
      <c r="AA1188" s="120" t="s">
        <v>2962</v>
      </c>
      <c r="AB1188" s="120" t="s">
        <v>2963</v>
      </c>
      <c r="AC1188" s="165" t="s">
        <v>2964</v>
      </c>
      <c r="AD1188" s="165" t="s">
        <v>2964</v>
      </c>
      <c r="AE1188" s="1"/>
      <c r="AF1188" s="206" t="s">
        <v>2297</v>
      </c>
      <c r="AG1188" t="str">
        <f>VLOOKUP(OfficeForms.Table[[#This Row],[Nama Proyek]],'Nama Proyek'!$D$2:$G$29,4,0)</f>
        <v>-1.10415341,116.73424356</v>
      </c>
      <c r="AH1188" s="5"/>
      <c r="AI1188" s="5"/>
      <c r="AJ1188" s="5"/>
      <c r="AK1188" s="5"/>
    </row>
    <row r="1189" spans="1:37">
      <c r="A1189">
        <v>103</v>
      </c>
      <c r="B1189" s="163">
        <v>45624.417037036997</v>
      </c>
      <c r="C1189" s="27">
        <v>45624.455266203702</v>
      </c>
      <c r="D1189" s="185" t="s">
        <v>2525</v>
      </c>
      <c r="E1189" s="5" t="s">
        <v>47</v>
      </c>
      <c r="F1189" s="5" t="s">
        <v>214</v>
      </c>
      <c r="G1189" s="185" t="s">
        <v>2734</v>
      </c>
      <c r="H1189" s="204">
        <v>45623</v>
      </c>
      <c r="I1189" s="205">
        <v>7.359</v>
      </c>
      <c r="J1189" s="205">
        <v>9.6579999999999995</v>
      </c>
      <c r="K1189" s="205">
        <v>0.495</v>
      </c>
      <c r="L1189" s="205">
        <v>0.13400000000000001</v>
      </c>
      <c r="M1189" s="205">
        <v>1.4999999999999999E-2</v>
      </c>
      <c r="N1189" s="205">
        <v>2.2890000000000001</v>
      </c>
      <c r="O1189" s="205">
        <v>6.9000000000000006E-2</v>
      </c>
      <c r="P1189" s="205">
        <v>1.2999999999999999E-2</v>
      </c>
      <c r="Q1189" s="205">
        <v>2E-3</v>
      </c>
      <c r="R1189" s="205"/>
      <c r="S1189" s="205"/>
      <c r="T1189" s="205">
        <v>2.173</v>
      </c>
      <c r="U1189" s="205"/>
      <c r="V1189" s="205"/>
      <c r="W1189" s="205"/>
      <c r="X1189" s="205"/>
      <c r="Y1189" s="205"/>
      <c r="Z1189" s="205"/>
      <c r="AA1189" s="120" t="s">
        <v>2965</v>
      </c>
      <c r="AB1189" s="120" t="s">
        <v>2966</v>
      </c>
      <c r="AC1189" s="165" t="s">
        <v>2967</v>
      </c>
      <c r="AD1189" s="165"/>
      <c r="AE1189" s="1"/>
      <c r="AF1189" s="206"/>
      <c r="AG1189" t="str">
        <f>VLOOKUP(OfficeForms.Table[[#This Row],[Nama Proyek]],'Nama Proyek'!$D$2:$G$40,4,0)</f>
        <v>-6.8812050213,106.7893827682</v>
      </c>
      <c r="AH1189" s="5"/>
      <c r="AI1189" s="5"/>
      <c r="AJ1189" s="5"/>
      <c r="AK1189" s="5"/>
    </row>
    <row r="1190" spans="1:37">
      <c r="A1190">
        <v>106</v>
      </c>
      <c r="B1190" s="163">
        <v>45624.582870370403</v>
      </c>
      <c r="C1190" s="27">
        <v>45624.6084722222</v>
      </c>
      <c r="D1190" s="185" t="s">
        <v>2662</v>
      </c>
      <c r="E1190" s="5" t="s">
        <v>998</v>
      </c>
      <c r="F1190" s="5" t="s">
        <v>998</v>
      </c>
      <c r="G1190" s="185" t="s">
        <v>2663</v>
      </c>
      <c r="H1190" s="204">
        <v>45620</v>
      </c>
      <c r="I1190" s="205">
        <v>84.084999999999994</v>
      </c>
      <c r="J1190" s="205">
        <v>82.408000000000001</v>
      </c>
      <c r="K1190" s="205">
        <v>2.5920000000000001</v>
      </c>
      <c r="L1190" s="205">
        <v>1.5249999999999999</v>
      </c>
      <c r="M1190" s="205">
        <v>28.984999999999999</v>
      </c>
      <c r="N1190" s="205"/>
      <c r="O1190" s="205">
        <v>9.0760000000000005</v>
      </c>
      <c r="P1190" s="205">
        <v>3.5590000000000002</v>
      </c>
      <c r="Q1190" s="205">
        <v>37.716000000000001</v>
      </c>
      <c r="R1190" s="205"/>
      <c r="S1190" s="205">
        <v>0.63200000000000001</v>
      </c>
      <c r="T1190" s="205"/>
      <c r="U1190" s="205"/>
      <c r="V1190" s="205"/>
      <c r="W1190" s="205"/>
      <c r="X1190" s="205"/>
      <c r="Y1190" s="205"/>
      <c r="Z1190" s="205"/>
      <c r="AA1190" s="120" t="s">
        <v>2968</v>
      </c>
      <c r="AB1190" s="120" t="s">
        <v>2969</v>
      </c>
      <c r="AC1190" s="165" t="s">
        <v>2970</v>
      </c>
      <c r="AD1190" s="165" t="s">
        <v>2971</v>
      </c>
      <c r="AE1190" s="1">
        <v>45623</v>
      </c>
      <c r="AF1190" s="206" t="s">
        <v>2972</v>
      </c>
      <c r="AG1190" t="str">
        <f>VLOOKUP(OfficeForms.Table[[#This Row],[Nama Proyek]],'Nama Proyek'!$D$2:$G$29,4,0)</f>
        <v>-1.15205556,116.69316667</v>
      </c>
      <c r="AH1190" s="5"/>
      <c r="AI1190" s="5"/>
      <c r="AJ1190" s="5"/>
      <c r="AK1190" s="5"/>
    </row>
    <row r="1191" spans="1:37">
      <c r="A1191">
        <v>105</v>
      </c>
      <c r="B1191" s="163">
        <v>45624.586319444403</v>
      </c>
      <c r="C1191" s="27">
        <v>45624.604409722197</v>
      </c>
      <c r="D1191" s="185" t="s">
        <v>2634</v>
      </c>
      <c r="E1191" s="5" t="s">
        <v>109</v>
      </c>
      <c r="F1191" s="5" t="s">
        <v>109</v>
      </c>
      <c r="G1191" s="185" t="s">
        <v>2267</v>
      </c>
      <c r="H1191" s="204">
        <v>45620</v>
      </c>
      <c r="I1191" s="205">
        <v>31.675999999999998</v>
      </c>
      <c r="J1191" s="205">
        <v>44.356999999999999</v>
      </c>
      <c r="K1191" s="205">
        <v>75.78</v>
      </c>
      <c r="L1191" s="205">
        <v>81.27</v>
      </c>
      <c r="M1191" s="205">
        <v>75.25</v>
      </c>
      <c r="N1191" s="205">
        <v>24.34</v>
      </c>
      <c r="O1191" s="205">
        <v>82.91</v>
      </c>
      <c r="P1191" s="205">
        <v>3.51</v>
      </c>
      <c r="Q1191" s="205">
        <v>9.83</v>
      </c>
      <c r="R1191" s="205">
        <v>1.91</v>
      </c>
      <c r="S1191" s="205">
        <v>1.36</v>
      </c>
      <c r="T1191" s="205">
        <v>31.51</v>
      </c>
      <c r="U1191" s="205">
        <v>0</v>
      </c>
      <c r="V1191" s="205">
        <v>0.48</v>
      </c>
      <c r="W1191" s="205">
        <v>0</v>
      </c>
      <c r="X1191" s="205">
        <v>0</v>
      </c>
      <c r="Y1191" s="205">
        <v>42.53</v>
      </c>
      <c r="Z1191" s="205">
        <v>0</v>
      </c>
      <c r="AA1191" s="120" t="s">
        <v>2973</v>
      </c>
      <c r="AB1191" s="120" t="s">
        <v>2974</v>
      </c>
      <c r="AC1191" s="165" t="s">
        <v>2975</v>
      </c>
      <c r="AD1191" s="165" t="s">
        <v>2976</v>
      </c>
      <c r="AE1191" s="1">
        <v>45620</v>
      </c>
      <c r="AF1191" s="206" t="s">
        <v>2977</v>
      </c>
      <c r="AG1191" t="e">
        <f>VLOOKUP(OfficeForms.Table[[#This Row],[Nama Proyek]],'Nama Proyek'!$D$2:$G$29,4,0)</f>
        <v>#N/A</v>
      </c>
      <c r="AH1191" s="5"/>
      <c r="AI1191" s="5"/>
      <c r="AJ1191" s="5"/>
      <c r="AK1191" s="5"/>
    </row>
    <row r="1192" spans="1:37">
      <c r="A1192">
        <v>104</v>
      </c>
      <c r="B1192" s="163">
        <v>45624.590844907398</v>
      </c>
      <c r="C1192" s="27">
        <v>45624.591886574097</v>
      </c>
      <c r="D1192" s="185" t="s">
        <v>2781</v>
      </c>
      <c r="E1192" s="5" t="s">
        <v>1546</v>
      </c>
      <c r="F1192" s="5" t="s">
        <v>1546</v>
      </c>
      <c r="G1192" s="185" t="s">
        <v>1480</v>
      </c>
      <c r="H1192" s="204">
        <v>45624</v>
      </c>
      <c r="I1192" s="205"/>
      <c r="J1192" s="205"/>
      <c r="K1192" s="205"/>
      <c r="L1192" s="205"/>
      <c r="M1192" s="205"/>
      <c r="N1192" s="205"/>
      <c r="O1192" s="205"/>
      <c r="P1192" s="205"/>
      <c r="Q1192" s="205"/>
      <c r="R1192" s="205"/>
      <c r="S1192" s="205"/>
      <c r="T1192" s="205"/>
      <c r="U1192" s="205"/>
      <c r="V1192" s="205"/>
      <c r="W1192" s="205"/>
      <c r="X1192" s="205"/>
      <c r="Y1192" s="205"/>
      <c r="Z1192" s="205"/>
      <c r="AA1192" s="120" t="s">
        <v>2978</v>
      </c>
      <c r="AB1192" s="120" t="s">
        <v>2979</v>
      </c>
      <c r="AC1192" s="165" t="s">
        <v>2980</v>
      </c>
      <c r="AD1192" s="165" t="s">
        <v>2981</v>
      </c>
      <c r="AE1192" s="1"/>
      <c r="AF1192" s="206"/>
      <c r="AG1192" t="str">
        <f>VLOOKUP(OfficeForms.Table[[#This Row],[Nama Proyek]],'Nama Proyek'!$D$2:$G$29,4,0)</f>
        <v>-6.23191260,107.90813480</v>
      </c>
      <c r="AH1192" s="5"/>
      <c r="AI1192" s="5"/>
      <c r="AJ1192" s="5"/>
      <c r="AK1192" s="5"/>
    </row>
    <row r="1193" spans="1:37" ht="244.5">
      <c r="A1193">
        <v>107</v>
      </c>
      <c r="B1193" s="163">
        <v>45624.6504166667</v>
      </c>
      <c r="C1193" s="27">
        <v>45624.650439814803</v>
      </c>
      <c r="D1193" s="185" t="s">
        <v>2546</v>
      </c>
      <c r="E1193" s="5" t="s">
        <v>85</v>
      </c>
      <c r="F1193" s="5" t="s">
        <v>85</v>
      </c>
      <c r="G1193" s="185" t="s">
        <v>2336</v>
      </c>
      <c r="H1193" s="204">
        <v>45620</v>
      </c>
      <c r="I1193" s="205">
        <v>29.094000000000001</v>
      </c>
      <c r="J1193" s="205">
        <v>28.847999999999999</v>
      </c>
      <c r="K1193" s="205">
        <v>2.2869999999999999</v>
      </c>
      <c r="L1193" s="205">
        <v>0.158</v>
      </c>
      <c r="M1193" s="205">
        <v>0</v>
      </c>
      <c r="N1193" s="205">
        <v>15.818</v>
      </c>
      <c r="O1193" s="205">
        <v>5.1999999999999998E-2</v>
      </c>
      <c r="P1193" s="205">
        <v>0</v>
      </c>
      <c r="Q1193" s="205">
        <v>0</v>
      </c>
      <c r="R1193" s="205">
        <v>0</v>
      </c>
      <c r="S1193" s="205">
        <v>0</v>
      </c>
      <c r="T1193" s="205">
        <v>10.779</v>
      </c>
      <c r="U1193" s="205">
        <v>0</v>
      </c>
      <c r="V1193" s="205">
        <v>0</v>
      </c>
      <c r="W1193" s="205">
        <v>0</v>
      </c>
      <c r="X1193" s="205">
        <v>0</v>
      </c>
      <c r="Y1193" s="205">
        <v>0</v>
      </c>
      <c r="Z1193" s="205">
        <v>0</v>
      </c>
      <c r="AA1193" s="120" t="s">
        <v>2873</v>
      </c>
      <c r="AB1193" s="120" t="s">
        <v>2873</v>
      </c>
      <c r="AC1193" s="165" t="s">
        <v>2875</v>
      </c>
      <c r="AD1193" s="165" t="s">
        <v>2875</v>
      </c>
      <c r="AE1193" s="1">
        <v>45620</v>
      </c>
      <c r="AF1193" s="206" t="s">
        <v>2982</v>
      </c>
      <c r="AG1193" t="e">
        <f>VLOOKUP(OfficeForms.Table[[#This Row],[Nama Proyek]],'Nama Proyek'!$D$2:$G$29,4,0)</f>
        <v>#N/A</v>
      </c>
      <c r="AH1193" s="5"/>
      <c r="AI1193" s="5"/>
      <c r="AJ1193" s="5"/>
      <c r="AK1193" s="5"/>
    </row>
    <row r="1194" spans="1:37">
      <c r="A1194">
        <v>108</v>
      </c>
      <c r="B1194" s="163">
        <v>45626.388252314799</v>
      </c>
      <c r="C1194" s="27">
        <v>45626.391805555599</v>
      </c>
      <c r="D1194" s="185" t="s">
        <v>2256</v>
      </c>
      <c r="E1194" s="5" t="s">
        <v>734</v>
      </c>
      <c r="F1194" s="5" t="s">
        <v>734</v>
      </c>
      <c r="G1194" s="185" t="s">
        <v>735</v>
      </c>
      <c r="H1194" s="204">
        <v>45626</v>
      </c>
      <c r="I1194" s="205">
        <v>80.566999999999993</v>
      </c>
      <c r="J1194" s="205">
        <v>79.817999999999998</v>
      </c>
      <c r="K1194" s="205">
        <v>0.39200000000000002</v>
      </c>
      <c r="L1194" s="205">
        <v>2.2189999999999999</v>
      </c>
      <c r="M1194" s="205">
        <v>44.067999999999998</v>
      </c>
      <c r="N1194" s="205">
        <v>23.402999999999999</v>
      </c>
      <c r="O1194" s="205">
        <v>0.93200000000000005</v>
      </c>
      <c r="P1194" s="205">
        <v>4.6909999999999998</v>
      </c>
      <c r="Q1194" s="205">
        <v>0.76300000000000001</v>
      </c>
      <c r="R1194" s="205"/>
      <c r="S1194" s="205"/>
      <c r="T1194" s="205"/>
      <c r="U1194" s="205"/>
      <c r="V1194" s="205"/>
      <c r="W1194" s="205"/>
      <c r="X1194" s="205"/>
      <c r="Y1194" s="205"/>
      <c r="Z1194" s="205"/>
      <c r="AA1194" s="120" t="s">
        <v>2983</v>
      </c>
      <c r="AB1194" s="120" t="s">
        <v>2984</v>
      </c>
      <c r="AC1194" s="165" t="s">
        <v>2985</v>
      </c>
      <c r="AD1194" s="165" t="s">
        <v>2986</v>
      </c>
      <c r="AE1194" s="1">
        <v>45626</v>
      </c>
      <c r="AF1194" s="206" t="s">
        <v>2297</v>
      </c>
      <c r="AG1194" t="str">
        <f>VLOOKUP(OfficeForms.Table[[#This Row],[Nama Proyek]],'Nama Proyek'!$D$2:$G$40,4,0)</f>
        <v>-0.88562397,119.85928375</v>
      </c>
      <c r="AH1194" s="5"/>
      <c r="AI1194" s="5"/>
      <c r="AJ1194" s="5"/>
      <c r="AK1194" s="5"/>
    </row>
    <row r="1195" spans="1:37" ht="45.75">
      <c r="A1195">
        <v>109</v>
      </c>
      <c r="B1195" s="163">
        <v>45628.335196759297</v>
      </c>
      <c r="C1195" s="27">
        <v>45628.340381944399</v>
      </c>
      <c r="D1195" s="185" t="s">
        <v>2865</v>
      </c>
      <c r="E1195" s="5" t="s">
        <v>2866</v>
      </c>
      <c r="F1195" s="5" t="s">
        <v>2867</v>
      </c>
      <c r="G1195" s="185" t="s">
        <v>2290</v>
      </c>
      <c r="H1195" s="204">
        <v>45626</v>
      </c>
      <c r="I1195" s="205">
        <v>99.408000000000001</v>
      </c>
      <c r="J1195" s="205">
        <v>91.370999999999995</v>
      </c>
      <c r="K1195" s="205">
        <v>0.36</v>
      </c>
      <c r="L1195" s="205">
        <v>8.5000000000000006E-2</v>
      </c>
      <c r="M1195" s="205">
        <v>39.798999999999999</v>
      </c>
      <c r="N1195" s="205"/>
      <c r="O1195" s="205">
        <v>0.55800000000000005</v>
      </c>
      <c r="P1195" s="205">
        <v>0.35899999999999999</v>
      </c>
      <c r="Q1195" s="205">
        <v>57.941000000000003</v>
      </c>
      <c r="R1195" s="205"/>
      <c r="S1195" s="205">
        <v>0.21099999999999999</v>
      </c>
      <c r="T1195" s="205">
        <v>9.4E-2</v>
      </c>
      <c r="U1195" s="205"/>
      <c r="V1195" s="205"/>
      <c r="W1195" s="205"/>
      <c r="X1195" s="205"/>
      <c r="Y1195" s="205"/>
      <c r="Z1195" s="205"/>
      <c r="AA1195" s="120" t="s">
        <v>2987</v>
      </c>
      <c r="AB1195" s="120" t="s">
        <v>2987</v>
      </c>
      <c r="AC1195" s="165" t="s">
        <v>2988</v>
      </c>
      <c r="AD1195" s="165"/>
      <c r="AE1195" s="1">
        <v>45626</v>
      </c>
      <c r="AF1195" s="206" t="s">
        <v>2989</v>
      </c>
      <c r="AG1195" t="str">
        <f>VLOOKUP(OfficeForms.Table[[#This Row],[Nama Proyek]],'Nama Proyek'!$D$2:$G$29,4,0)</f>
        <v>-0.99046214,116.69024762</v>
      </c>
      <c r="AH1195" s="5"/>
      <c r="AI1195" s="5"/>
      <c r="AJ1195" s="5"/>
      <c r="AK1195" s="5"/>
    </row>
    <row r="1196" spans="1:37" ht="30.75">
      <c r="A1196">
        <v>110</v>
      </c>
      <c r="B1196" s="163">
        <v>45628.523831018501</v>
      </c>
      <c r="C1196" s="27">
        <v>45628.53125</v>
      </c>
      <c r="D1196" s="185" t="s">
        <v>2580</v>
      </c>
      <c r="E1196" s="5" t="s">
        <v>57</v>
      </c>
      <c r="F1196" s="5" t="s">
        <v>57</v>
      </c>
      <c r="G1196" s="185" t="s">
        <v>1484</v>
      </c>
      <c r="H1196" s="204">
        <v>45621</v>
      </c>
      <c r="I1196" s="205">
        <v>69.597999999999999</v>
      </c>
      <c r="J1196" s="205">
        <v>55.198999999999998</v>
      </c>
      <c r="K1196" s="205">
        <v>1.31</v>
      </c>
      <c r="L1196" s="205">
        <v>2.4990000000000001</v>
      </c>
      <c r="M1196" s="205">
        <v>25.053999999999998</v>
      </c>
      <c r="N1196" s="205"/>
      <c r="O1196" s="205">
        <v>0.48499999999999999</v>
      </c>
      <c r="P1196" s="205"/>
      <c r="Q1196" s="205">
        <v>40.25</v>
      </c>
      <c r="R1196" s="205"/>
      <c r="S1196" s="205"/>
      <c r="T1196" s="205"/>
      <c r="U1196" s="205"/>
      <c r="V1196" s="205"/>
      <c r="W1196" s="205"/>
      <c r="X1196" s="205"/>
      <c r="Y1196" s="205"/>
      <c r="Z1196" s="205"/>
      <c r="AA1196" s="120" t="s">
        <v>2990</v>
      </c>
      <c r="AB1196" s="120" t="s">
        <v>2991</v>
      </c>
      <c r="AC1196" s="165"/>
      <c r="AD1196" s="165"/>
      <c r="AE1196" s="1">
        <v>45621</v>
      </c>
      <c r="AF1196" s="206" t="s">
        <v>2992</v>
      </c>
      <c r="AG1196" t="str">
        <f>VLOOKUP(OfficeForms.Table[[#This Row],[Nama Proyek]],'Nama Proyek'!$D$2:$G$29,4,0)</f>
        <v>-8.01003300,110.33312900</v>
      </c>
      <c r="AH1196" s="5"/>
      <c r="AI1196" s="5"/>
      <c r="AJ1196" s="5"/>
      <c r="AK1196" s="5"/>
    </row>
    <row r="1197" spans="1:37" ht="259.5">
      <c r="A1197">
        <v>111</v>
      </c>
      <c r="B1197" s="163">
        <v>45628.612997685203</v>
      </c>
      <c r="C1197" s="27">
        <v>45628.630127314798</v>
      </c>
      <c r="D1197" s="185" t="s">
        <v>2502</v>
      </c>
      <c r="E1197" s="5" t="s">
        <v>2284</v>
      </c>
      <c r="F1197" s="5" t="s">
        <v>2284</v>
      </c>
      <c r="G1197" s="185" t="s">
        <v>1317</v>
      </c>
      <c r="H1197" s="204">
        <v>45626</v>
      </c>
      <c r="I1197" s="205">
        <v>54.453000000000003</v>
      </c>
      <c r="J1197" s="205">
        <v>58.146000000000001</v>
      </c>
      <c r="K1197" s="205">
        <v>1</v>
      </c>
      <c r="L1197" s="205">
        <v>0.189</v>
      </c>
      <c r="M1197" s="205">
        <v>7.1999999999999995E-2</v>
      </c>
      <c r="N1197" s="205">
        <v>30.841999999999999</v>
      </c>
      <c r="O1197" s="205">
        <v>0.20399999999999999</v>
      </c>
      <c r="P1197" s="205">
        <v>0.22900000000000001</v>
      </c>
      <c r="Q1197" s="205">
        <v>4.5999999999999999E-2</v>
      </c>
      <c r="R1197" s="205">
        <v>0.34699999999999998</v>
      </c>
      <c r="S1197" s="205">
        <v>0.249</v>
      </c>
      <c r="T1197" s="205">
        <v>17.206</v>
      </c>
      <c r="U1197" s="205">
        <v>0</v>
      </c>
      <c r="V1197" s="205">
        <v>4.0549999999999997</v>
      </c>
      <c r="W1197" s="205">
        <v>0</v>
      </c>
      <c r="X1197" s="205">
        <v>0</v>
      </c>
      <c r="Y1197" s="205">
        <v>1.2E-2</v>
      </c>
      <c r="Z1197" s="205">
        <v>0</v>
      </c>
      <c r="AA1197" s="120" t="s">
        <v>2993</v>
      </c>
      <c r="AB1197" s="120" t="s">
        <v>2836</v>
      </c>
      <c r="AC1197" s="165" t="s">
        <v>2413</v>
      </c>
      <c r="AD1197" s="165" t="s">
        <v>2413</v>
      </c>
      <c r="AE1197" s="1">
        <v>45626</v>
      </c>
      <c r="AF1197" s="206" t="s">
        <v>2994</v>
      </c>
      <c r="AG1197" t="str">
        <f>VLOOKUP(OfficeForms.Table[[#This Row],[Nama Proyek]],'Nama Proyek'!$D$2:$G$29,4,0)</f>
        <v>-7.72647690,113.63515320</v>
      </c>
      <c r="AH1197" s="5"/>
      <c r="AI1197" s="5"/>
      <c r="AJ1197" s="5"/>
      <c r="AK1197" s="5"/>
    </row>
    <row r="1198" spans="1:37">
      <c r="A1198">
        <v>112</v>
      </c>
      <c r="B1198" s="163">
        <v>45628.630972222199</v>
      </c>
      <c r="C1198" s="27">
        <v>45628.683645833298</v>
      </c>
      <c r="D1198" s="185" t="s">
        <v>2995</v>
      </c>
      <c r="E1198" s="5" t="s">
        <v>1090</v>
      </c>
      <c r="F1198" s="5" t="s">
        <v>1090</v>
      </c>
      <c r="G1198" s="185" t="s">
        <v>1472</v>
      </c>
      <c r="H1198" s="204">
        <v>45623</v>
      </c>
      <c r="I1198" s="205">
        <v>95.625</v>
      </c>
      <c r="J1198" s="205">
        <v>98.370999999999995</v>
      </c>
      <c r="K1198" s="205">
        <v>0.78</v>
      </c>
      <c r="L1198" s="205">
        <v>1.27</v>
      </c>
      <c r="M1198" s="205">
        <v>36.68</v>
      </c>
      <c r="N1198" s="205">
        <v>0</v>
      </c>
      <c r="O1198" s="205">
        <v>1.74</v>
      </c>
      <c r="P1198" s="205">
        <v>2.97</v>
      </c>
      <c r="Q1198" s="205">
        <v>48.14</v>
      </c>
      <c r="R1198" s="205">
        <v>0</v>
      </c>
      <c r="S1198" s="205">
        <v>1.53</v>
      </c>
      <c r="T1198" s="205">
        <v>0.47</v>
      </c>
      <c r="U1198" s="205">
        <v>2.0499999999999998</v>
      </c>
      <c r="V1198" s="205"/>
      <c r="W1198" s="205"/>
      <c r="X1198" s="205"/>
      <c r="Y1198" s="205"/>
      <c r="Z1198" s="205"/>
      <c r="AA1198" s="120" t="s">
        <v>2996</v>
      </c>
      <c r="AB1198" s="120" t="s">
        <v>2997</v>
      </c>
      <c r="AC1198" s="165" t="s">
        <v>2998</v>
      </c>
      <c r="AD1198" s="165"/>
      <c r="AE1198" s="1"/>
      <c r="AF1198" s="206"/>
      <c r="AG1198" t="str">
        <f>VLOOKUP(OfficeForms.Table[[#This Row],[Nama Proyek]],'Nama Proyek'!$D$2:$G$29,4,0)</f>
        <v>-0.96849430,116.70188410</v>
      </c>
      <c r="AH1198" s="5"/>
      <c r="AI1198" s="5"/>
      <c r="AJ1198" s="5"/>
      <c r="AK1198" s="5"/>
    </row>
    <row r="1199" spans="1:37">
      <c r="A1199">
        <v>113</v>
      </c>
      <c r="B1199" s="163">
        <v>45628.797071759298</v>
      </c>
      <c r="C1199" s="27">
        <v>45628.809872685197</v>
      </c>
      <c r="D1199" s="185" t="s">
        <v>2847</v>
      </c>
      <c r="E1199" s="5" t="s">
        <v>2848</v>
      </c>
      <c r="F1199" s="5" t="s">
        <v>2214</v>
      </c>
      <c r="G1199" s="185" t="s">
        <v>1315</v>
      </c>
      <c r="H1199" s="204">
        <v>45623</v>
      </c>
      <c r="I1199" s="205">
        <v>86.418000000000006</v>
      </c>
      <c r="J1199" s="205">
        <v>100</v>
      </c>
      <c r="K1199" s="205">
        <v>5.0250000000000004</v>
      </c>
      <c r="L1199" s="205">
        <v>0.79400000000000004</v>
      </c>
      <c r="M1199" s="205">
        <v>7.0000000000000007E-2</v>
      </c>
      <c r="N1199" s="205">
        <v>35.037999999999997</v>
      </c>
      <c r="O1199" s="205">
        <v>0.94099999999999995</v>
      </c>
      <c r="P1199" s="205">
        <v>6.859</v>
      </c>
      <c r="Q1199" s="205">
        <v>0.11</v>
      </c>
      <c r="R1199" s="205">
        <v>1.3220000000000001</v>
      </c>
      <c r="S1199" s="205">
        <v>9.8879999999999999</v>
      </c>
      <c r="T1199" s="205">
        <v>11.132</v>
      </c>
      <c r="U1199" s="205"/>
      <c r="V1199" s="205">
        <v>10.933999999999999</v>
      </c>
      <c r="W1199" s="205">
        <v>2.073</v>
      </c>
      <c r="X1199" s="205"/>
      <c r="Y1199" s="205">
        <v>2.2320000000000002</v>
      </c>
      <c r="Z1199" s="205"/>
      <c r="AA1199" s="120"/>
      <c r="AB1199" s="120" t="s">
        <v>2999</v>
      </c>
      <c r="AC1199" s="165"/>
      <c r="AD1199" s="165"/>
      <c r="AE1199" s="1">
        <v>45623</v>
      </c>
      <c r="AF1199" s="206"/>
      <c r="AG1199" t="str">
        <f>VLOOKUP(OfficeForms.Table[[#This Row],[Nama Proyek]],'Nama Proyek'!$D$2:$G$40,4,0)</f>
        <v>-6.42093860,107.18760070</v>
      </c>
      <c r="AH1199" s="5"/>
      <c r="AI1199" s="5"/>
      <c r="AJ1199" s="5"/>
      <c r="AK1199" s="5"/>
    </row>
    <row r="1200" spans="1:37" ht="91.5">
      <c r="A1200">
        <v>114</v>
      </c>
      <c r="B1200" s="163">
        <v>45628.829131944403</v>
      </c>
      <c r="C1200" s="27">
        <v>45628.843124999999</v>
      </c>
      <c r="D1200" s="185" t="s">
        <v>2600</v>
      </c>
      <c r="E1200" s="5" t="s">
        <v>855</v>
      </c>
      <c r="F1200" s="5" t="s">
        <v>855</v>
      </c>
      <c r="G1200" s="185" t="s">
        <v>2601</v>
      </c>
      <c r="H1200" s="204">
        <v>45627</v>
      </c>
      <c r="I1200" s="205">
        <v>47.783999999999999</v>
      </c>
      <c r="J1200" s="205">
        <v>47.752000000000002</v>
      </c>
      <c r="K1200" s="205">
        <v>0.79</v>
      </c>
      <c r="L1200" s="205">
        <v>0.09</v>
      </c>
      <c r="M1200" s="205">
        <v>1.86</v>
      </c>
      <c r="N1200" s="205"/>
      <c r="O1200" s="205">
        <v>2.5999999999999999E-2</v>
      </c>
      <c r="P1200" s="205">
        <v>0.48</v>
      </c>
      <c r="Q1200" s="205">
        <v>44.533000000000001</v>
      </c>
      <c r="R1200" s="205"/>
      <c r="S1200" s="205">
        <v>5.0000000000000001E-3</v>
      </c>
      <c r="T1200" s="205"/>
      <c r="U1200" s="205"/>
      <c r="V1200" s="205"/>
      <c r="W1200" s="205"/>
      <c r="X1200" s="205"/>
      <c r="Y1200" s="205"/>
      <c r="Z1200" s="205"/>
      <c r="AA1200" s="120" t="s">
        <v>3000</v>
      </c>
      <c r="AB1200" s="120" t="s">
        <v>3001</v>
      </c>
      <c r="AC1200" s="165" t="s">
        <v>2604</v>
      </c>
      <c r="AD1200" s="165" t="s">
        <v>3002</v>
      </c>
      <c r="AE1200" s="1">
        <v>45627</v>
      </c>
      <c r="AF1200" s="206" t="s">
        <v>3003</v>
      </c>
      <c r="AG1200" t="str">
        <f>VLOOKUP(OfficeForms.Table[[#This Row],[Nama Proyek]],'Nama Proyek'!$D$2:$G$29,4,0)</f>
        <v>-1.13731907,116.79020552</v>
      </c>
      <c r="AH1200" s="5"/>
      <c r="AI1200" s="5"/>
      <c r="AJ1200" s="5"/>
      <c r="AK1200" s="5"/>
    </row>
    <row r="1201" spans="1:37">
      <c r="A1201">
        <v>115</v>
      </c>
      <c r="B1201" s="163">
        <v>45629.589583333298</v>
      </c>
      <c r="C1201" s="27">
        <v>45629.597349536998</v>
      </c>
      <c r="D1201" s="185" t="s">
        <v>2847</v>
      </c>
      <c r="E1201" s="5" t="s">
        <v>2848</v>
      </c>
      <c r="F1201" s="5" t="s">
        <v>2214</v>
      </c>
      <c r="G1201" s="185" t="s">
        <v>1315</v>
      </c>
      <c r="H1201" s="204">
        <v>45621</v>
      </c>
      <c r="I1201" s="205">
        <v>86.418000000000006</v>
      </c>
      <c r="J1201" s="205">
        <v>100</v>
      </c>
      <c r="K1201" s="205">
        <v>5.0250000000000004</v>
      </c>
      <c r="L1201" s="205">
        <v>0.79400000000000004</v>
      </c>
      <c r="M1201" s="205">
        <v>7.0000000000000007E-2</v>
      </c>
      <c r="N1201" s="205">
        <v>35.037999999999997</v>
      </c>
      <c r="O1201" s="205">
        <v>0.94099999999999995</v>
      </c>
      <c r="P1201" s="205">
        <v>6.859</v>
      </c>
      <c r="Q1201" s="205">
        <v>0.11</v>
      </c>
      <c r="R1201" s="205">
        <v>1.3220000000000001</v>
      </c>
      <c r="S1201" s="205">
        <v>9.8879999999999999</v>
      </c>
      <c r="T1201" s="205">
        <v>11.132</v>
      </c>
      <c r="U1201" s="205"/>
      <c r="V1201" s="205">
        <v>10.933999999999999</v>
      </c>
      <c r="W1201" s="205">
        <v>2.073</v>
      </c>
      <c r="X1201" s="205"/>
      <c r="Y1201" s="205">
        <v>2.2320000000000002</v>
      </c>
      <c r="Z1201" s="205"/>
      <c r="AA1201" s="120" t="s">
        <v>3004</v>
      </c>
      <c r="AB1201" s="120" t="s">
        <v>2999</v>
      </c>
      <c r="AC1201" s="165"/>
      <c r="AD1201" s="165"/>
      <c r="AE1201" s="1"/>
      <c r="AF1201" s="206"/>
      <c r="AG1201" t="str">
        <f>VLOOKUP(OfficeForms.Table[[#This Row],[Nama Proyek]],'Nama Proyek'!$D$2:$G$40,4,0)</f>
        <v>-6.42093860,107.18760070</v>
      </c>
      <c r="AH1201" s="5"/>
      <c r="AI1201" s="5"/>
      <c r="AJ1201" s="5"/>
      <c r="AK1201" s="5"/>
    </row>
    <row r="1202" spans="1:37">
      <c r="A1202">
        <v>116</v>
      </c>
      <c r="B1202" s="163">
        <v>45646.666215277801</v>
      </c>
      <c r="C1202" s="27">
        <v>45646.669733796298</v>
      </c>
      <c r="D1202" s="185" t="s">
        <v>2865</v>
      </c>
      <c r="E1202" s="5" t="s">
        <v>2866</v>
      </c>
      <c r="F1202" s="5" t="s">
        <v>2867</v>
      </c>
      <c r="G1202" s="185" t="s">
        <v>2290</v>
      </c>
      <c r="H1202" s="204">
        <v>45640</v>
      </c>
      <c r="I1202" s="205">
        <v>100</v>
      </c>
      <c r="J1202" s="205">
        <v>94.822999999999993</v>
      </c>
      <c r="K1202" s="205">
        <v>0.35899999999999999</v>
      </c>
      <c r="L1202" s="205">
        <v>8.4000000000000005E-2</v>
      </c>
      <c r="M1202" s="205">
        <v>39.116999999999997</v>
      </c>
      <c r="N1202" s="205"/>
      <c r="O1202" s="205">
        <v>0.87</v>
      </c>
      <c r="P1202" s="205">
        <v>0.95899999999999996</v>
      </c>
      <c r="Q1202" s="205">
        <v>57.939</v>
      </c>
      <c r="R1202" s="205"/>
      <c r="S1202" s="205">
        <v>0.58399999999999996</v>
      </c>
      <c r="T1202" s="205">
        <v>8.6999999999999994E-2</v>
      </c>
      <c r="U1202" s="205"/>
      <c r="V1202" s="205"/>
      <c r="W1202" s="205"/>
      <c r="X1202" s="205"/>
      <c r="Y1202" s="205"/>
      <c r="Z1202" s="205"/>
      <c r="AA1202" s="120" t="s">
        <v>3005</v>
      </c>
      <c r="AB1202" s="120" t="s">
        <v>3005</v>
      </c>
      <c r="AC1202" s="165" t="s">
        <v>3006</v>
      </c>
      <c r="AD1202" s="165"/>
      <c r="AE1202" s="1">
        <v>45640</v>
      </c>
      <c r="AF1202" s="206" t="s">
        <v>3007</v>
      </c>
      <c r="AG1202" t="str">
        <f>VLOOKUP(OfficeForms.Table[[#This Row],[Nama Proyek]],'Nama Proyek'!$D$2:$G$29,4,0)</f>
        <v>-0.99046214,116.69024762</v>
      </c>
      <c r="AH1202" s="5"/>
      <c r="AI1202" s="5"/>
      <c r="AJ1202" s="5"/>
      <c r="AK1202" s="5"/>
    </row>
    <row r="1203" spans="1:37">
      <c r="A1203">
        <v>117</v>
      </c>
      <c r="B1203" s="163">
        <v>45652.371863425898</v>
      </c>
      <c r="C1203" s="27">
        <v>45652.386041666701</v>
      </c>
      <c r="D1203" s="185" t="s">
        <v>2634</v>
      </c>
      <c r="E1203" s="5" t="s">
        <v>109</v>
      </c>
      <c r="F1203" s="5" t="s">
        <v>109</v>
      </c>
      <c r="G1203" s="185" t="s">
        <v>2267</v>
      </c>
      <c r="H1203" s="204">
        <v>45648</v>
      </c>
      <c r="I1203" s="205">
        <v>11.893000000000001</v>
      </c>
      <c r="J1203" s="205">
        <v>16.652999999999999</v>
      </c>
      <c r="K1203" s="205">
        <v>78.52</v>
      </c>
      <c r="L1203" s="205">
        <v>81.27</v>
      </c>
      <c r="M1203" s="205">
        <v>75.25</v>
      </c>
      <c r="N1203" s="205">
        <v>24.53</v>
      </c>
      <c r="O1203" s="205">
        <v>87.38</v>
      </c>
      <c r="P1203" s="205">
        <v>3.73</v>
      </c>
      <c r="Q1203" s="205">
        <v>9.83</v>
      </c>
      <c r="R1203" s="205">
        <v>2.64</v>
      </c>
      <c r="S1203" s="205">
        <v>1.39</v>
      </c>
      <c r="T1203" s="205">
        <v>34.17</v>
      </c>
      <c r="U1203" s="205">
        <v>0</v>
      </c>
      <c r="V1203" s="205">
        <v>0.69</v>
      </c>
      <c r="W1203" s="205">
        <v>0</v>
      </c>
      <c r="X1203" s="205">
        <v>0</v>
      </c>
      <c r="Y1203" s="205">
        <v>55.81</v>
      </c>
      <c r="Z1203" s="205">
        <v>0</v>
      </c>
      <c r="AA1203" s="120" t="s">
        <v>3008</v>
      </c>
      <c r="AB1203" s="120" t="s">
        <v>3009</v>
      </c>
      <c r="AC1203" s="165" t="s">
        <v>3010</v>
      </c>
      <c r="AD1203" s="165" t="s">
        <v>3010</v>
      </c>
      <c r="AE1203" s="1">
        <v>45648</v>
      </c>
      <c r="AF1203" s="206" t="s">
        <v>3011</v>
      </c>
      <c r="AG1203" t="e">
        <f>VLOOKUP(OfficeForms.Table[[#This Row],[Nama Proyek]],'Nama Proyek'!$D$2:$G$29,4,0)</f>
        <v>#N/A</v>
      </c>
      <c r="AH1203" s="5"/>
      <c r="AI1203" s="5"/>
      <c r="AJ1203" s="5"/>
      <c r="AK1203" s="5"/>
    </row>
    <row r="1204" spans="1:37" ht="106.5">
      <c r="A1204">
        <v>118</v>
      </c>
      <c r="B1204" s="163">
        <v>45662.334791666697</v>
      </c>
      <c r="C1204" s="27">
        <v>45662.357071759303</v>
      </c>
      <c r="D1204" s="185" t="s">
        <v>2600</v>
      </c>
      <c r="E1204" s="5" t="s">
        <v>855</v>
      </c>
      <c r="F1204" s="5" t="s">
        <v>855</v>
      </c>
      <c r="G1204" s="185" t="s">
        <v>2601</v>
      </c>
      <c r="H1204" s="204">
        <v>45655</v>
      </c>
      <c r="I1204" s="205">
        <v>52.902000000000001</v>
      </c>
      <c r="J1204" s="205">
        <v>55.265999999999998</v>
      </c>
      <c r="K1204" s="205">
        <v>0.83199999999999996</v>
      </c>
      <c r="L1204" s="205">
        <v>0.23599999999999999</v>
      </c>
      <c r="M1204" s="205">
        <v>2.1840000000000002</v>
      </c>
      <c r="N1204" s="205"/>
      <c r="O1204" s="205">
        <v>5.2999999999999999E-2</v>
      </c>
      <c r="P1204" s="205">
        <v>0.57899999999999996</v>
      </c>
      <c r="Q1204" s="205">
        <v>49.011000000000003</v>
      </c>
      <c r="R1204" s="205"/>
      <c r="S1204" s="205">
        <v>5.0000000000000001E-3</v>
      </c>
      <c r="T1204" s="205"/>
      <c r="U1204" s="205"/>
      <c r="V1204" s="205"/>
      <c r="W1204" s="205"/>
      <c r="X1204" s="205"/>
      <c r="Y1204" s="205"/>
      <c r="Z1204" s="205"/>
      <c r="AA1204" s="120" t="s">
        <v>3012</v>
      </c>
      <c r="AB1204" s="120" t="s">
        <v>3013</v>
      </c>
      <c r="AC1204" s="165" t="s">
        <v>2604</v>
      </c>
      <c r="AD1204" s="165" t="s">
        <v>3014</v>
      </c>
      <c r="AE1204" s="1">
        <v>45655</v>
      </c>
      <c r="AF1204" s="206" t="s">
        <v>3015</v>
      </c>
      <c r="AG1204" t="str">
        <f>VLOOKUP(OfficeForms.Table[[#This Row],[Nama Proyek]],'Nama Proyek'!$D$2:$G$29,4,0)</f>
        <v>-1.13731907,116.79020552</v>
      </c>
      <c r="AH1204" s="5" t="s">
        <v>3016</v>
      </c>
      <c r="AI1204" s="5"/>
      <c r="AJ1204" s="5"/>
      <c r="AK1204" s="5"/>
    </row>
    <row r="1205" spans="1:37" ht="30.75">
      <c r="A1205">
        <v>119</v>
      </c>
      <c r="B1205" s="163">
        <v>45663.3895486111</v>
      </c>
      <c r="C1205" s="27">
        <v>45663.397916666698</v>
      </c>
      <c r="D1205" s="185" t="s">
        <v>2580</v>
      </c>
      <c r="E1205" s="5" t="s">
        <v>57</v>
      </c>
      <c r="F1205" s="5" t="s">
        <v>57</v>
      </c>
      <c r="G1205" s="185" t="s">
        <v>1484</v>
      </c>
      <c r="H1205" s="204">
        <v>45651</v>
      </c>
      <c r="I1205" s="205">
        <v>70.960999999999999</v>
      </c>
      <c r="J1205" s="205">
        <v>57.712000000000003</v>
      </c>
      <c r="K1205" s="205">
        <v>1.31</v>
      </c>
      <c r="L1205" s="205">
        <v>2.5739999999999998</v>
      </c>
      <c r="M1205" s="205">
        <v>26.202999999999999</v>
      </c>
      <c r="N1205" s="205"/>
      <c r="O1205" s="205">
        <v>0.48499999999999999</v>
      </c>
      <c r="P1205" s="205"/>
      <c r="Q1205" s="205">
        <v>40.389000000000003</v>
      </c>
      <c r="R1205" s="205"/>
      <c r="S1205" s="205"/>
      <c r="T1205" s="205"/>
      <c r="U1205" s="205"/>
      <c r="V1205" s="205"/>
      <c r="W1205" s="205"/>
      <c r="X1205" s="205"/>
      <c r="Y1205" s="205"/>
      <c r="Z1205" s="205"/>
      <c r="AA1205" s="120" t="s">
        <v>3017</v>
      </c>
      <c r="AB1205" s="120" t="s">
        <v>3017</v>
      </c>
      <c r="AC1205" s="165" t="s">
        <v>3018</v>
      </c>
      <c r="AD1205" s="165" t="s">
        <v>3018</v>
      </c>
      <c r="AE1205" s="1">
        <v>45651</v>
      </c>
      <c r="AF1205" s="206" t="s">
        <v>3019</v>
      </c>
      <c r="AG1205" t="str">
        <f>VLOOKUP(OfficeForms.Table[[#This Row],[Nama Proyek]],'Nama Proyek'!$D$2:$G$29,4,0)</f>
        <v>-8.01003300,110.33312900</v>
      </c>
      <c r="AH1205" s="5"/>
      <c r="AI1205" s="5"/>
      <c r="AJ1205" s="5"/>
      <c r="AK1205" s="5"/>
    </row>
    <row r="1206" spans="1:37">
      <c r="A1206">
        <v>120</v>
      </c>
      <c r="B1206" s="163">
        <v>45663.434606481504</v>
      </c>
      <c r="C1206" s="27">
        <v>45663.4359722222</v>
      </c>
      <c r="D1206" s="185" t="s">
        <v>2509</v>
      </c>
      <c r="E1206" s="5" t="s">
        <v>687</v>
      </c>
      <c r="F1206" s="5" t="s">
        <v>687</v>
      </c>
      <c r="G1206" s="185" t="s">
        <v>750</v>
      </c>
      <c r="H1206" s="204">
        <v>45660</v>
      </c>
      <c r="I1206" s="205">
        <v>100</v>
      </c>
      <c r="J1206" s="205">
        <v>100</v>
      </c>
      <c r="K1206" s="205"/>
      <c r="L1206" s="205"/>
      <c r="M1206" s="205"/>
      <c r="N1206" s="205"/>
      <c r="O1206" s="205"/>
      <c r="P1206" s="205"/>
      <c r="Q1206" s="205"/>
      <c r="R1206" s="205"/>
      <c r="S1206" s="205"/>
      <c r="T1206" s="205"/>
      <c r="U1206" s="205"/>
      <c r="V1206" s="205"/>
      <c r="W1206" s="205"/>
      <c r="X1206" s="205"/>
      <c r="Y1206" s="205"/>
      <c r="Z1206" s="205"/>
      <c r="AA1206" s="120" t="s">
        <v>3020</v>
      </c>
      <c r="AB1206" s="120" t="s">
        <v>3021</v>
      </c>
      <c r="AC1206" s="165" t="s">
        <v>3022</v>
      </c>
      <c r="AD1206" s="165" t="s">
        <v>3022</v>
      </c>
      <c r="AE1206" s="1"/>
      <c r="AF1206" s="206" t="s">
        <v>2297</v>
      </c>
      <c r="AG1206" t="str">
        <f>VLOOKUP(OfficeForms.Table[[#This Row],[Nama Proyek]],'Nama Proyek'!$D$2:$G$29,4,0)</f>
        <v>-1.10415341,116.73424356</v>
      </c>
      <c r="AH1206" s="5"/>
      <c r="AI1206" s="5"/>
      <c r="AJ1206" s="5"/>
      <c r="AK1206" s="5"/>
    </row>
    <row r="1207" spans="1:37" ht="321">
      <c r="A1207">
        <v>121</v>
      </c>
      <c r="B1207" s="163">
        <v>45663.4370949074</v>
      </c>
      <c r="C1207" s="27">
        <v>45663.444293981498</v>
      </c>
      <c r="D1207" s="185" t="s">
        <v>2718</v>
      </c>
      <c r="E1207" s="5" t="s">
        <v>82</v>
      </c>
      <c r="F1207" s="5" t="s">
        <v>82</v>
      </c>
      <c r="G1207" s="185" t="s">
        <v>1317</v>
      </c>
      <c r="H1207" s="204">
        <v>45655</v>
      </c>
      <c r="I1207" s="205">
        <v>60.508099999999999</v>
      </c>
      <c r="J1207" s="205">
        <v>59.986499999999999</v>
      </c>
      <c r="K1207" s="205">
        <v>1.0331999999999999</v>
      </c>
      <c r="L1207" s="205">
        <v>0.18909999999999999</v>
      </c>
      <c r="M1207" s="205">
        <v>7.1599999999999997E-2</v>
      </c>
      <c r="N1207" s="205">
        <v>32.184800000000003</v>
      </c>
      <c r="O1207" s="205">
        <v>0.20369999999999999</v>
      </c>
      <c r="P1207" s="205">
        <v>0.27329999999999999</v>
      </c>
      <c r="Q1207" s="205">
        <v>7.3599999999999999E-2</v>
      </c>
      <c r="R1207" s="205">
        <v>0.52400000000000002</v>
      </c>
      <c r="S1207" s="205">
        <v>0.71619999999999995</v>
      </c>
      <c r="T1207" s="205">
        <v>19.2437</v>
      </c>
      <c r="U1207" s="205">
        <v>0</v>
      </c>
      <c r="V1207" s="205">
        <v>5.9820000000000002</v>
      </c>
      <c r="W1207" s="205">
        <v>0</v>
      </c>
      <c r="X1207" s="205">
        <v>0</v>
      </c>
      <c r="Y1207" s="205">
        <v>1.23E-2</v>
      </c>
      <c r="Z1207" s="205">
        <v>0</v>
      </c>
      <c r="AA1207" s="120" t="s">
        <v>3023</v>
      </c>
      <c r="AB1207" s="120" t="s">
        <v>2836</v>
      </c>
      <c r="AC1207" s="165" t="s">
        <v>2413</v>
      </c>
      <c r="AD1207" s="165" t="s">
        <v>2413</v>
      </c>
      <c r="AE1207" s="1">
        <v>45655</v>
      </c>
      <c r="AF1207" s="206" t="s">
        <v>3024</v>
      </c>
      <c r="AG1207" t="str">
        <f>VLOOKUP(OfficeForms.Table[[#This Row],[Nama Proyek]],'Nama Proyek'!$D$2:$G$29,4,0)</f>
        <v>-7.72647690,113.63515320</v>
      </c>
      <c r="AH1207" s="5"/>
      <c r="AI1207" s="5"/>
      <c r="AJ1207" s="5"/>
      <c r="AK1207" s="5"/>
    </row>
    <row r="1208" spans="1:37">
      <c r="A1208">
        <v>122</v>
      </c>
      <c r="B1208" s="163">
        <v>45663.441956018498</v>
      </c>
      <c r="C1208" s="27">
        <v>45663.446296296301</v>
      </c>
      <c r="D1208" s="185" t="s">
        <v>2995</v>
      </c>
      <c r="E1208" s="5" t="s">
        <v>1090</v>
      </c>
      <c r="F1208" s="5" t="s">
        <v>1090</v>
      </c>
      <c r="G1208" s="185" t="s">
        <v>1472</v>
      </c>
      <c r="H1208" s="204">
        <v>45653</v>
      </c>
      <c r="I1208" s="205">
        <v>100</v>
      </c>
      <c r="J1208" s="205">
        <v>100</v>
      </c>
      <c r="K1208" s="205">
        <v>0.97960000000000003</v>
      </c>
      <c r="L1208" s="205">
        <v>1.2378</v>
      </c>
      <c r="M1208" s="205">
        <v>37.686500000000002</v>
      </c>
      <c r="N1208" s="205">
        <v>0</v>
      </c>
      <c r="O1208" s="205">
        <v>2.2143999999999999</v>
      </c>
      <c r="P1208" s="205">
        <v>3.2423999999999999</v>
      </c>
      <c r="Q1208" s="205">
        <v>49.0867</v>
      </c>
      <c r="R1208" s="205">
        <v>0</v>
      </c>
      <c r="S1208" s="205">
        <v>2.419</v>
      </c>
      <c r="T1208" s="205">
        <v>0.46589999999999998</v>
      </c>
      <c r="U1208" s="205">
        <v>2.6678999999999999</v>
      </c>
      <c r="V1208" s="205">
        <v>0</v>
      </c>
      <c r="W1208" s="205">
        <v>0</v>
      </c>
      <c r="X1208" s="205">
        <v>0</v>
      </c>
      <c r="Y1208" s="205">
        <v>0</v>
      </c>
      <c r="Z1208" s="205">
        <v>0</v>
      </c>
      <c r="AA1208" s="120" t="s">
        <v>3025</v>
      </c>
      <c r="AB1208" s="120"/>
      <c r="AC1208" s="165" t="s">
        <v>2998</v>
      </c>
      <c r="AD1208" s="165"/>
      <c r="AE1208" s="1"/>
      <c r="AF1208" s="206"/>
      <c r="AG1208" t="str">
        <f>VLOOKUP(OfficeForms.Table[[#This Row],[Nama Proyek]],'Nama Proyek'!$D$2:$G$29,4,0)</f>
        <v>-0.96849430,116.70188410</v>
      </c>
      <c r="AH1208" s="5"/>
      <c r="AI1208" s="5"/>
      <c r="AJ1208" s="5"/>
      <c r="AK1208" s="5"/>
    </row>
    <row r="1209" spans="1:37" ht="259.5">
      <c r="A1209">
        <v>123</v>
      </c>
      <c r="B1209" s="163">
        <v>45663.472013888902</v>
      </c>
      <c r="C1209" s="27">
        <v>45663.472048611096</v>
      </c>
      <c r="D1209" s="185" t="s">
        <v>2546</v>
      </c>
      <c r="E1209" s="5" t="s">
        <v>85</v>
      </c>
      <c r="F1209" s="5" t="s">
        <v>85</v>
      </c>
      <c r="G1209" s="185" t="s">
        <v>2336</v>
      </c>
      <c r="H1209" s="204">
        <v>45656</v>
      </c>
      <c r="I1209" s="205">
        <v>33.094999999999999</v>
      </c>
      <c r="J1209" s="205">
        <v>35.270000000000003</v>
      </c>
      <c r="K1209" s="205">
        <v>2.3130000000000002</v>
      </c>
      <c r="L1209" s="205">
        <v>0.16600000000000001</v>
      </c>
      <c r="M1209" s="205">
        <v>0</v>
      </c>
      <c r="N1209" s="205">
        <v>16.63</v>
      </c>
      <c r="O1209" s="205">
        <v>5.1999999999999998E-2</v>
      </c>
      <c r="P1209" s="205">
        <v>0</v>
      </c>
      <c r="Q1209" s="205">
        <v>0</v>
      </c>
      <c r="R1209" s="205">
        <v>0</v>
      </c>
      <c r="S1209" s="205">
        <v>0</v>
      </c>
      <c r="T1209" s="205">
        <v>13.933999999999999</v>
      </c>
      <c r="U1209" s="205">
        <v>0</v>
      </c>
      <c r="V1209" s="205">
        <v>0</v>
      </c>
      <c r="W1209" s="205">
        <v>0</v>
      </c>
      <c r="X1209" s="205">
        <v>0</v>
      </c>
      <c r="Y1209" s="205">
        <v>0</v>
      </c>
      <c r="Z1209" s="205">
        <v>0</v>
      </c>
      <c r="AA1209" s="120" t="s">
        <v>3026</v>
      </c>
      <c r="AB1209" s="120" t="s">
        <v>3027</v>
      </c>
      <c r="AC1209" s="165" t="s">
        <v>3027</v>
      </c>
      <c r="AD1209" s="165" t="s">
        <v>3027</v>
      </c>
      <c r="AE1209" s="1">
        <v>45656</v>
      </c>
      <c r="AF1209" s="206" t="s">
        <v>3028</v>
      </c>
      <c r="AG1209" t="e">
        <f>VLOOKUP(OfficeForms.Table[[#This Row],[Nama Proyek]],'Nama Proyek'!$D$2:$G$29,4,0)</f>
        <v>#N/A</v>
      </c>
      <c r="AH1209" s="5"/>
      <c r="AI1209" s="5"/>
      <c r="AJ1209" s="5"/>
      <c r="AK1209" s="5"/>
    </row>
    <row r="1210" spans="1:37" ht="45.75">
      <c r="A1210">
        <v>125</v>
      </c>
      <c r="B1210" s="163">
        <v>45663.477349537003</v>
      </c>
      <c r="C1210" s="27">
        <v>45663.505624999998</v>
      </c>
      <c r="D1210" s="185" t="s">
        <v>2761</v>
      </c>
      <c r="E1210" s="5" t="s">
        <v>2762</v>
      </c>
      <c r="F1210" s="5" t="s">
        <v>3029</v>
      </c>
      <c r="G1210" s="185" t="s">
        <v>2484</v>
      </c>
      <c r="H1210" s="204">
        <v>45653</v>
      </c>
      <c r="I1210" s="205">
        <v>66.918999999999997</v>
      </c>
      <c r="J1210" s="205">
        <v>25.334</v>
      </c>
      <c r="K1210" s="205">
        <v>0.33600000000000002</v>
      </c>
      <c r="L1210" s="205">
        <v>5.8369999999999997</v>
      </c>
      <c r="M1210" s="205">
        <v>51.792999999999999</v>
      </c>
      <c r="N1210" s="205">
        <v>0</v>
      </c>
      <c r="O1210" s="205">
        <v>2.472</v>
      </c>
      <c r="P1210" s="205">
        <v>0</v>
      </c>
      <c r="Q1210" s="205">
        <v>6.4809999999999999</v>
      </c>
      <c r="R1210" s="205">
        <v>0</v>
      </c>
      <c r="S1210" s="205">
        <v>0</v>
      </c>
      <c r="T1210" s="205"/>
      <c r="U1210" s="205"/>
      <c r="V1210" s="205"/>
      <c r="W1210" s="205"/>
      <c r="X1210" s="205"/>
      <c r="Y1210" s="205"/>
      <c r="Z1210" s="205"/>
      <c r="AA1210" s="120" t="s">
        <v>3030</v>
      </c>
      <c r="AB1210" s="120" t="s">
        <v>3031</v>
      </c>
      <c r="AC1210" s="165"/>
      <c r="AD1210" s="165"/>
      <c r="AE1210" s="1">
        <v>45653</v>
      </c>
      <c r="AF1210" s="206" t="s">
        <v>3032</v>
      </c>
      <c r="AG1210" t="str">
        <f>VLOOKUP(OfficeForms.Table[[#This Row],[Nama Proyek]],'Nama Proyek'!$D$2:$G$29,4,0)</f>
        <v>-8.30961900,112.11101000</v>
      </c>
      <c r="AH1210" s="5"/>
      <c r="AI1210" s="5"/>
      <c r="AJ1210" s="5"/>
      <c r="AK1210" s="5"/>
    </row>
    <row r="1211" spans="1:37">
      <c r="A1211">
        <v>124</v>
      </c>
      <c r="B1211" s="163">
        <v>45663.489618055602</v>
      </c>
      <c r="C1211" s="27">
        <v>45663.496655092596</v>
      </c>
      <c r="D1211" s="185" t="s">
        <v>2525</v>
      </c>
      <c r="E1211" s="5" t="s">
        <v>47</v>
      </c>
      <c r="F1211" s="5" t="s">
        <v>214</v>
      </c>
      <c r="G1211" s="185" t="s">
        <v>2734</v>
      </c>
      <c r="H1211" s="204">
        <v>45652</v>
      </c>
      <c r="I1211" s="205">
        <v>11.034000000000001</v>
      </c>
      <c r="J1211" s="205">
        <v>13.159000000000001</v>
      </c>
      <c r="K1211" s="205">
        <v>0.495</v>
      </c>
      <c r="L1211" s="205">
        <v>0.13400000000000001</v>
      </c>
      <c r="M1211" s="205">
        <v>1.4999999999999999E-2</v>
      </c>
      <c r="N1211" s="205">
        <v>2.4510000000000001</v>
      </c>
      <c r="O1211" s="205">
        <v>0.11700000000000001</v>
      </c>
      <c r="P1211" s="205">
        <v>1.4999999999999999E-2</v>
      </c>
      <c r="Q1211" s="205">
        <v>2E-3</v>
      </c>
      <c r="R1211" s="205"/>
      <c r="S1211" s="205"/>
      <c r="T1211" s="205">
        <v>2.9950000000000001</v>
      </c>
      <c r="U1211" s="205"/>
      <c r="V1211" s="205"/>
      <c r="W1211" s="205"/>
      <c r="X1211" s="205"/>
      <c r="Y1211" s="205"/>
      <c r="Z1211" s="205"/>
      <c r="AA1211" s="120" t="s">
        <v>3033</v>
      </c>
      <c r="AB1211" s="120" t="s">
        <v>3034</v>
      </c>
      <c r="AC1211" s="165" t="s">
        <v>3035</v>
      </c>
      <c r="AD1211" s="165"/>
      <c r="AE1211" s="1"/>
      <c r="AF1211" s="206"/>
      <c r="AG1211" t="str">
        <f>VLOOKUP(OfficeForms.Table[[#This Row],[Nama Proyek]],'Nama Proyek'!$D$2:$G$40,4,0)</f>
        <v>-6.8812050213,106.7893827682</v>
      </c>
      <c r="AH1211" s="5"/>
      <c r="AI1211" s="5"/>
      <c r="AJ1211" s="5"/>
      <c r="AK1211" s="5"/>
    </row>
    <row r="1212" spans="1:37">
      <c r="A1212">
        <v>127</v>
      </c>
      <c r="B1212" s="163">
        <v>45663.505231481497</v>
      </c>
      <c r="C1212" s="27">
        <v>45663.586898148104</v>
      </c>
      <c r="D1212" s="185" t="s">
        <v>2662</v>
      </c>
      <c r="E1212" s="5" t="s">
        <v>998</v>
      </c>
      <c r="F1212" s="5" t="s">
        <v>998</v>
      </c>
      <c r="G1212" s="185" t="s">
        <v>2663</v>
      </c>
      <c r="H1212" s="204">
        <v>45657</v>
      </c>
      <c r="I1212" s="205">
        <v>91.486000000000004</v>
      </c>
      <c r="J1212" s="205">
        <v>91.364999999999995</v>
      </c>
      <c r="K1212" s="205">
        <v>2.2850000000000001</v>
      </c>
      <c r="L1212" s="205">
        <v>1.877</v>
      </c>
      <c r="M1212" s="205"/>
      <c r="N1212" s="205"/>
      <c r="O1212" s="205">
        <v>8.2780000000000005</v>
      </c>
      <c r="P1212" s="205">
        <v>4.1740000000000004</v>
      </c>
      <c r="Q1212" s="205">
        <v>45.966000000000001</v>
      </c>
      <c r="R1212" s="205"/>
      <c r="S1212" s="205">
        <v>1.1479999999999999</v>
      </c>
      <c r="T1212" s="205"/>
      <c r="U1212" s="205"/>
      <c r="V1212" s="205"/>
      <c r="W1212" s="205"/>
      <c r="X1212" s="205"/>
      <c r="Y1212" s="205"/>
      <c r="Z1212" s="205"/>
      <c r="AA1212" s="120" t="s">
        <v>3036</v>
      </c>
      <c r="AB1212" s="120" t="s">
        <v>3037</v>
      </c>
      <c r="AC1212" s="165" t="s">
        <v>3038</v>
      </c>
      <c r="AD1212" s="165" t="s">
        <v>3039</v>
      </c>
      <c r="AE1212" s="1"/>
      <c r="AF1212" s="206"/>
      <c r="AG1212" t="str">
        <f>VLOOKUP(OfficeForms.Table[[#This Row],[Nama Proyek]],'Nama Proyek'!$D$2:$G$29,4,0)</f>
        <v>-1.15205556,116.69316667</v>
      </c>
      <c r="AH1212" s="5"/>
      <c r="AI1212" s="5"/>
      <c r="AJ1212" s="5"/>
      <c r="AK1212" s="5"/>
    </row>
    <row r="1213" spans="1:37">
      <c r="A1213">
        <v>126</v>
      </c>
      <c r="B1213" s="163">
        <v>45663.541840277801</v>
      </c>
      <c r="C1213" s="27">
        <v>45663.548159722202</v>
      </c>
      <c r="D1213" s="185" t="s">
        <v>2256</v>
      </c>
      <c r="E1213" s="5" t="s">
        <v>734</v>
      </c>
      <c r="F1213" s="5" t="s">
        <v>734</v>
      </c>
      <c r="G1213" s="185" t="s">
        <v>735</v>
      </c>
      <c r="H1213" s="204">
        <v>45657</v>
      </c>
      <c r="I1213" s="205">
        <v>86.552000000000007</v>
      </c>
      <c r="J1213" s="205">
        <v>85.02</v>
      </c>
      <c r="K1213" s="205">
        <v>0.39200000000000002</v>
      </c>
      <c r="L1213" s="205">
        <v>2.2189999999999999</v>
      </c>
      <c r="M1213" s="205">
        <v>44.067999999999998</v>
      </c>
      <c r="N1213" s="205">
        <v>30.905000000000001</v>
      </c>
      <c r="O1213" s="205">
        <v>0.93200000000000005</v>
      </c>
      <c r="P1213" s="205">
        <v>4.6909999999999998</v>
      </c>
      <c r="Q1213" s="205">
        <v>0.76300000000000001</v>
      </c>
      <c r="R1213" s="205"/>
      <c r="S1213" s="205"/>
      <c r="T1213" s="205"/>
      <c r="U1213" s="205"/>
      <c r="V1213" s="205"/>
      <c r="W1213" s="205"/>
      <c r="X1213" s="205"/>
      <c r="Y1213" s="205"/>
      <c r="Z1213" s="205"/>
      <c r="AA1213" s="120" t="s">
        <v>3040</v>
      </c>
      <c r="AB1213" s="120" t="s">
        <v>3041</v>
      </c>
      <c r="AC1213" s="165" t="s">
        <v>3042</v>
      </c>
      <c r="AD1213" s="165" t="s">
        <v>3043</v>
      </c>
      <c r="AE1213" s="1">
        <v>45658</v>
      </c>
      <c r="AF1213" s="206" t="s">
        <v>3044</v>
      </c>
      <c r="AG1213" t="str">
        <f>VLOOKUP(OfficeForms.Table[[#This Row],[Nama Proyek]],'Nama Proyek'!$D$2:$G$40,4,0)</f>
        <v>-0.88562397,119.85928375</v>
      </c>
      <c r="AH1213" s="5"/>
      <c r="AI1213" s="5"/>
      <c r="AJ1213" s="5"/>
      <c r="AK1213" s="5"/>
    </row>
    <row r="1214" spans="1:37">
      <c r="A1214">
        <v>128</v>
      </c>
      <c r="B1214" s="163">
        <v>45663.589259259301</v>
      </c>
      <c r="C1214" s="27">
        <v>45663.591064814798</v>
      </c>
      <c r="D1214" s="185" t="s">
        <v>2585</v>
      </c>
      <c r="E1214" s="5" t="s">
        <v>2586</v>
      </c>
      <c r="F1214" s="5" t="s">
        <v>1479</v>
      </c>
      <c r="G1214" s="185" t="s">
        <v>1480</v>
      </c>
      <c r="H1214" s="204">
        <v>45662</v>
      </c>
      <c r="I1214" s="205">
        <v>70.137</v>
      </c>
      <c r="J1214" s="205">
        <v>68.680999999999997</v>
      </c>
      <c r="K1214" s="205"/>
      <c r="L1214" s="205"/>
      <c r="M1214" s="205"/>
      <c r="N1214" s="205"/>
      <c r="O1214" s="205"/>
      <c r="P1214" s="205"/>
      <c r="Q1214" s="205"/>
      <c r="R1214" s="205"/>
      <c r="S1214" s="205"/>
      <c r="T1214" s="205"/>
      <c r="U1214" s="205"/>
      <c r="V1214" s="205"/>
      <c r="W1214" s="205"/>
      <c r="X1214" s="205"/>
      <c r="Y1214" s="205"/>
      <c r="Z1214" s="205"/>
      <c r="AA1214" s="120"/>
      <c r="AB1214" s="120"/>
      <c r="AC1214" s="165"/>
      <c r="AD1214" s="165"/>
      <c r="AE1214" s="1"/>
      <c r="AF1214" s="206"/>
      <c r="AG1214" t="str">
        <f>VLOOKUP(OfficeForms.Table[[#This Row],[Nama Proyek]],'Nama Proyek'!$D$2:$G$29,4,0)</f>
        <v>-6.23191260,107.90813480</v>
      </c>
      <c r="AH1214" s="5"/>
      <c r="AI1214" s="5"/>
      <c r="AJ1214" s="5"/>
      <c r="AK1214" s="5"/>
    </row>
    <row r="1215" spans="1:37">
      <c r="A1215">
        <v>129</v>
      </c>
      <c r="B1215" s="163">
        <v>45663.800868055601</v>
      </c>
      <c r="C1215" s="27">
        <v>45663.817384259302</v>
      </c>
      <c r="D1215" s="185" t="s">
        <v>2847</v>
      </c>
      <c r="E1215" s="5" t="s">
        <v>2848</v>
      </c>
      <c r="F1215" s="5" t="s">
        <v>2214</v>
      </c>
      <c r="G1215" s="185" t="s">
        <v>1315</v>
      </c>
      <c r="H1215" s="204">
        <v>45658</v>
      </c>
      <c r="I1215" s="205">
        <v>86.471999999999994</v>
      </c>
      <c r="J1215" s="205">
        <v>100</v>
      </c>
      <c r="K1215" s="205">
        <v>5.0250000000000004</v>
      </c>
      <c r="L1215" s="205">
        <v>0.79400000000000004</v>
      </c>
      <c r="M1215" s="205">
        <v>7.0000000000000007E-2</v>
      </c>
      <c r="N1215" s="205">
        <v>35.037999999999997</v>
      </c>
      <c r="O1215" s="205">
        <v>0.94099999999999995</v>
      </c>
      <c r="P1215" s="205">
        <v>6.859</v>
      </c>
      <c r="Q1215" s="205">
        <v>0.11</v>
      </c>
      <c r="R1215" s="205">
        <v>1.3220000000000001</v>
      </c>
      <c r="S1215" s="205">
        <v>9.8879999999999999</v>
      </c>
      <c r="T1215" s="205">
        <v>11.186</v>
      </c>
      <c r="U1215" s="205"/>
      <c r="V1215" s="205">
        <v>10.933999999999999</v>
      </c>
      <c r="W1215" s="205">
        <v>2.073</v>
      </c>
      <c r="X1215" s="205"/>
      <c r="Y1215" s="205">
        <v>2.2320000000000002</v>
      </c>
      <c r="Z1215" s="205"/>
      <c r="AA1215" s="120" t="s">
        <v>3045</v>
      </c>
      <c r="AB1215" s="120" t="s">
        <v>3046</v>
      </c>
      <c r="AC1215" s="165"/>
      <c r="AD1215" s="165"/>
      <c r="AE1215" s="1"/>
      <c r="AF1215" s="206"/>
      <c r="AG1215" t="str">
        <f>VLOOKUP(OfficeForms.Table[[#This Row],[Nama Proyek]],'Nama Proyek'!$D$2:$G$40,4,0)</f>
        <v>-6.42093860,107.18760070</v>
      </c>
      <c r="AH1215" s="5"/>
      <c r="AI1215" s="5"/>
      <c r="AJ1215" s="5"/>
      <c r="AK1215" s="5"/>
    </row>
    <row r="1216" spans="1:37">
      <c r="A1216">
        <v>130</v>
      </c>
      <c r="B1216" s="163">
        <v>45666.000509259298</v>
      </c>
      <c r="C1216" s="27">
        <v>45666.002673611103</v>
      </c>
      <c r="D1216" s="185" t="s">
        <v>2865</v>
      </c>
      <c r="E1216" s="5" t="s">
        <v>2866</v>
      </c>
      <c r="F1216" s="5" t="s">
        <v>2867</v>
      </c>
      <c r="G1216" s="185" t="s">
        <v>2290</v>
      </c>
      <c r="H1216" s="204">
        <v>45644</v>
      </c>
      <c r="I1216" s="205">
        <v>100</v>
      </c>
      <c r="J1216" s="205">
        <v>94.822999999999993</v>
      </c>
      <c r="K1216" s="205">
        <v>0.35899999999999999</v>
      </c>
      <c r="L1216" s="205">
        <v>8.4000000000000005E-2</v>
      </c>
      <c r="M1216" s="205">
        <v>39.116999999999997</v>
      </c>
      <c r="N1216" s="205"/>
      <c r="O1216" s="205">
        <v>0.87</v>
      </c>
      <c r="P1216" s="205">
        <v>0.95899999999999996</v>
      </c>
      <c r="Q1216" s="205">
        <v>57.939</v>
      </c>
      <c r="R1216" s="205"/>
      <c r="S1216" s="205">
        <v>0.58399999999999996</v>
      </c>
      <c r="T1216" s="205">
        <v>8.6999999999999994E-2</v>
      </c>
      <c r="U1216" s="205"/>
      <c r="V1216" s="205"/>
      <c r="W1216" s="205"/>
      <c r="X1216" s="205"/>
      <c r="Y1216" s="205"/>
      <c r="Z1216" s="205"/>
      <c r="AA1216" s="120" t="s">
        <v>3047</v>
      </c>
      <c r="AB1216" s="120" t="s">
        <v>3047</v>
      </c>
      <c r="AC1216" s="165" t="s">
        <v>3048</v>
      </c>
      <c r="AD1216" s="165"/>
      <c r="AE1216" s="1">
        <v>45644</v>
      </c>
      <c r="AF1216" s="206" t="s">
        <v>3049</v>
      </c>
      <c r="AG1216" t="str">
        <f>VLOOKUP(OfficeForms.Table[[#This Row],[Nama Proyek]],'Nama Proyek'!$D$2:$G$29,4,0)</f>
        <v>-0.99046214,116.69024762</v>
      </c>
      <c r="AH1216" s="5"/>
      <c r="AI1216" s="5"/>
      <c r="AJ1216" s="5"/>
      <c r="AK1216" s="5"/>
    </row>
    <row r="1217" spans="1:37" ht="409.6">
      <c r="A1217" s="50">
        <v>131</v>
      </c>
      <c r="B1217" s="109">
        <v>45685.856053240699</v>
      </c>
      <c r="C1217" s="85">
        <v>45685.860821759299</v>
      </c>
      <c r="D1217" s="64" t="s">
        <v>2546</v>
      </c>
      <c r="E1217" s="64" t="s">
        <v>85</v>
      </c>
      <c r="F1217" s="5" t="s">
        <v>85</v>
      </c>
      <c r="G1217" s="64" t="s">
        <v>2336</v>
      </c>
      <c r="H1217" s="99">
        <v>45684</v>
      </c>
      <c r="I1217" s="91">
        <v>36.003999999999998</v>
      </c>
      <c r="J1217" s="91">
        <v>39.500999999999998</v>
      </c>
      <c r="K1217" s="91">
        <v>2.3340000000000001</v>
      </c>
      <c r="L1217" s="91">
        <v>0.16600000000000001</v>
      </c>
      <c r="M1217" s="91">
        <v>0</v>
      </c>
      <c r="N1217" s="91">
        <v>17.812000000000001</v>
      </c>
      <c r="O1217" s="91">
        <v>5.1999999999999998E-2</v>
      </c>
      <c r="P1217" s="91">
        <v>0</v>
      </c>
      <c r="Q1217" s="91">
        <v>0</v>
      </c>
      <c r="R1217" s="91">
        <v>0</v>
      </c>
      <c r="S1217" s="91">
        <v>0</v>
      </c>
      <c r="T1217" s="91">
        <v>15.64</v>
      </c>
      <c r="U1217" s="91">
        <v>0</v>
      </c>
      <c r="V1217" s="91">
        <v>0</v>
      </c>
      <c r="W1217" s="91">
        <v>0</v>
      </c>
      <c r="X1217" s="91">
        <v>0</v>
      </c>
      <c r="Y1217" s="91">
        <v>0</v>
      </c>
      <c r="Z1217" s="91">
        <v>0</v>
      </c>
      <c r="AA1217" s="88" t="s">
        <v>2888</v>
      </c>
      <c r="AB1217" s="88" t="s">
        <v>2888</v>
      </c>
      <c r="AC1217" s="88" t="s">
        <v>2888</v>
      </c>
      <c r="AD1217" s="88" t="s">
        <v>2888</v>
      </c>
      <c r="AE1217" s="87">
        <v>45683</v>
      </c>
      <c r="AF1217" s="89" t="s">
        <v>3050</v>
      </c>
      <c r="AG1217" t="e">
        <f>VLOOKUP(OfficeForms.Table[[#This Row],[Nama Proyek]],'Nama Proyek'!$D$2:$G$29,4,0)</f>
        <v>#N/A</v>
      </c>
      <c r="AH1217" s="5"/>
      <c r="AI1217" s="5"/>
      <c r="AJ1217" s="5"/>
      <c r="AK1217" s="5"/>
    </row>
    <row r="1218" spans="1:37" ht="152.25">
      <c r="A1218" s="50">
        <v>132</v>
      </c>
      <c r="B1218" s="109">
        <v>45686.422442129602</v>
      </c>
      <c r="C1218" s="85">
        <v>45686.434421296297</v>
      </c>
      <c r="D1218" s="64" t="s">
        <v>3051</v>
      </c>
      <c r="E1218" s="64" t="s">
        <v>3052</v>
      </c>
      <c r="F1218" s="5" t="s">
        <v>3052</v>
      </c>
      <c r="G1218" s="64" t="s">
        <v>2267</v>
      </c>
      <c r="H1218" s="99">
        <v>45680</v>
      </c>
      <c r="I1218" s="91">
        <v>14.018000000000001</v>
      </c>
      <c r="J1218" s="91">
        <v>19.364000000000001</v>
      </c>
      <c r="K1218" s="91">
        <v>28.39</v>
      </c>
      <c r="L1218" s="91">
        <v>35.979999999999997</v>
      </c>
      <c r="M1218" s="91">
        <v>26.34</v>
      </c>
      <c r="N1218" s="91">
        <v>6.36</v>
      </c>
      <c r="O1218" s="91">
        <v>39.15</v>
      </c>
      <c r="P1218" s="91">
        <v>2.67</v>
      </c>
      <c r="Q1218" s="91">
        <v>6.62</v>
      </c>
      <c r="R1218" s="91">
        <v>2.4700000000000002</v>
      </c>
      <c r="S1218" s="91">
        <v>0.89</v>
      </c>
      <c r="T1218" s="91">
        <v>15.43</v>
      </c>
      <c r="U1218" s="91"/>
      <c r="V1218" s="91">
        <v>0.28999999999999998</v>
      </c>
      <c r="W1218" s="91"/>
      <c r="X1218" s="91"/>
      <c r="Y1218" s="91">
        <v>19.53</v>
      </c>
      <c r="Z1218" s="91"/>
      <c r="AA1218" s="88" t="s">
        <v>3053</v>
      </c>
      <c r="AB1218" s="88" t="s">
        <v>3054</v>
      </c>
      <c r="AC1218" s="88" t="s">
        <v>3055</v>
      </c>
      <c r="AD1218" s="88" t="s">
        <v>3056</v>
      </c>
      <c r="AE1218" s="87">
        <v>45683</v>
      </c>
      <c r="AF1218" s="89" t="s">
        <v>3057</v>
      </c>
      <c r="AG1218" t="e">
        <f>VLOOKUP(OfficeForms.Table[[#This Row],[Nama Proyek]],'Nama Proyek'!$D$2:$G$29,4,0)</f>
        <v>#N/A</v>
      </c>
      <c r="AH1218" s="5"/>
      <c r="AI1218" s="5"/>
      <c r="AJ1218" s="5"/>
      <c r="AK1218" s="5"/>
    </row>
    <row r="1219" spans="1:37" ht="91.5">
      <c r="A1219" s="50">
        <v>133</v>
      </c>
      <c r="B1219" s="109">
        <v>45688.360243055598</v>
      </c>
      <c r="C1219" s="85">
        <v>45688.369942129597</v>
      </c>
      <c r="D1219" s="64" t="s">
        <v>2600</v>
      </c>
      <c r="E1219" s="64" t="s">
        <v>855</v>
      </c>
      <c r="F1219" s="5" t="s">
        <v>855</v>
      </c>
      <c r="G1219" s="64" t="s">
        <v>2601</v>
      </c>
      <c r="H1219" s="99">
        <v>45683</v>
      </c>
      <c r="I1219" s="91">
        <v>54.585999999999999</v>
      </c>
      <c r="J1219" s="91">
        <v>54.225999999999999</v>
      </c>
      <c r="K1219" s="91">
        <v>0.83299999999999996</v>
      </c>
      <c r="L1219" s="91">
        <v>0.24199999999999999</v>
      </c>
      <c r="M1219" s="91">
        <v>2.1869999999999998</v>
      </c>
      <c r="N1219" s="91"/>
      <c r="O1219" s="91">
        <v>0.08</v>
      </c>
      <c r="P1219" s="91">
        <v>0.65100000000000002</v>
      </c>
      <c r="Q1219" s="91">
        <v>50.588000000000001</v>
      </c>
      <c r="R1219" s="91"/>
      <c r="S1219" s="91">
        <v>5.0000000000000001E-3</v>
      </c>
      <c r="T1219" s="91"/>
      <c r="U1219" s="91"/>
      <c r="V1219" s="91"/>
      <c r="W1219" s="91"/>
      <c r="X1219" s="91"/>
      <c r="Y1219" s="91"/>
      <c r="Z1219" s="91"/>
      <c r="AA1219" s="88" t="s">
        <v>3058</v>
      </c>
      <c r="AB1219" s="88" t="s">
        <v>3059</v>
      </c>
      <c r="AC1219" s="88" t="s">
        <v>2604</v>
      </c>
      <c r="AD1219" s="88" t="s">
        <v>3060</v>
      </c>
      <c r="AE1219" s="87">
        <v>45683</v>
      </c>
      <c r="AF1219" s="89" t="s">
        <v>3061</v>
      </c>
      <c r="AG1219" t="str">
        <f>VLOOKUP(OfficeForms.Table[[#This Row],[Nama Proyek]],'Nama Proyek'!$D$2:$G$29,4,0)</f>
        <v>-1.13731907,116.79020552</v>
      </c>
      <c r="AH1219" s="5"/>
      <c r="AI1219" s="5"/>
      <c r="AJ1219" s="5"/>
      <c r="AK1219" s="5"/>
    </row>
    <row r="1220" spans="1:37">
      <c r="A1220" s="50">
        <v>134</v>
      </c>
      <c r="B1220" s="109">
        <v>45688.419386574104</v>
      </c>
      <c r="C1220" s="85">
        <v>45688.434282407397</v>
      </c>
      <c r="D1220" s="64" t="s">
        <v>2525</v>
      </c>
      <c r="E1220" s="64" t="s">
        <v>47</v>
      </c>
      <c r="F1220" s="5" t="s">
        <v>47</v>
      </c>
      <c r="G1220" s="64" t="s">
        <v>2734</v>
      </c>
      <c r="H1220" s="99">
        <v>45683</v>
      </c>
      <c r="I1220" s="91">
        <v>11.952</v>
      </c>
      <c r="J1220" s="91">
        <v>13.148999999999999</v>
      </c>
      <c r="K1220" s="91">
        <v>0.51500000000000001</v>
      </c>
      <c r="L1220" s="91">
        <v>0.13400000000000001</v>
      </c>
      <c r="M1220" s="91">
        <v>1.4999999999999999E-2</v>
      </c>
      <c r="N1220" s="91">
        <v>2.7360000000000002</v>
      </c>
      <c r="O1220" s="91">
        <v>0.12</v>
      </c>
      <c r="P1220" s="91">
        <v>1.4999999999999999E-2</v>
      </c>
      <c r="Q1220" s="91">
        <v>2E-3</v>
      </c>
      <c r="R1220" s="91">
        <v>1.4E-2</v>
      </c>
      <c r="S1220" s="91">
        <v>3.0000000000000001E-3</v>
      </c>
      <c r="T1220" s="91">
        <v>3.61</v>
      </c>
      <c r="U1220" s="91"/>
      <c r="V1220" s="91"/>
      <c r="W1220" s="91"/>
      <c r="X1220" s="91"/>
      <c r="Y1220" s="91"/>
      <c r="Z1220" s="91"/>
      <c r="AA1220" s="88" t="s">
        <v>3062</v>
      </c>
      <c r="AB1220" s="88" t="s">
        <v>3063</v>
      </c>
      <c r="AC1220" s="88" t="s">
        <v>3064</v>
      </c>
      <c r="AD1220" s="88"/>
      <c r="AE1220" s="87"/>
      <c r="AF1220" s="89"/>
      <c r="AG1220" t="str">
        <f>VLOOKUP(OfficeForms.Table[[#This Row],[Nama Proyek]],'Nama Proyek'!$D$2:$G$40,4,0)</f>
        <v>-6.8812050213,106.7893827682</v>
      </c>
      <c r="AH1220" s="5"/>
      <c r="AI1220" s="5"/>
      <c r="AJ1220" s="5"/>
      <c r="AK1220" s="5"/>
    </row>
    <row r="1221" spans="1:37" ht="30.75">
      <c r="A1221" s="50">
        <v>135</v>
      </c>
      <c r="B1221" s="109">
        <v>45690.671909722201</v>
      </c>
      <c r="C1221" s="85">
        <v>45690.677743055603</v>
      </c>
      <c r="D1221" s="64" t="s">
        <v>2580</v>
      </c>
      <c r="E1221" s="64" t="s">
        <v>57</v>
      </c>
      <c r="F1221" s="5" t="s">
        <v>57</v>
      </c>
      <c r="G1221" s="64" t="s">
        <v>1484</v>
      </c>
      <c r="H1221" s="99">
        <v>45682</v>
      </c>
      <c r="I1221" s="91">
        <v>74.049000000000007</v>
      </c>
      <c r="J1221" s="91">
        <v>60.862000000000002</v>
      </c>
      <c r="K1221" s="91">
        <v>1.31</v>
      </c>
      <c r="L1221" s="91">
        <v>2.9049999999999998</v>
      </c>
      <c r="M1221" s="91">
        <v>28.375</v>
      </c>
      <c r="N1221" s="91"/>
      <c r="O1221" s="91">
        <v>0.52900000000000003</v>
      </c>
      <c r="P1221" s="91"/>
      <c r="Q1221" s="91">
        <v>40.76</v>
      </c>
      <c r="R1221" s="91"/>
      <c r="S1221" s="91">
        <v>0.17100000000000001</v>
      </c>
      <c r="T1221" s="91"/>
      <c r="U1221" s="91"/>
      <c r="V1221" s="91"/>
      <c r="W1221" s="91"/>
      <c r="X1221" s="91"/>
      <c r="Y1221" s="91"/>
      <c r="Z1221" s="91"/>
      <c r="AA1221" s="88" t="s">
        <v>3065</v>
      </c>
      <c r="AB1221" s="88" t="s">
        <v>3066</v>
      </c>
      <c r="AC1221" s="88" t="s">
        <v>3067</v>
      </c>
      <c r="AD1221" s="88" t="s">
        <v>3067</v>
      </c>
      <c r="AE1221" s="87">
        <v>45682</v>
      </c>
      <c r="AF1221" s="89" t="s">
        <v>3068</v>
      </c>
      <c r="AG1221" t="str">
        <f>VLOOKUP(OfficeForms.Table[[#This Row],[Nama Proyek]],'Nama Proyek'!$D$2:$G$29,4,0)</f>
        <v>-8.01003300,110.33312900</v>
      </c>
      <c r="AH1221" s="5"/>
      <c r="AI1221" s="5"/>
      <c r="AJ1221" s="5"/>
      <c r="AK1221" s="5"/>
    </row>
    <row r="1222" spans="1:37">
      <c r="A1222" s="50">
        <v>136</v>
      </c>
      <c r="B1222" s="109">
        <v>45690.787650462997</v>
      </c>
      <c r="C1222" s="85">
        <v>45690.824837963002</v>
      </c>
      <c r="D1222" s="64" t="s">
        <v>2761</v>
      </c>
      <c r="E1222" s="64" t="s">
        <v>2762</v>
      </c>
      <c r="F1222" s="5" t="s">
        <v>3029</v>
      </c>
      <c r="G1222" s="64" t="s">
        <v>2484</v>
      </c>
      <c r="H1222" s="99">
        <v>45687</v>
      </c>
      <c r="I1222" s="91">
        <v>69.86</v>
      </c>
      <c r="J1222" s="91">
        <v>31.545000000000002</v>
      </c>
      <c r="K1222" s="91">
        <v>0.33600000000000002</v>
      </c>
      <c r="L1222" s="91">
        <v>7.0860000000000003</v>
      </c>
      <c r="M1222" s="91">
        <v>52.234999999999999</v>
      </c>
      <c r="N1222" s="91">
        <v>0</v>
      </c>
      <c r="O1222" s="91">
        <v>2.472</v>
      </c>
      <c r="P1222" s="91">
        <v>0.85199999999999998</v>
      </c>
      <c r="Q1222" s="91">
        <v>6.8739999999999997</v>
      </c>
      <c r="R1222" s="91">
        <v>0</v>
      </c>
      <c r="S1222" s="91">
        <v>7.0000000000000001E-3</v>
      </c>
      <c r="T1222" s="91">
        <v>0</v>
      </c>
      <c r="U1222" s="91">
        <v>0</v>
      </c>
      <c r="V1222" s="91">
        <v>0</v>
      </c>
      <c r="W1222" s="91">
        <v>0</v>
      </c>
      <c r="X1222" s="91">
        <v>0</v>
      </c>
      <c r="Y1222" s="91">
        <v>0</v>
      </c>
      <c r="Z1222" s="91">
        <v>0</v>
      </c>
      <c r="AA1222" s="88" t="s">
        <v>3069</v>
      </c>
      <c r="AB1222" s="88"/>
      <c r="AC1222" s="88" t="s">
        <v>3070</v>
      </c>
      <c r="AD1222" s="88" t="s">
        <v>3071</v>
      </c>
      <c r="AE1222" s="87"/>
      <c r="AF1222" s="89"/>
      <c r="AG1222" t="str">
        <f>VLOOKUP(OfficeForms.Table[[#This Row],[Nama Proyek]],'Nama Proyek'!$D$2:$G$29,4,0)</f>
        <v>-8.30961900,112.11101000</v>
      </c>
      <c r="AH1222" s="5"/>
      <c r="AI1222" s="5"/>
      <c r="AJ1222" s="5"/>
      <c r="AK1222" s="5"/>
    </row>
    <row r="1223" spans="1:37" ht="336">
      <c r="A1223" s="50">
        <v>137</v>
      </c>
      <c r="B1223" s="109">
        <v>45691.355949074103</v>
      </c>
      <c r="C1223" s="85">
        <v>45691.3657060185</v>
      </c>
      <c r="D1223" s="64" t="s">
        <v>2718</v>
      </c>
      <c r="E1223" s="64" t="s">
        <v>82</v>
      </c>
      <c r="F1223" s="5" t="s">
        <v>82</v>
      </c>
      <c r="G1223" s="64" t="s">
        <v>1317</v>
      </c>
      <c r="H1223" s="99">
        <v>45688</v>
      </c>
      <c r="I1223" s="91">
        <v>62.789000000000001</v>
      </c>
      <c r="J1223" s="91">
        <v>64.138000000000005</v>
      </c>
      <c r="K1223" s="91">
        <v>1.0473598863957401</v>
      </c>
      <c r="L1223" s="91">
        <v>0.18919364293521501</v>
      </c>
      <c r="M1223" s="91">
        <v>7.1633232799274998E-2</v>
      </c>
      <c r="N1223" s="91">
        <v>32.3113218056723</v>
      </c>
      <c r="O1223" s="91">
        <v>0.20392547123869401</v>
      </c>
      <c r="P1223" s="91">
        <v>0.27879079063429202</v>
      </c>
      <c r="Q1223" s="91">
        <v>7.3618328553966605E-2</v>
      </c>
      <c r="R1223" s="91">
        <v>0.62784844064243295</v>
      </c>
      <c r="S1223" s="91">
        <v>1.4411040648511799</v>
      </c>
      <c r="T1223" s="91">
        <v>20.481767019378299</v>
      </c>
      <c r="U1223" s="91">
        <v>0</v>
      </c>
      <c r="V1223" s="91">
        <v>6.05010543699004</v>
      </c>
      <c r="W1223" s="91">
        <v>0</v>
      </c>
      <c r="X1223" s="91">
        <v>0</v>
      </c>
      <c r="Y1223" s="91">
        <v>1.2330576988978799E-2</v>
      </c>
      <c r="Z1223" s="91">
        <v>0</v>
      </c>
      <c r="AA1223" s="88" t="s">
        <v>3072</v>
      </c>
      <c r="AB1223" s="88" t="s">
        <v>2836</v>
      </c>
      <c r="AC1223" s="88" t="s">
        <v>2413</v>
      </c>
      <c r="AD1223" s="88" t="s">
        <v>2413</v>
      </c>
      <c r="AE1223" s="87">
        <v>45688</v>
      </c>
      <c r="AF1223" s="89" t="s">
        <v>3073</v>
      </c>
      <c r="AG1223" t="str">
        <f>VLOOKUP(OfficeForms.Table[[#This Row],[Nama Proyek]],'Nama Proyek'!$D$2:$G$29,4,0)</f>
        <v>-7.72647690,113.63515320</v>
      </c>
      <c r="AH1223" s="5"/>
      <c r="AI1223" s="5"/>
      <c r="AJ1223" s="5"/>
      <c r="AK1223" s="5"/>
    </row>
    <row r="1224" spans="1:37">
      <c r="A1224" s="50">
        <v>138</v>
      </c>
      <c r="B1224" s="109">
        <v>45691.440081018503</v>
      </c>
      <c r="C1224" s="85">
        <v>45691.450219907398</v>
      </c>
      <c r="D1224" s="64" t="s">
        <v>2256</v>
      </c>
      <c r="E1224" s="64" t="s">
        <v>734</v>
      </c>
      <c r="F1224" s="5" t="s">
        <v>734</v>
      </c>
      <c r="G1224" s="64" t="s">
        <v>735</v>
      </c>
      <c r="H1224" s="99">
        <v>45690</v>
      </c>
      <c r="I1224" s="91">
        <v>93.334999999999994</v>
      </c>
      <c r="J1224" s="91">
        <v>92.02</v>
      </c>
      <c r="K1224" s="91">
        <v>0.39200000000000002</v>
      </c>
      <c r="L1224" s="91">
        <v>2.2189999999999999</v>
      </c>
      <c r="M1224" s="91">
        <v>44.067999999999998</v>
      </c>
      <c r="N1224" s="91">
        <v>38.107999999999997</v>
      </c>
      <c r="O1224" s="91">
        <v>0.93200000000000005</v>
      </c>
      <c r="P1224" s="91">
        <v>4.6909999999999998</v>
      </c>
      <c r="Q1224" s="91">
        <v>0.76300000000000001</v>
      </c>
      <c r="R1224" s="91"/>
      <c r="S1224" s="91"/>
      <c r="T1224" s="91"/>
      <c r="U1224" s="91"/>
      <c r="V1224" s="91"/>
      <c r="W1224" s="91"/>
      <c r="X1224" s="91"/>
      <c r="Y1224" s="91"/>
      <c r="Z1224" s="91"/>
      <c r="AA1224" s="88" t="s">
        <v>3074</v>
      </c>
      <c r="AB1224" s="88" t="s">
        <v>3075</v>
      </c>
      <c r="AC1224" s="88" t="s">
        <v>3076</v>
      </c>
      <c r="AD1224" s="88" t="s">
        <v>3077</v>
      </c>
      <c r="AE1224" s="87">
        <v>45690</v>
      </c>
      <c r="AF1224" s="133" t="s">
        <v>2297</v>
      </c>
      <c r="AG1224" t="str">
        <f>VLOOKUP(OfficeForms.Table[[#This Row],[Nama Proyek]],'Nama Proyek'!$D$2:$G$40,4,0)</f>
        <v>-0.88562397,119.85928375</v>
      </c>
      <c r="AH1224" s="5"/>
      <c r="AI1224" s="5"/>
      <c r="AJ1224" s="5"/>
      <c r="AK1224" s="5"/>
    </row>
    <row r="1225" spans="1:37">
      <c r="A1225" s="50">
        <v>139</v>
      </c>
      <c r="B1225" s="109">
        <v>45715.675057870401</v>
      </c>
      <c r="C1225" s="85">
        <v>45715.675821759301</v>
      </c>
      <c r="D1225" s="64" t="s">
        <v>2525</v>
      </c>
      <c r="E1225" s="64" t="s">
        <v>47</v>
      </c>
      <c r="F1225" s="5" t="s">
        <v>214</v>
      </c>
      <c r="G1225" s="64" t="s">
        <v>2734</v>
      </c>
      <c r="H1225" s="99">
        <v>45710</v>
      </c>
      <c r="I1225" s="91">
        <v>13.57</v>
      </c>
      <c r="J1225" s="91">
        <v>17.018000000000001</v>
      </c>
      <c r="K1225" s="91">
        <v>0.52</v>
      </c>
      <c r="L1225" s="91">
        <v>0.13400000000000001</v>
      </c>
      <c r="M1225" s="91">
        <v>1.4999999999999999E-2</v>
      </c>
      <c r="N1225" s="91">
        <v>2.9649999999999999</v>
      </c>
      <c r="O1225" s="91">
        <v>0.161</v>
      </c>
      <c r="P1225" s="91">
        <v>1.4999999999999999E-2</v>
      </c>
      <c r="Q1225" s="91">
        <v>2E-3</v>
      </c>
      <c r="R1225" s="91">
        <v>3.4000000000000002E-2</v>
      </c>
      <c r="S1225" s="91">
        <v>4.1000000000000002E-2</v>
      </c>
      <c r="T1225" s="91">
        <v>4.6319999999999997</v>
      </c>
      <c r="U1225" s="91"/>
      <c r="V1225" s="91"/>
      <c r="W1225" s="91"/>
      <c r="X1225" s="91"/>
      <c r="Y1225" s="91"/>
      <c r="Z1225" s="91"/>
      <c r="AA1225" s="88" t="s">
        <v>3078</v>
      </c>
      <c r="AB1225" s="88" t="s">
        <v>3079</v>
      </c>
      <c r="AC1225" s="88" t="s">
        <v>3080</v>
      </c>
      <c r="AD1225" s="88"/>
      <c r="AE1225" s="87"/>
      <c r="AF1225" s="133"/>
      <c r="AG1225" t="str">
        <f>VLOOKUP(OfficeForms.Table[[#This Row],[Nama Proyek]],'Nama Proyek'!$D$2:$G$40,4,0)</f>
        <v>-6.8812050213,106.7893827682</v>
      </c>
      <c r="AH1225" s="5"/>
      <c r="AI1225" s="5"/>
      <c r="AJ1225" s="5"/>
      <c r="AK1225" s="5"/>
    </row>
    <row r="1226" spans="1:37" ht="152.25">
      <c r="A1226" s="50">
        <v>140</v>
      </c>
      <c r="B1226" s="109">
        <v>45716.450393518498</v>
      </c>
      <c r="C1226" s="85">
        <v>45716.4612037037</v>
      </c>
      <c r="D1226" s="64" t="s">
        <v>2546</v>
      </c>
      <c r="E1226" s="64" t="s">
        <v>85</v>
      </c>
      <c r="F1226" s="5" t="s">
        <v>85</v>
      </c>
      <c r="G1226" s="64" t="s">
        <v>2336</v>
      </c>
      <c r="H1226" s="99">
        <v>45711</v>
      </c>
      <c r="I1226" s="91">
        <v>37.94</v>
      </c>
      <c r="J1226" s="91">
        <v>44.883000000000003</v>
      </c>
      <c r="K1226" s="91">
        <v>2.3570000000000002</v>
      </c>
      <c r="L1226" s="91">
        <v>0.16600000000000001</v>
      </c>
      <c r="M1226" s="91">
        <v>0</v>
      </c>
      <c r="N1226" s="91">
        <v>17.936</v>
      </c>
      <c r="O1226" s="91">
        <v>5.1999999999999998E-2</v>
      </c>
      <c r="P1226" s="91">
        <v>0</v>
      </c>
      <c r="Q1226" s="91">
        <v>0</v>
      </c>
      <c r="R1226" s="91">
        <v>0</v>
      </c>
      <c r="S1226" s="91">
        <v>0</v>
      </c>
      <c r="T1226" s="91">
        <v>17.428000000000001</v>
      </c>
      <c r="U1226" s="91">
        <v>0</v>
      </c>
      <c r="V1226" s="91">
        <v>0</v>
      </c>
      <c r="W1226" s="91">
        <v>0</v>
      </c>
      <c r="X1226" s="91">
        <v>0</v>
      </c>
      <c r="Y1226" s="91">
        <v>0</v>
      </c>
      <c r="Z1226" s="91">
        <v>0</v>
      </c>
      <c r="AA1226" s="88" t="s">
        <v>3081</v>
      </c>
      <c r="AB1226" s="88" t="s">
        <v>3081</v>
      </c>
      <c r="AC1226" s="88" t="s">
        <v>3081</v>
      </c>
      <c r="AD1226" s="88" t="s">
        <v>3081</v>
      </c>
      <c r="AE1226" s="87">
        <v>45711</v>
      </c>
      <c r="AF1226" s="133" t="s">
        <v>3082</v>
      </c>
      <c r="AG1226" t="e">
        <f>VLOOKUP(OfficeForms.Table[[#This Row],[Nama Proyek]],'Nama Proyek'!$D$2:$G$29,4,0)</f>
        <v>#N/A</v>
      </c>
      <c r="AH1226" s="5"/>
      <c r="AI1226" s="5"/>
      <c r="AJ1226" s="5"/>
      <c r="AK1226" s="5"/>
    </row>
    <row r="1227" spans="1:37" ht="305.25">
      <c r="A1227" s="50">
        <v>141</v>
      </c>
      <c r="B1227" s="109">
        <v>45716.636354166701</v>
      </c>
      <c r="C1227" s="85">
        <v>45716.643506944398</v>
      </c>
      <c r="D1227" s="64" t="s">
        <v>2718</v>
      </c>
      <c r="E1227" s="64" t="s">
        <v>82</v>
      </c>
      <c r="F1227" s="5" t="s">
        <v>82</v>
      </c>
      <c r="G1227" s="64" t="s">
        <v>1317</v>
      </c>
      <c r="H1227" s="99">
        <v>45716</v>
      </c>
      <c r="I1227" s="91">
        <v>65.436932572780094</v>
      </c>
      <c r="J1227" s="91">
        <v>68.443046912612104</v>
      </c>
      <c r="K1227" s="91">
        <v>1.06143714037313</v>
      </c>
      <c r="L1227" s="91">
        <v>0.190534974305579</v>
      </c>
      <c r="M1227" s="91">
        <v>7.1633232799274998E-2</v>
      </c>
      <c r="N1227" s="91">
        <v>33.283001191969802</v>
      </c>
      <c r="O1227" s="91">
        <v>0.20741245587687501</v>
      </c>
      <c r="P1227" s="91">
        <v>0.30700794944236298</v>
      </c>
      <c r="Q1227" s="91">
        <v>7.3618328553966703E-2</v>
      </c>
      <c r="R1227" s="91">
        <v>0.71172301178297204</v>
      </c>
      <c r="S1227" s="91">
        <v>2.2247513209275098</v>
      </c>
      <c r="T1227" s="91">
        <v>21.1420596195081</v>
      </c>
      <c r="U1227" s="91">
        <v>0</v>
      </c>
      <c r="V1227" s="91">
        <v>6.1514227702516298</v>
      </c>
      <c r="W1227" s="91">
        <v>0</v>
      </c>
      <c r="X1227" s="91">
        <v>0</v>
      </c>
      <c r="Y1227" s="91">
        <v>1.2330576988978799E-2</v>
      </c>
      <c r="Z1227" s="91">
        <v>0</v>
      </c>
      <c r="AA1227" s="88" t="s">
        <v>3083</v>
      </c>
      <c r="AB1227" s="88" t="s">
        <v>3084</v>
      </c>
      <c r="AC1227" s="88" t="s">
        <v>2413</v>
      </c>
      <c r="AD1227" s="88" t="s">
        <v>2413</v>
      </c>
      <c r="AE1227" s="87">
        <v>45716</v>
      </c>
      <c r="AF1227" s="133" t="s">
        <v>3085</v>
      </c>
      <c r="AG1227" t="str">
        <f>VLOOKUP(OfficeForms.Table[[#This Row],[Nama Proyek]],'Nama Proyek'!$D$2:$G$29,4,0)</f>
        <v>-7.72647690,113.63515320</v>
      </c>
      <c r="AH1227" s="5"/>
      <c r="AI1227" s="5"/>
      <c r="AJ1227" s="5"/>
      <c r="AK1227" s="5"/>
    </row>
    <row r="1228" spans="1:37" ht="76.5">
      <c r="A1228" s="50">
        <v>142</v>
      </c>
      <c r="B1228" s="109">
        <v>45716.837268518502</v>
      </c>
      <c r="C1228" s="85">
        <v>45716.852094907401</v>
      </c>
      <c r="D1228" s="64" t="s">
        <v>3051</v>
      </c>
      <c r="E1228" s="64" t="s">
        <v>3052</v>
      </c>
      <c r="F1228" s="5" t="s">
        <v>3052</v>
      </c>
      <c r="G1228" s="64" t="s">
        <v>2267</v>
      </c>
      <c r="H1228" s="99">
        <v>45711</v>
      </c>
      <c r="I1228" s="91">
        <v>47.47</v>
      </c>
      <c r="J1228" s="91">
        <v>64.778999999999996</v>
      </c>
      <c r="K1228" s="91">
        <v>1.7829999999999999</v>
      </c>
      <c r="L1228" s="91">
        <v>0.26100000000000001</v>
      </c>
      <c r="M1228" s="91">
        <v>3.3000000000000002E-2</v>
      </c>
      <c r="N1228" s="91">
        <v>4.6619999999999999</v>
      </c>
      <c r="O1228" s="91">
        <v>1.839</v>
      </c>
      <c r="P1228" s="91">
        <v>0.22600000000000001</v>
      </c>
      <c r="Q1228" s="91">
        <v>2.5999999999999999E-2</v>
      </c>
      <c r="R1228" s="91">
        <v>0.16400000000000001</v>
      </c>
      <c r="S1228" s="91">
        <v>0.38200000000000001</v>
      </c>
      <c r="T1228" s="91">
        <v>30.613</v>
      </c>
      <c r="U1228" s="91">
        <v>0</v>
      </c>
      <c r="V1228" s="91">
        <v>6.4000000000000001E-2</v>
      </c>
      <c r="W1228" s="91">
        <v>0</v>
      </c>
      <c r="X1228" s="91">
        <v>0</v>
      </c>
      <c r="Y1228" s="91">
        <v>0.17</v>
      </c>
      <c r="Z1228" s="91">
        <v>0</v>
      </c>
      <c r="AA1228" s="88" t="s">
        <v>3086</v>
      </c>
      <c r="AB1228" s="88"/>
      <c r="AC1228" s="88" t="s">
        <v>3087</v>
      </c>
      <c r="AD1228" s="88"/>
      <c r="AE1228" s="87">
        <v>45711</v>
      </c>
      <c r="AF1228" s="133" t="s">
        <v>3088</v>
      </c>
      <c r="AG1228" t="e">
        <f>VLOOKUP(OfficeForms.Table[[#This Row],[Nama Proyek]],'Nama Proyek'!$D$2:$G$29,4,0)</f>
        <v>#N/A</v>
      </c>
      <c r="AH1228" s="5"/>
      <c r="AI1228" s="5"/>
      <c r="AJ1228" s="5"/>
      <c r="AK1228" s="5"/>
    </row>
    <row r="1229" spans="1:37">
      <c r="A1229" s="50">
        <v>143</v>
      </c>
      <c r="B1229" s="109">
        <v>45719.413194444402</v>
      </c>
      <c r="C1229" s="85">
        <v>45719.416932870401</v>
      </c>
      <c r="D1229" s="64" t="s">
        <v>2580</v>
      </c>
      <c r="E1229" s="64" t="s">
        <v>57</v>
      </c>
      <c r="F1229" s="5" t="s">
        <v>57</v>
      </c>
      <c r="G1229" s="64" t="s">
        <v>1484</v>
      </c>
      <c r="H1229" s="99">
        <v>45713</v>
      </c>
      <c r="I1229" s="91">
        <v>76.06</v>
      </c>
      <c r="J1229" s="91">
        <v>63.319000000000003</v>
      </c>
      <c r="K1229" s="91">
        <v>1.31</v>
      </c>
      <c r="L1229" s="91">
        <v>2.9580000000000002</v>
      </c>
      <c r="M1229" s="91">
        <v>29.498999999999999</v>
      </c>
      <c r="N1229" s="91"/>
      <c r="O1229" s="91">
        <v>0.69699999999999995</v>
      </c>
      <c r="P1229" s="91"/>
      <c r="Q1229" s="91">
        <v>41.424999999999997</v>
      </c>
      <c r="R1229" s="91"/>
      <c r="S1229" s="91">
        <v>0.17100000000000001</v>
      </c>
      <c r="T1229" s="91"/>
      <c r="U1229" s="91"/>
      <c r="V1229" s="91"/>
      <c r="W1229" s="91"/>
      <c r="X1229" s="91"/>
      <c r="Y1229" s="91"/>
      <c r="Z1229" s="91"/>
      <c r="AA1229" s="88" t="s">
        <v>3089</v>
      </c>
      <c r="AB1229" s="88" t="s">
        <v>3089</v>
      </c>
      <c r="AC1229" s="88" t="s">
        <v>3090</v>
      </c>
      <c r="AD1229" s="88" t="s">
        <v>3090</v>
      </c>
      <c r="AE1229" s="87">
        <v>45713</v>
      </c>
      <c r="AF1229" s="133" t="s">
        <v>3091</v>
      </c>
      <c r="AG1229" t="str">
        <f>VLOOKUP(OfficeForms.Table[[#This Row],[Nama Proyek]],'Nama Proyek'!$D$2:$G$29,4,0)</f>
        <v>-8.01003300,110.33312900</v>
      </c>
      <c r="AH1229" s="5"/>
      <c r="AI1229" s="5"/>
      <c r="AJ1229" s="5"/>
      <c r="AK1229" s="5"/>
    </row>
    <row r="1230" spans="1:37" ht="91.5">
      <c r="A1230" s="50">
        <v>144</v>
      </c>
      <c r="B1230" s="109">
        <v>45719.529074074097</v>
      </c>
      <c r="C1230" s="85">
        <v>45719.529155092598</v>
      </c>
      <c r="D1230" s="64" t="s">
        <v>2600</v>
      </c>
      <c r="E1230" s="64" t="s">
        <v>855</v>
      </c>
      <c r="F1230" s="5" t="s">
        <v>855</v>
      </c>
      <c r="G1230" s="64" t="s">
        <v>2601</v>
      </c>
      <c r="H1230" s="99">
        <v>45711</v>
      </c>
      <c r="I1230" s="91">
        <v>56.627000000000002</v>
      </c>
      <c r="J1230" s="91">
        <v>56.31</v>
      </c>
      <c r="K1230" s="91">
        <v>0.83299999999999996</v>
      </c>
      <c r="L1230" s="91">
        <v>0.24299999999999999</v>
      </c>
      <c r="M1230" s="91">
        <v>2.3159999999999998</v>
      </c>
      <c r="N1230" s="91"/>
      <c r="O1230" s="91">
        <v>0.08</v>
      </c>
      <c r="P1230" s="91">
        <v>0.68100000000000005</v>
      </c>
      <c r="Q1230" s="91">
        <v>52.465000000000003</v>
      </c>
      <c r="R1230" s="91"/>
      <c r="S1230" s="91">
        <v>0.01</v>
      </c>
      <c r="T1230" s="91"/>
      <c r="U1230" s="91"/>
      <c r="V1230" s="91"/>
      <c r="W1230" s="91"/>
      <c r="X1230" s="91"/>
      <c r="Y1230" s="91"/>
      <c r="Z1230" s="91"/>
      <c r="AA1230" s="88" t="s">
        <v>3092</v>
      </c>
      <c r="AB1230" s="88" t="s">
        <v>3093</v>
      </c>
      <c r="AC1230" s="88" t="s">
        <v>2604</v>
      </c>
      <c r="AD1230" s="88" t="s">
        <v>3094</v>
      </c>
      <c r="AE1230" s="87">
        <v>45711</v>
      </c>
      <c r="AF1230" s="133" t="s">
        <v>3095</v>
      </c>
      <c r="AG1230" t="str">
        <f>VLOOKUP(OfficeForms.Table[[#This Row],[Nama Proyek]],'Nama Proyek'!$D$2:$G$29,4,0)</f>
        <v>-1.13731907,116.79020552</v>
      </c>
      <c r="AH1230" s="5"/>
      <c r="AI1230" s="5"/>
      <c r="AJ1230" s="5"/>
      <c r="AK1230" s="5"/>
    </row>
    <row r="1231" spans="1:37">
      <c r="A1231" s="50">
        <v>145</v>
      </c>
      <c r="B1231" s="109">
        <v>45720.367581018501</v>
      </c>
      <c r="C1231" s="85">
        <v>45720.379421296297</v>
      </c>
      <c r="D1231" s="64" t="s">
        <v>2256</v>
      </c>
      <c r="E1231" s="64" t="s">
        <v>734</v>
      </c>
      <c r="F1231" s="5" t="s">
        <v>734</v>
      </c>
      <c r="G1231" s="64" t="s">
        <v>735</v>
      </c>
      <c r="H1231" s="99">
        <v>45718</v>
      </c>
      <c r="I1231" s="91">
        <v>95.921000000000006</v>
      </c>
      <c r="J1231" s="91">
        <v>96.582999999999998</v>
      </c>
      <c r="K1231" s="91">
        <v>0.39200000000000002</v>
      </c>
      <c r="L1231" s="91">
        <v>2.2189999999999999</v>
      </c>
      <c r="M1231" s="91">
        <v>44.158000000000001</v>
      </c>
      <c r="N1231" s="91">
        <v>41.311999999999998</v>
      </c>
      <c r="O1231" s="91">
        <v>1.115</v>
      </c>
      <c r="P1231" s="91">
        <v>5.0410000000000004</v>
      </c>
      <c r="Q1231" s="91">
        <v>1.635</v>
      </c>
      <c r="R1231" s="91"/>
      <c r="S1231" s="91"/>
      <c r="T1231" s="91"/>
      <c r="U1231" s="91"/>
      <c r="V1231" s="91"/>
      <c r="W1231" s="91"/>
      <c r="X1231" s="91"/>
      <c r="Y1231" s="91"/>
      <c r="Z1231" s="91"/>
      <c r="AA1231" s="88" t="s">
        <v>3096</v>
      </c>
      <c r="AB1231" s="88" t="s">
        <v>3097</v>
      </c>
      <c r="AC1231" s="88" t="s">
        <v>3098</v>
      </c>
      <c r="AD1231" s="88" t="s">
        <v>3098</v>
      </c>
      <c r="AE1231" s="87">
        <v>45719</v>
      </c>
      <c r="AF1231" s="133" t="s">
        <v>3099</v>
      </c>
      <c r="AG1231" t="str">
        <f>VLOOKUP(OfficeForms.Table[[#This Row],[Nama Proyek]],'Nama Proyek'!$D$2:$G$40,4,0)</f>
        <v>-0.88562397,119.85928375</v>
      </c>
      <c r="AH1231" s="5"/>
      <c r="AI1231" s="5"/>
      <c r="AJ1231" s="5"/>
      <c r="AK1231" s="5"/>
    </row>
    <row r="1232" spans="1:37">
      <c r="A1232" s="50">
        <v>146</v>
      </c>
      <c r="B1232" s="109">
        <v>45720.395787037</v>
      </c>
      <c r="C1232" s="85">
        <v>45720.406307870398</v>
      </c>
      <c r="D1232" s="64" t="s">
        <v>2761</v>
      </c>
      <c r="E1232" s="64" t="s">
        <v>2762</v>
      </c>
      <c r="F1232" s="5" t="s">
        <v>3029</v>
      </c>
      <c r="G1232" s="64" t="s">
        <v>2484</v>
      </c>
      <c r="H1232" s="99">
        <v>45715</v>
      </c>
      <c r="I1232" s="91">
        <v>72.504999999999995</v>
      </c>
      <c r="J1232" s="91">
        <v>35.936999999999998</v>
      </c>
      <c r="K1232" s="91">
        <v>0.33600000000000002</v>
      </c>
      <c r="L1232" s="91">
        <v>7.9269999999999996</v>
      </c>
      <c r="M1232" s="91">
        <v>52.518999999999998</v>
      </c>
      <c r="N1232" s="91"/>
      <c r="O1232" s="91">
        <v>3.2639999999999998</v>
      </c>
      <c r="P1232" s="91">
        <v>0.90800000000000003</v>
      </c>
      <c r="Q1232" s="91">
        <v>7.5449999999999999</v>
      </c>
      <c r="R1232" s="91">
        <v>0</v>
      </c>
      <c r="S1232" s="91">
        <v>7.0000000000000001E-3</v>
      </c>
      <c r="T1232" s="91"/>
      <c r="U1232" s="91"/>
      <c r="V1232" s="91"/>
      <c r="W1232" s="91"/>
      <c r="X1232" s="91"/>
      <c r="Y1232" s="91"/>
      <c r="Z1232" s="91"/>
      <c r="AA1232" s="88" t="s">
        <v>3100</v>
      </c>
      <c r="AB1232" s="88" t="s">
        <v>3101</v>
      </c>
      <c r="AC1232" s="88" t="s">
        <v>3102</v>
      </c>
      <c r="AD1232" s="88" t="s">
        <v>3103</v>
      </c>
      <c r="AE1232" s="87">
        <v>45743</v>
      </c>
      <c r="AF1232" s="133" t="s">
        <v>3104</v>
      </c>
      <c r="AG1232" t="str">
        <f>VLOOKUP(OfficeForms.Table[[#This Row],[Nama Proyek]],'Nama Proyek'!$D$2:$G$29,4,0)</f>
        <v>-8.30961900,112.11101000</v>
      </c>
      <c r="AH1232" s="5"/>
      <c r="AI1232" s="5"/>
      <c r="AJ1232" s="5"/>
      <c r="AK1232" s="5"/>
    </row>
    <row r="1233" spans="1:37">
      <c r="A1233" s="50">
        <v>147</v>
      </c>
      <c r="B1233" s="109">
        <v>45722.6793287037</v>
      </c>
      <c r="C1233" s="85">
        <v>45722.680474537003</v>
      </c>
      <c r="D1233" s="64" t="s">
        <v>2256</v>
      </c>
      <c r="E1233" s="64" t="s">
        <v>734</v>
      </c>
      <c r="F1233" s="5" t="s">
        <v>734</v>
      </c>
      <c r="G1233" s="64" t="s">
        <v>735</v>
      </c>
      <c r="H1233" s="99">
        <v>45719</v>
      </c>
      <c r="I1233" s="91"/>
      <c r="J1233" s="91"/>
      <c r="K1233" s="91"/>
      <c r="L1233" s="91"/>
      <c r="M1233" s="91"/>
      <c r="N1233" s="91"/>
      <c r="O1233" s="91"/>
      <c r="P1233" s="91"/>
      <c r="Q1233" s="91"/>
      <c r="R1233" s="91"/>
      <c r="S1233" s="91"/>
      <c r="T1233" s="91"/>
      <c r="U1233" s="91"/>
      <c r="V1233" s="91"/>
      <c r="W1233" s="91"/>
      <c r="X1233" s="91"/>
      <c r="Y1233" s="91"/>
      <c r="Z1233" s="91"/>
      <c r="AA1233" s="88"/>
      <c r="AB1233" s="88"/>
      <c r="AC1233" s="88" t="s">
        <v>3105</v>
      </c>
      <c r="AD1233" s="88" t="s">
        <v>3106</v>
      </c>
      <c r="AE1233" s="87"/>
      <c r="AF1233" s="133"/>
      <c r="AG1233" t="str">
        <f>VLOOKUP(OfficeForms.Table[[#This Row],[Nama Proyek]],'Nama Proyek'!$D$2:$G$40,4,0)</f>
        <v>-0.88562397,119.85928375</v>
      </c>
      <c r="AH1233" s="5"/>
      <c r="AI1233" s="5"/>
      <c r="AJ1233" s="5"/>
      <c r="AK1233" s="5"/>
    </row>
    <row r="1234" spans="1:37">
      <c r="A1234" s="50">
        <v>148</v>
      </c>
      <c r="B1234" s="109">
        <v>45761.342418981498</v>
      </c>
      <c r="C1234" s="85">
        <v>45761.3516550926</v>
      </c>
      <c r="D1234" s="64" t="s">
        <v>2256</v>
      </c>
      <c r="E1234" s="64" t="s">
        <v>734</v>
      </c>
      <c r="F1234" s="5" t="s">
        <v>734</v>
      </c>
      <c r="G1234" s="64" t="s">
        <v>735</v>
      </c>
      <c r="H1234" s="99">
        <v>45747</v>
      </c>
      <c r="I1234" s="91">
        <v>97.522999999999996</v>
      </c>
      <c r="J1234" s="91">
        <v>98.453999999999994</v>
      </c>
      <c r="K1234" s="91">
        <v>0.39200000000000002</v>
      </c>
      <c r="L1234" s="91">
        <v>2.2189999999999999</v>
      </c>
      <c r="M1234" s="91">
        <v>44.356999999999999</v>
      </c>
      <c r="N1234" s="91">
        <v>41.466999999999999</v>
      </c>
      <c r="O1234" s="91">
        <v>1.472</v>
      </c>
      <c r="P1234" s="91">
        <v>5.0410000000000004</v>
      </c>
      <c r="Q1234" s="91">
        <v>1.698</v>
      </c>
      <c r="R1234" s="91"/>
      <c r="S1234" s="91"/>
      <c r="T1234" s="91"/>
      <c r="U1234" s="91"/>
      <c r="V1234" s="91"/>
      <c r="W1234" s="91"/>
      <c r="X1234" s="91"/>
      <c r="Y1234" s="91"/>
      <c r="Z1234" s="91"/>
      <c r="AA1234" s="88" t="s">
        <v>3107</v>
      </c>
      <c r="AB1234" s="88" t="s">
        <v>3108</v>
      </c>
      <c r="AC1234" s="88" t="s">
        <v>3109</v>
      </c>
      <c r="AD1234" s="88" t="s">
        <v>3110</v>
      </c>
      <c r="AE1234" s="87">
        <v>45747</v>
      </c>
      <c r="AF1234" s="133" t="s">
        <v>2297</v>
      </c>
      <c r="AG1234" t="str">
        <f>VLOOKUP(OfficeForms.Table[[#This Row],[Nama Proyek]],'Nama Proyek'!$D$2:$G$40,4,0)</f>
        <v>-0.88562397,119.85928375</v>
      </c>
      <c r="AH1234" s="5"/>
      <c r="AI1234" s="5"/>
      <c r="AJ1234" s="5"/>
      <c r="AK1234" s="5"/>
    </row>
    <row r="1235" spans="1:37">
      <c r="A1235" s="50">
        <v>149</v>
      </c>
      <c r="B1235" s="109">
        <v>45772.448460648098</v>
      </c>
      <c r="C1235" s="85">
        <v>45772.457685185203</v>
      </c>
      <c r="D1235" s="64" t="s">
        <v>2585</v>
      </c>
      <c r="E1235" s="64" t="s">
        <v>2586</v>
      </c>
      <c r="F1235" s="5" t="s">
        <v>1479</v>
      </c>
      <c r="G1235" s="64" t="s">
        <v>1480</v>
      </c>
      <c r="H1235" s="99">
        <v>45770</v>
      </c>
      <c r="I1235" s="91">
        <v>79.73</v>
      </c>
      <c r="J1235" s="91">
        <v>83.49</v>
      </c>
      <c r="K1235" s="91"/>
      <c r="L1235" s="91"/>
      <c r="M1235" s="91"/>
      <c r="N1235" s="91"/>
      <c r="O1235" s="91"/>
      <c r="P1235" s="91"/>
      <c r="Q1235" s="91"/>
      <c r="R1235" s="91"/>
      <c r="S1235" s="91"/>
      <c r="T1235" s="91"/>
      <c r="U1235" s="91"/>
      <c r="V1235" s="91"/>
      <c r="W1235" s="91"/>
      <c r="X1235" s="91"/>
      <c r="Y1235" s="91"/>
      <c r="Z1235" s="91"/>
      <c r="AA1235" s="88"/>
      <c r="AB1235" s="88"/>
      <c r="AC1235" s="88"/>
      <c r="AD1235" s="88"/>
      <c r="AE1235" s="87"/>
      <c r="AF1235" s="133"/>
      <c r="AG1235" t="str">
        <f>VLOOKUP(OfficeForms.Table[[#This Row],[Nama Proyek]],'Nama Proyek'!$D$2:$G$29,4,0)</f>
        <v>-6.23191260,107.90813480</v>
      </c>
      <c r="AH1235" s="5"/>
      <c r="AI1235" s="5"/>
      <c r="AJ1235" s="5"/>
      <c r="AK1235" s="5"/>
    </row>
    <row r="1236" spans="1:37">
      <c r="A1236" s="50">
        <v>151</v>
      </c>
      <c r="B1236" s="109">
        <v>45775.421296296299</v>
      </c>
      <c r="C1236" s="85">
        <v>45775.433148148099</v>
      </c>
      <c r="D1236" s="64" t="s">
        <v>2781</v>
      </c>
      <c r="E1236" s="64" t="s">
        <v>1546</v>
      </c>
      <c r="F1236" s="5" t="s">
        <v>1546</v>
      </c>
      <c r="G1236" s="64" t="s">
        <v>1480</v>
      </c>
      <c r="H1236" s="99">
        <v>45775</v>
      </c>
      <c r="I1236" s="91">
        <v>78.900999999999996</v>
      </c>
      <c r="J1236" s="91">
        <v>78.637</v>
      </c>
      <c r="K1236" s="91"/>
      <c r="L1236" s="91"/>
      <c r="M1236" s="91"/>
      <c r="N1236" s="91"/>
      <c r="O1236" s="91"/>
      <c r="P1236" s="91"/>
      <c r="Q1236" s="91"/>
      <c r="R1236" s="91"/>
      <c r="S1236" s="91"/>
      <c r="T1236" s="91"/>
      <c r="U1236" s="91"/>
      <c r="V1236" s="91"/>
      <c r="W1236" s="91"/>
      <c r="X1236" s="91"/>
      <c r="Y1236" s="91"/>
      <c r="Z1236" s="91"/>
      <c r="AA1236" s="88" t="s">
        <v>3111</v>
      </c>
      <c r="AB1236" s="88" t="s">
        <v>3112</v>
      </c>
      <c r="AC1236" s="88" t="s">
        <v>3113</v>
      </c>
      <c r="AD1236" s="88" t="s">
        <v>3114</v>
      </c>
      <c r="AE1236" s="87"/>
      <c r="AF1236" s="133"/>
      <c r="AG1236" t="str">
        <f>VLOOKUP(OfficeForms.Table[[#This Row],[Nama Proyek]],'Nama Proyek'!$D$2:$G$29,4,0)</f>
        <v>-6.23191260,107.90813480</v>
      </c>
      <c r="AH1236" s="5"/>
      <c r="AI1236" s="5"/>
      <c r="AJ1236" s="5"/>
      <c r="AK1236" s="5"/>
    </row>
    <row r="1237" spans="1:37">
      <c r="A1237" s="50">
        <v>150</v>
      </c>
      <c r="B1237" s="109">
        <v>45775.421574074098</v>
      </c>
      <c r="C1237" s="85">
        <v>45775.425254629597</v>
      </c>
      <c r="D1237" s="64" t="s">
        <v>3115</v>
      </c>
      <c r="E1237" s="64" t="s">
        <v>2210</v>
      </c>
      <c r="F1237" s="5" t="s">
        <v>2214</v>
      </c>
      <c r="G1237" s="64" t="s">
        <v>1315</v>
      </c>
      <c r="H1237" s="99">
        <v>45770</v>
      </c>
      <c r="I1237" s="91">
        <v>87.93</v>
      </c>
      <c r="J1237" s="91">
        <v>100</v>
      </c>
      <c r="K1237" s="91">
        <v>3.9830000000000001</v>
      </c>
      <c r="L1237" s="91">
        <v>794</v>
      </c>
      <c r="M1237" s="91">
        <v>70</v>
      </c>
      <c r="N1237" s="91">
        <v>35.121000000000002</v>
      </c>
      <c r="O1237" s="91">
        <v>941</v>
      </c>
      <c r="P1237" s="91">
        <v>7.1539999999999999</v>
      </c>
      <c r="Q1237" s="91">
        <v>87</v>
      </c>
      <c r="R1237" s="91">
        <v>1.335</v>
      </c>
      <c r="S1237" s="91">
        <v>9.5250000000000004</v>
      </c>
      <c r="T1237" s="91">
        <v>13.345000000000001</v>
      </c>
      <c r="U1237" s="91"/>
      <c r="V1237" s="91">
        <v>10.930999999999999</v>
      </c>
      <c r="W1237" s="91">
        <v>2.41</v>
      </c>
      <c r="X1237" s="91"/>
      <c r="Y1237" s="91">
        <v>2.2320000000000002</v>
      </c>
      <c r="Z1237" s="91"/>
      <c r="AA1237" s="88"/>
      <c r="AB1237" s="88"/>
      <c r="AC1237" s="88"/>
      <c r="AD1237" s="88"/>
      <c r="AE1237" s="87">
        <v>45770</v>
      </c>
      <c r="AF1237" s="133"/>
      <c r="AG1237" t="str">
        <f>VLOOKUP(OfficeForms.Table[[#This Row],[Nama Proyek]],'Nama Proyek'!$D$2:$G$40,4,0)</f>
        <v>-6.42093860,107.18760070</v>
      </c>
      <c r="AH1237" s="5"/>
      <c r="AI1237" s="5"/>
      <c r="AJ1237" s="5"/>
      <c r="AK1237" s="5"/>
    </row>
    <row r="1238" spans="1:37" ht="409.6">
      <c r="A1238" s="50">
        <v>152</v>
      </c>
      <c r="B1238" s="109">
        <v>45775.684606481504</v>
      </c>
      <c r="C1238" s="85">
        <v>45775.684652777803</v>
      </c>
      <c r="D1238" s="64" t="s">
        <v>2546</v>
      </c>
      <c r="E1238" s="64" t="s">
        <v>85</v>
      </c>
      <c r="F1238" s="5" t="s">
        <v>85</v>
      </c>
      <c r="G1238" s="64" t="s">
        <v>2336</v>
      </c>
      <c r="H1238" s="99">
        <v>45775</v>
      </c>
      <c r="I1238" s="91">
        <v>42.054000000000002</v>
      </c>
      <c r="J1238" s="91">
        <v>56.116999999999997</v>
      </c>
      <c r="K1238" s="91">
        <v>2.4</v>
      </c>
      <c r="L1238" s="91">
        <v>0.16600000000000001</v>
      </c>
      <c r="M1238" s="91">
        <v>0</v>
      </c>
      <c r="N1238" s="91">
        <v>18.192</v>
      </c>
      <c r="O1238" s="91">
        <v>5.6000000000000001E-2</v>
      </c>
      <c r="P1238" s="91">
        <v>0</v>
      </c>
      <c r="Q1238" s="91">
        <v>0</v>
      </c>
      <c r="R1238" s="91">
        <v>0</v>
      </c>
      <c r="S1238" s="91">
        <v>0</v>
      </c>
      <c r="T1238" s="91">
        <v>21.225999999999999</v>
      </c>
      <c r="U1238" s="91">
        <v>0</v>
      </c>
      <c r="V1238" s="91">
        <v>0</v>
      </c>
      <c r="W1238" s="91">
        <v>0</v>
      </c>
      <c r="X1238" s="91">
        <v>0</v>
      </c>
      <c r="Y1238" s="91">
        <v>1.2999999999999999E-2</v>
      </c>
      <c r="Z1238" s="91">
        <v>0</v>
      </c>
      <c r="AA1238" s="88" t="s">
        <v>3116</v>
      </c>
      <c r="AB1238" s="88" t="s">
        <v>3116</v>
      </c>
      <c r="AC1238" s="88" t="s">
        <v>3117</v>
      </c>
      <c r="AD1238" s="88" t="s">
        <v>3117</v>
      </c>
      <c r="AE1238" s="87">
        <v>45775</v>
      </c>
      <c r="AF1238" s="133" t="s">
        <v>3118</v>
      </c>
      <c r="AG1238" t="e">
        <f>VLOOKUP(OfficeForms.Table[[#This Row],[Nama Proyek]],'Nama Proyek'!$D$2:$G$29,4,0)</f>
        <v>#N/A</v>
      </c>
      <c r="AH1238" s="5"/>
      <c r="AI1238" s="5"/>
      <c r="AJ1238" s="5"/>
      <c r="AK1238" s="5"/>
    </row>
    <row r="1239" spans="1:37">
      <c r="A1239" s="50">
        <v>153</v>
      </c>
      <c r="B1239" s="109">
        <v>45776.557442129597</v>
      </c>
      <c r="C1239" s="85">
        <v>45776.564097222203</v>
      </c>
      <c r="D1239" s="64" t="s">
        <v>2525</v>
      </c>
      <c r="E1239" s="64" t="s">
        <v>47</v>
      </c>
      <c r="F1239" s="5" t="s">
        <v>214</v>
      </c>
      <c r="G1239" s="64" t="s">
        <v>2734</v>
      </c>
      <c r="H1239" s="99">
        <v>45772</v>
      </c>
      <c r="I1239" s="91">
        <v>17.591000000000001</v>
      </c>
      <c r="J1239" s="91">
        <v>28.068000000000001</v>
      </c>
      <c r="K1239" s="91">
        <v>0.745</v>
      </c>
      <c r="L1239" s="91">
        <v>0.13400000000000001</v>
      </c>
      <c r="M1239" s="91">
        <v>1.4999999999999999E-2</v>
      </c>
      <c r="N1239" s="91">
        <v>3.2290000000000001</v>
      </c>
      <c r="O1239" s="91">
        <v>0.34699999999999998</v>
      </c>
      <c r="P1239" s="91">
        <v>3.5999999999999997E-2</v>
      </c>
      <c r="Q1239" s="91">
        <v>2E-3</v>
      </c>
      <c r="R1239" s="91">
        <v>3.4000000000000002E-2</v>
      </c>
      <c r="S1239" s="91">
        <v>4.1000000000000002E-2</v>
      </c>
      <c r="T1239" s="91">
        <v>7.2530000000000001</v>
      </c>
      <c r="U1239" s="91"/>
      <c r="V1239" s="91"/>
      <c r="W1239" s="91"/>
      <c r="X1239" s="91"/>
      <c r="Y1239" s="91"/>
      <c r="Z1239" s="91"/>
      <c r="AA1239" s="88" t="s">
        <v>3119</v>
      </c>
      <c r="AB1239" s="88" t="s">
        <v>3120</v>
      </c>
      <c r="AC1239" s="88" t="s">
        <v>3121</v>
      </c>
      <c r="AD1239" s="88"/>
      <c r="AE1239" s="87"/>
      <c r="AF1239" s="133"/>
      <c r="AG1239" t="str">
        <f>VLOOKUP(OfficeForms.Table[[#This Row],[Nama Proyek]],'Nama Proyek'!$D$2:$G$40,4,0)</f>
        <v>-6.8812050213,106.7893827682</v>
      </c>
      <c r="AH1239" s="5"/>
      <c r="AI1239" s="5"/>
      <c r="AJ1239" s="5"/>
      <c r="AK1239" s="5"/>
    </row>
    <row r="1240" spans="1:37" ht="203.25">
      <c r="A1240" s="50">
        <v>154</v>
      </c>
      <c r="B1240" s="109">
        <v>45776.629560185203</v>
      </c>
      <c r="C1240" s="85">
        <v>45776.629699074103</v>
      </c>
      <c r="D1240" s="64" t="s">
        <v>3051</v>
      </c>
      <c r="E1240" s="64" t="s">
        <v>3052</v>
      </c>
      <c r="F1240" s="5" t="s">
        <v>3052</v>
      </c>
      <c r="G1240" s="64" t="s">
        <v>2267</v>
      </c>
      <c r="H1240" s="99">
        <v>45774</v>
      </c>
      <c r="I1240" s="91">
        <v>61.356000000000002</v>
      </c>
      <c r="J1240" s="91">
        <v>79.402000000000001</v>
      </c>
      <c r="K1240" s="91">
        <v>1.819</v>
      </c>
      <c r="L1240" s="91">
        <v>0.26100000000000001</v>
      </c>
      <c r="M1240" s="91">
        <v>3.3000000000000002E-2</v>
      </c>
      <c r="N1240" s="91">
        <v>6.8159999999999998</v>
      </c>
      <c r="O1240" s="91">
        <v>1.9419999999999999</v>
      </c>
      <c r="P1240" s="91">
        <v>0.35499999999999998</v>
      </c>
      <c r="Q1240" s="91">
        <v>3.1E-2</v>
      </c>
      <c r="R1240" s="91">
        <v>0.247</v>
      </c>
      <c r="S1240" s="91">
        <v>0.73399999999999999</v>
      </c>
      <c r="T1240" s="91">
        <v>48.860999999999997</v>
      </c>
      <c r="U1240" s="91">
        <v>0</v>
      </c>
      <c r="V1240" s="91">
        <v>7.9000000000000001E-2</v>
      </c>
      <c r="W1240" s="91">
        <v>8.9999999999999993E-3</v>
      </c>
      <c r="X1240" s="91">
        <v>0</v>
      </c>
      <c r="Y1240" s="91">
        <v>0.17</v>
      </c>
      <c r="Z1240" s="91">
        <v>0</v>
      </c>
      <c r="AA1240" s="88" t="s">
        <v>3122</v>
      </c>
      <c r="AB1240" s="88"/>
      <c r="AC1240" s="88" t="s">
        <v>3123</v>
      </c>
      <c r="AD1240" s="88"/>
      <c r="AE1240" s="87">
        <v>45774</v>
      </c>
      <c r="AF1240" s="133" t="s">
        <v>3124</v>
      </c>
      <c r="AG1240" t="e">
        <f>VLOOKUP(OfficeForms.Table[[#This Row],[Nama Proyek]],'Nama Proyek'!$D$2:$G$29,4,0)</f>
        <v>#N/A</v>
      </c>
      <c r="AH1240" s="5"/>
      <c r="AI1240" s="5"/>
      <c r="AJ1240" s="5"/>
      <c r="AK1240" s="5"/>
    </row>
    <row r="1241" spans="1:37">
      <c r="A1241" s="50">
        <v>155</v>
      </c>
      <c r="B1241" s="109">
        <v>45777.354652777802</v>
      </c>
      <c r="C1241" s="85">
        <v>45777.359571759298</v>
      </c>
      <c r="D1241" s="64" t="s">
        <v>2256</v>
      </c>
      <c r="E1241" s="64" t="s">
        <v>734</v>
      </c>
      <c r="F1241" s="5" t="s">
        <v>734</v>
      </c>
      <c r="G1241" s="64" t="s">
        <v>735</v>
      </c>
      <c r="H1241" s="99">
        <v>45777</v>
      </c>
      <c r="I1241" s="91">
        <v>100</v>
      </c>
      <c r="J1241" s="91">
        <v>100</v>
      </c>
      <c r="K1241" s="91">
        <v>0.42399999999999999</v>
      </c>
      <c r="L1241" s="91">
        <v>2.2189999999999999</v>
      </c>
      <c r="M1241" s="91">
        <v>44.448999999999998</v>
      </c>
      <c r="N1241" s="91">
        <v>43.061</v>
      </c>
      <c r="O1241" s="91"/>
      <c r="P1241" s="91">
        <v>2.5739999999999998</v>
      </c>
      <c r="Q1241" s="91">
        <v>5.0410000000000004</v>
      </c>
      <c r="R1241" s="91"/>
      <c r="S1241" s="91">
        <v>2.2320000000000002</v>
      </c>
      <c r="T1241" s="91"/>
      <c r="U1241" s="91"/>
      <c r="V1241" s="91"/>
      <c r="W1241" s="91"/>
      <c r="X1241" s="91"/>
      <c r="Y1241" s="91"/>
      <c r="Z1241" s="91"/>
      <c r="AA1241" s="88" t="s">
        <v>3125</v>
      </c>
      <c r="AB1241" s="88" t="s">
        <v>3126</v>
      </c>
      <c r="AC1241" s="88" t="s">
        <v>3127</v>
      </c>
      <c r="AD1241" s="88" t="s">
        <v>3127</v>
      </c>
      <c r="AE1241" s="87">
        <v>45777</v>
      </c>
      <c r="AF1241" s="133" t="s">
        <v>3128</v>
      </c>
      <c r="AG1241" t="str">
        <f>VLOOKUP(OfficeForms.Table[[#This Row],[Nama Proyek]],'Nama Proyek'!$D$2:$G$40,4,0)</f>
        <v>-0.88562397,119.85928375</v>
      </c>
      <c r="AH1241" s="5"/>
      <c r="AI1241" s="5"/>
      <c r="AJ1241" s="5"/>
      <c r="AK1241" s="5"/>
    </row>
    <row r="1242" spans="1:37">
      <c r="A1242" s="50">
        <v>156</v>
      </c>
      <c r="B1242" s="109">
        <v>45777.839328703703</v>
      </c>
      <c r="C1242" s="85">
        <v>45777.839826388903</v>
      </c>
      <c r="D1242" s="64" t="s">
        <v>2761</v>
      </c>
      <c r="E1242" s="64" t="s">
        <v>2762</v>
      </c>
      <c r="F1242" s="5" t="s">
        <v>2763</v>
      </c>
      <c r="G1242" s="64" t="s">
        <v>2484</v>
      </c>
      <c r="H1242" s="99">
        <v>45771</v>
      </c>
      <c r="I1242" s="91">
        <v>75.66</v>
      </c>
      <c r="J1242" s="91">
        <v>44.917999999999999</v>
      </c>
      <c r="K1242" s="91">
        <v>0.44400000000000001</v>
      </c>
      <c r="L1242" s="91">
        <v>8.5990000000000002</v>
      </c>
      <c r="M1242" s="91">
        <v>53.954999999999998</v>
      </c>
      <c r="N1242" s="91">
        <v>0</v>
      </c>
      <c r="O1242" s="91">
        <v>3.4910000000000001</v>
      </c>
      <c r="P1242" s="91">
        <v>1.337</v>
      </c>
      <c r="Q1242" s="91">
        <v>7.8040000000000003</v>
      </c>
      <c r="R1242" s="91">
        <v>0</v>
      </c>
      <c r="S1242" s="91">
        <v>0.03</v>
      </c>
      <c r="T1242" s="91"/>
      <c r="U1242" s="91"/>
      <c r="V1242" s="91"/>
      <c r="W1242" s="91"/>
      <c r="X1242" s="91"/>
      <c r="Y1242" s="91"/>
      <c r="Z1242" s="91"/>
      <c r="AA1242" s="88" t="s">
        <v>3129</v>
      </c>
      <c r="AB1242" s="88" t="s">
        <v>3129</v>
      </c>
      <c r="AC1242" s="88" t="s">
        <v>3130</v>
      </c>
      <c r="AD1242" s="88" t="s">
        <v>3130</v>
      </c>
      <c r="AE1242" s="87">
        <v>45771</v>
      </c>
      <c r="AF1242" s="133" t="s">
        <v>3131</v>
      </c>
      <c r="AG1242" t="str">
        <f>VLOOKUP(OfficeForms.Table[[#This Row],[Nama Proyek]],'Nama Proyek'!$D$2:$G$29,4,0)</f>
        <v>-8.30961900,112.11101000</v>
      </c>
      <c r="AH1242" s="5"/>
      <c r="AI1242" s="5"/>
      <c r="AJ1242" s="5"/>
      <c r="AK1242" s="5"/>
    </row>
    <row r="1243" spans="1:37">
      <c r="A1243" s="50">
        <v>157</v>
      </c>
      <c r="B1243" s="109">
        <v>45779.375625000001</v>
      </c>
      <c r="C1243" s="85">
        <v>45779.379965277803</v>
      </c>
      <c r="D1243" s="64" t="s">
        <v>2580</v>
      </c>
      <c r="E1243" s="64" t="s">
        <v>57</v>
      </c>
      <c r="F1243" s="5" t="s">
        <v>57</v>
      </c>
      <c r="G1243" s="64" t="s">
        <v>1484</v>
      </c>
      <c r="H1243" s="99">
        <v>45772</v>
      </c>
      <c r="I1243" s="91">
        <v>82.018000000000001</v>
      </c>
      <c r="J1243" s="91">
        <v>71.509</v>
      </c>
      <c r="K1243" s="91">
        <v>1.31</v>
      </c>
      <c r="L1243" s="91">
        <v>3.8340000000000001</v>
      </c>
      <c r="M1243" s="91">
        <v>31.873000000000001</v>
      </c>
      <c r="N1243" s="91"/>
      <c r="O1243" s="91">
        <v>0.99299999999999999</v>
      </c>
      <c r="P1243" s="91">
        <v>1.1100000000000001</v>
      </c>
      <c r="Q1243" s="91">
        <v>42.718000000000004</v>
      </c>
      <c r="R1243" s="91"/>
      <c r="S1243" s="91">
        <v>0.18</v>
      </c>
      <c r="T1243" s="91"/>
      <c r="U1243" s="91"/>
      <c r="V1243" s="91"/>
      <c r="W1243" s="91"/>
      <c r="X1243" s="91"/>
      <c r="Y1243" s="91"/>
      <c r="Z1243" s="91"/>
      <c r="AA1243" s="88" t="s">
        <v>3132</v>
      </c>
      <c r="AB1243" s="88" t="s">
        <v>3133</v>
      </c>
      <c r="AC1243" s="88" t="s">
        <v>3134</v>
      </c>
      <c r="AD1243" s="88" t="s">
        <v>3134</v>
      </c>
      <c r="AE1243" s="87">
        <v>45772</v>
      </c>
      <c r="AF1243" s="133" t="s">
        <v>3135</v>
      </c>
      <c r="AG1243" t="str">
        <f>VLOOKUP(OfficeForms.Table[[#This Row],[Nama Proyek]],'Nama Proyek'!$D$2:$G$29,4,0)</f>
        <v>-8.01003300,110.33312900</v>
      </c>
      <c r="AH1243" s="5"/>
      <c r="AI1243" s="5"/>
      <c r="AJ1243" s="5"/>
      <c r="AK1243" s="5"/>
    </row>
    <row r="1244" spans="1:37">
      <c r="A1244" s="50">
        <v>158</v>
      </c>
      <c r="B1244" s="109">
        <v>45782.323611111096</v>
      </c>
      <c r="C1244" s="85">
        <v>45782.327129629601</v>
      </c>
      <c r="D1244" s="64" t="s">
        <v>2256</v>
      </c>
      <c r="E1244" s="64" t="s">
        <v>734</v>
      </c>
      <c r="F1244" s="5" t="s">
        <v>734</v>
      </c>
      <c r="G1244" s="64" t="s">
        <v>735</v>
      </c>
      <c r="H1244" s="99">
        <v>45777</v>
      </c>
      <c r="I1244" s="91"/>
      <c r="J1244" s="91">
        <v>100</v>
      </c>
      <c r="K1244" s="91"/>
      <c r="L1244" s="91"/>
      <c r="M1244" s="91"/>
      <c r="N1244" s="91"/>
      <c r="O1244" s="91"/>
      <c r="P1244" s="91"/>
      <c r="Q1244" s="91"/>
      <c r="R1244" s="91"/>
      <c r="S1244" s="91"/>
      <c r="T1244" s="91"/>
      <c r="U1244" s="91"/>
      <c r="V1244" s="91"/>
      <c r="W1244" s="91"/>
      <c r="X1244" s="91"/>
      <c r="Y1244" s="91"/>
      <c r="Z1244" s="91"/>
      <c r="AA1244" s="88"/>
      <c r="AB1244" s="88"/>
      <c r="AC1244" s="88" t="s">
        <v>3136</v>
      </c>
      <c r="AD1244" s="88" t="s">
        <v>3137</v>
      </c>
      <c r="AE1244" s="87"/>
      <c r="AF1244" s="133"/>
      <c r="AG1244" t="str">
        <f>VLOOKUP(OfficeForms.Table[[#This Row],[Nama Proyek]],'Nama Proyek'!$D$2:$G$40,4,0)</f>
        <v>-0.88562397,119.85928375</v>
      </c>
      <c r="AH1244" s="5"/>
      <c r="AI1244" s="5"/>
      <c r="AJ1244" s="5"/>
      <c r="AK1244" s="5"/>
    </row>
    <row r="1245" spans="1:37" ht="121.5">
      <c r="A1245" s="50">
        <v>159</v>
      </c>
      <c r="B1245" s="109">
        <v>45782.424062500002</v>
      </c>
      <c r="C1245" s="85">
        <v>45782.437210648102</v>
      </c>
      <c r="D1245" s="64" t="s">
        <v>2600</v>
      </c>
      <c r="E1245" s="64" t="s">
        <v>855</v>
      </c>
      <c r="F1245" s="5" t="s">
        <v>855</v>
      </c>
      <c r="G1245" s="64" t="s">
        <v>2601</v>
      </c>
      <c r="H1245" s="99">
        <v>45774</v>
      </c>
      <c r="I1245" s="91">
        <v>61.314</v>
      </c>
      <c r="J1245" s="91">
        <v>60.76</v>
      </c>
      <c r="K1245" s="91">
        <v>0.83799999999999997</v>
      </c>
      <c r="L1245" s="91">
        <v>0.24399999999999999</v>
      </c>
      <c r="M1245" s="91">
        <v>2.3780000000000001</v>
      </c>
      <c r="N1245" s="91"/>
      <c r="O1245" s="91">
        <v>0.08</v>
      </c>
      <c r="P1245" s="91">
        <v>0.66100000000000003</v>
      </c>
      <c r="Q1245" s="91">
        <v>57.091999999999999</v>
      </c>
      <c r="R1245" s="91"/>
      <c r="S1245" s="91">
        <v>2.1999999999999999E-2</v>
      </c>
      <c r="T1245" s="91"/>
      <c r="U1245" s="91"/>
      <c r="V1245" s="91"/>
      <c r="W1245" s="91"/>
      <c r="X1245" s="91"/>
      <c r="Y1245" s="91"/>
      <c r="Z1245" s="91"/>
      <c r="AA1245" s="88" t="s">
        <v>3138</v>
      </c>
      <c r="AB1245" s="88" t="s">
        <v>3139</v>
      </c>
      <c r="AC1245" s="88" t="s">
        <v>2659</v>
      </c>
      <c r="AD1245" s="88" t="s">
        <v>3140</v>
      </c>
      <c r="AE1245" s="87">
        <v>45774</v>
      </c>
      <c r="AF1245" s="133" t="s">
        <v>3141</v>
      </c>
      <c r="AG1245" t="str">
        <f>VLOOKUP(OfficeForms.Table[[#This Row],[Nama Proyek]],'Nama Proyek'!$D$2:$G$29,4,0)</f>
        <v>-1.13731907,116.79020552</v>
      </c>
      <c r="AH1245" s="5"/>
      <c r="AI1245" s="5"/>
      <c r="AJ1245" s="5"/>
      <c r="AK1245" s="5"/>
    </row>
    <row r="1246" spans="1:37" ht="381.75">
      <c r="A1246" s="50">
        <v>160</v>
      </c>
      <c r="B1246" s="109">
        <v>45782.786423611098</v>
      </c>
      <c r="C1246" s="85">
        <v>45782.796458333301</v>
      </c>
      <c r="D1246" s="64" t="s">
        <v>2718</v>
      </c>
      <c r="E1246" s="64" t="s">
        <v>82</v>
      </c>
      <c r="F1246" s="5" t="s">
        <v>82</v>
      </c>
      <c r="G1246" s="64" t="s">
        <v>1317</v>
      </c>
      <c r="H1246" s="99">
        <v>45781</v>
      </c>
      <c r="I1246" s="91">
        <v>70.023471047019498</v>
      </c>
      <c r="J1246" s="91">
        <v>86.418151315098299</v>
      </c>
      <c r="K1246" s="91">
        <v>1.0860723348335599</v>
      </c>
      <c r="L1246" s="91">
        <v>0.190534974305579</v>
      </c>
      <c r="M1246" s="91">
        <v>7.1633232799274998E-2</v>
      </c>
      <c r="N1246" s="91">
        <v>33.526682669567599</v>
      </c>
      <c r="O1246" s="91">
        <v>0.20766945398049999</v>
      </c>
      <c r="P1246" s="91">
        <v>0.346653932028895</v>
      </c>
      <c r="Q1246" s="91">
        <v>8.5367365413936899E-2</v>
      </c>
      <c r="R1246" s="91">
        <v>1.099756144316</v>
      </c>
      <c r="S1246" s="91">
        <v>4.2048841823495602</v>
      </c>
      <c r="T1246" s="91">
        <v>22.484898258142302</v>
      </c>
      <c r="U1246" s="91">
        <v>0</v>
      </c>
      <c r="V1246" s="91">
        <v>6.70698792229327</v>
      </c>
      <c r="W1246" s="91">
        <v>0</v>
      </c>
      <c r="X1246" s="91">
        <v>0</v>
      </c>
      <c r="Y1246" s="91">
        <v>1.2330576988978799E-2</v>
      </c>
      <c r="Z1246" s="91">
        <v>0</v>
      </c>
      <c r="AA1246" s="88" t="s">
        <v>3142</v>
      </c>
      <c r="AB1246" s="88" t="s">
        <v>2836</v>
      </c>
      <c r="AC1246" s="88" t="s">
        <v>3143</v>
      </c>
      <c r="AD1246" s="88" t="s">
        <v>3143</v>
      </c>
      <c r="AE1246" s="87">
        <v>45781</v>
      </c>
      <c r="AF1246" s="133" t="s">
        <v>3144</v>
      </c>
      <c r="AG1246" t="str">
        <f>VLOOKUP(OfficeForms.Table[[#This Row],[Nama Proyek]],'Nama Proyek'!$D$2:$G$29,4,0)</f>
        <v>-7.72647690,113.63515320</v>
      </c>
      <c r="AH1246" s="5"/>
      <c r="AI1246" s="5"/>
      <c r="AJ1246" s="5"/>
      <c r="AK1246" s="5"/>
    </row>
    <row r="1247" spans="1:37" ht="30.75">
      <c r="A1247" s="50">
        <v>161</v>
      </c>
      <c r="B1247" s="109">
        <v>45803.603761574101</v>
      </c>
      <c r="C1247" s="85">
        <v>45803.609409722201</v>
      </c>
      <c r="D1247" s="64" t="s">
        <v>2761</v>
      </c>
      <c r="E1247" s="64" t="s">
        <v>2762</v>
      </c>
      <c r="F1247" s="5" t="s">
        <v>2762</v>
      </c>
      <c r="G1247" s="64" t="s">
        <v>2484</v>
      </c>
      <c r="H1247" s="99">
        <v>45799</v>
      </c>
      <c r="I1247" s="91">
        <v>83.241</v>
      </c>
      <c r="J1247" s="91">
        <v>48.985999999999997</v>
      </c>
      <c r="K1247" s="91">
        <v>0.52500000000000002</v>
      </c>
      <c r="L1247" s="91">
        <v>9382</v>
      </c>
      <c r="M1247" s="91">
        <v>54.161999999999999</v>
      </c>
      <c r="N1247" s="91"/>
      <c r="O1247" s="91">
        <v>6.3869999999999996</v>
      </c>
      <c r="P1247" s="91">
        <v>4.8159999999999998</v>
      </c>
      <c r="Q1247" s="91">
        <v>7.9189999999999996</v>
      </c>
      <c r="R1247" s="91"/>
      <c r="S1247" s="91">
        <v>0.05</v>
      </c>
      <c r="T1247" s="91"/>
      <c r="U1247" s="91"/>
      <c r="V1247" s="91"/>
      <c r="W1247" s="91"/>
      <c r="X1247" s="91"/>
      <c r="Y1247" s="91"/>
      <c r="Z1247" s="91"/>
      <c r="AA1247" s="88" t="s">
        <v>3145</v>
      </c>
      <c r="AB1247" s="88" t="s">
        <v>3146</v>
      </c>
      <c r="AC1247" s="88" t="s">
        <v>3146</v>
      </c>
      <c r="AD1247" s="88" t="s">
        <v>3146</v>
      </c>
      <c r="AE1247" s="87">
        <v>45799</v>
      </c>
      <c r="AF1247" s="133" t="s">
        <v>3147</v>
      </c>
      <c r="AG1247" t="str">
        <f>VLOOKUP(OfficeForms.Table[[#This Row],[Nama Proyek]],'Nama Proyek'!$D$2:$G$29,4,0)</f>
        <v>-8.30961900,112.11101000</v>
      </c>
      <c r="AH1247" s="5"/>
      <c r="AI1247" s="5"/>
      <c r="AJ1247" s="5"/>
      <c r="AK1247" s="5"/>
    </row>
    <row r="1248" spans="1:37" ht="121.5">
      <c r="A1248" s="50">
        <v>162</v>
      </c>
      <c r="B1248" s="109">
        <v>45804.632175925901</v>
      </c>
      <c r="C1248" s="85">
        <v>45804.6641087963</v>
      </c>
      <c r="D1248" s="64" t="s">
        <v>2600</v>
      </c>
      <c r="E1248" s="64" t="s">
        <v>855</v>
      </c>
      <c r="F1248" s="5" t="s">
        <v>855</v>
      </c>
      <c r="G1248" s="64" t="s">
        <v>2601</v>
      </c>
      <c r="H1248" s="99">
        <v>45802</v>
      </c>
      <c r="I1248" s="91">
        <v>62.594000000000001</v>
      </c>
      <c r="J1248" s="91">
        <v>62.180999999999997</v>
      </c>
      <c r="K1248" s="91">
        <v>0.83799999999999997</v>
      </c>
      <c r="L1248" s="91">
        <v>0.24299999999999999</v>
      </c>
      <c r="M1248" s="91">
        <v>2.38</v>
      </c>
      <c r="N1248" s="91"/>
      <c r="O1248" s="91">
        <v>0.08</v>
      </c>
      <c r="P1248" s="91">
        <v>0.625</v>
      </c>
      <c r="Q1248" s="91">
        <v>58.405999999999999</v>
      </c>
      <c r="R1248" s="91"/>
      <c r="S1248" s="91">
        <v>2.1999999999999999E-2</v>
      </c>
      <c r="T1248" s="91"/>
      <c r="U1248" s="91"/>
      <c r="V1248" s="91"/>
      <c r="W1248" s="91"/>
      <c r="X1248" s="91"/>
      <c r="Y1248" s="91"/>
      <c r="Z1248" s="91"/>
      <c r="AA1248" s="88" t="s">
        <v>3148</v>
      </c>
      <c r="AB1248" s="88" t="s">
        <v>3149</v>
      </c>
      <c r="AC1248" s="88" t="s">
        <v>2659</v>
      </c>
      <c r="AD1248" s="88" t="s">
        <v>3150</v>
      </c>
      <c r="AE1248" s="87">
        <v>45802</v>
      </c>
      <c r="AF1248" s="133" t="s">
        <v>3151</v>
      </c>
      <c r="AG1248" t="str">
        <f>VLOOKUP(OfficeForms.Table[[#This Row],[Nama Proyek]],'Nama Proyek'!$D$2:$G$29,4,0)</f>
        <v>-1.13731907,116.79020552</v>
      </c>
      <c r="AH1248" s="5"/>
      <c r="AI1248" s="5"/>
      <c r="AJ1248" s="5"/>
      <c r="AK1248" s="5"/>
    </row>
    <row r="1249" spans="1:37" ht="409.6">
      <c r="A1249" s="50">
        <v>163</v>
      </c>
      <c r="B1249" s="109">
        <v>45804.713946759301</v>
      </c>
      <c r="C1249" s="85">
        <v>45804.713981481502</v>
      </c>
      <c r="D1249" s="64" t="s">
        <v>2546</v>
      </c>
      <c r="E1249" s="64" t="s">
        <v>85</v>
      </c>
      <c r="F1249" s="5" t="s">
        <v>85</v>
      </c>
      <c r="G1249" s="64" t="s">
        <v>2336</v>
      </c>
      <c r="H1249" s="99">
        <v>45802</v>
      </c>
      <c r="I1249" s="91">
        <v>44.523000000000003</v>
      </c>
      <c r="J1249" s="91">
        <v>61.732999999999997</v>
      </c>
      <c r="K1249" s="91">
        <v>2.4169999999999998</v>
      </c>
      <c r="L1249" s="91">
        <v>0.16600000000000001</v>
      </c>
      <c r="M1249" s="91">
        <v>0</v>
      </c>
      <c r="N1249" s="91">
        <v>18.544</v>
      </c>
      <c r="O1249" s="91">
        <v>6.5000000000000002E-2</v>
      </c>
      <c r="P1249" s="91">
        <v>0</v>
      </c>
      <c r="Q1249" s="91">
        <v>0</v>
      </c>
      <c r="R1249" s="91">
        <v>0</v>
      </c>
      <c r="S1249" s="91">
        <v>0</v>
      </c>
      <c r="T1249" s="91">
        <v>23.303000000000001</v>
      </c>
      <c r="U1249" s="91">
        <v>0</v>
      </c>
      <c r="V1249" s="91">
        <v>0</v>
      </c>
      <c r="W1249" s="91">
        <v>0</v>
      </c>
      <c r="X1249" s="91">
        <v>0</v>
      </c>
      <c r="Y1249" s="91">
        <v>2.7E-2</v>
      </c>
      <c r="Z1249" s="91">
        <v>0</v>
      </c>
      <c r="AA1249" s="88" t="s">
        <v>3152</v>
      </c>
      <c r="AB1249" s="88" t="s">
        <v>3152</v>
      </c>
      <c r="AC1249" s="88" t="s">
        <v>3153</v>
      </c>
      <c r="AD1249" s="88" t="s">
        <v>3153</v>
      </c>
      <c r="AE1249" s="87">
        <v>45802</v>
      </c>
      <c r="AF1249" s="133" t="s">
        <v>3154</v>
      </c>
      <c r="AG1249" t="e">
        <f>VLOOKUP(OfficeForms.Table[[#This Row],[Nama Proyek]],'Nama Proyek'!$D$2:$G$29,4,0)</f>
        <v>#N/A</v>
      </c>
      <c r="AH1249" s="5"/>
      <c r="AI1249" s="5"/>
      <c r="AJ1249" s="5"/>
      <c r="AK1249" s="5"/>
    </row>
    <row r="1250" spans="1:37" ht="213">
      <c r="A1250" s="50">
        <v>164</v>
      </c>
      <c r="B1250" s="109">
        <v>45804.8820949074</v>
      </c>
      <c r="C1250" s="85">
        <v>45804.8930555556</v>
      </c>
      <c r="D1250" s="64" t="s">
        <v>3051</v>
      </c>
      <c r="E1250" s="64" t="s">
        <v>3052</v>
      </c>
      <c r="F1250" s="5" t="s">
        <v>3052</v>
      </c>
      <c r="G1250" s="64" t="s">
        <v>2267</v>
      </c>
      <c r="H1250" s="99">
        <v>45802</v>
      </c>
      <c r="I1250" s="91">
        <v>68.45</v>
      </c>
      <c r="J1250" s="91">
        <v>87.055999999999997</v>
      </c>
      <c r="K1250" s="91">
        <v>5.6000000000000001E-2</v>
      </c>
      <c r="L1250" s="91">
        <v>0.02</v>
      </c>
      <c r="M1250" s="91">
        <v>4.0000000000000001E-3</v>
      </c>
      <c r="N1250" s="91">
        <v>2.4470000000000001</v>
      </c>
      <c r="O1250" s="91">
        <v>2E-3</v>
      </c>
      <c r="P1250" s="91">
        <v>0.55900000000000005</v>
      </c>
      <c r="Q1250" s="91">
        <v>2.5000000000000001E-2</v>
      </c>
      <c r="R1250" s="91">
        <v>0.35699999999999998</v>
      </c>
      <c r="S1250" s="91">
        <v>1.4319999999999999</v>
      </c>
      <c r="T1250" s="91">
        <v>0.97</v>
      </c>
      <c r="U1250" s="91">
        <v>0.129</v>
      </c>
      <c r="V1250" s="91">
        <v>1.8620000000000001</v>
      </c>
      <c r="W1250" s="91">
        <v>8.1000000000000003E-2</v>
      </c>
      <c r="X1250" s="91">
        <v>0</v>
      </c>
      <c r="Y1250" s="91">
        <v>0.22900000000000001</v>
      </c>
      <c r="Z1250" s="91">
        <v>0</v>
      </c>
      <c r="AA1250" s="88" t="s">
        <v>3155</v>
      </c>
      <c r="AB1250" s="88" t="s">
        <v>3156</v>
      </c>
      <c r="AC1250" s="88" t="s">
        <v>3157</v>
      </c>
      <c r="AD1250" s="162" t="s">
        <v>2297</v>
      </c>
      <c r="AE1250" s="87">
        <v>45802</v>
      </c>
      <c r="AF1250" s="133" t="s">
        <v>3158</v>
      </c>
      <c r="AG1250" t="e">
        <f>VLOOKUP(OfficeForms.Table[[#This Row],[Nama Proyek]],'Nama Proyek'!$D$2:$G$29,4,0)</f>
        <v>#N/A</v>
      </c>
      <c r="AH1250" s="5"/>
      <c r="AI1250" s="5"/>
      <c r="AJ1250" s="5"/>
      <c r="AK1250" s="5"/>
    </row>
    <row r="1251" spans="1:37">
      <c r="A1251" s="50">
        <v>165</v>
      </c>
      <c r="B1251" s="109">
        <v>45805.546689814801</v>
      </c>
      <c r="C1251" s="85">
        <v>45805.5527083333</v>
      </c>
      <c r="D1251" s="64" t="s">
        <v>2525</v>
      </c>
      <c r="E1251" s="64" t="s">
        <v>47</v>
      </c>
      <c r="F1251" s="5" t="s">
        <v>214</v>
      </c>
      <c r="G1251" s="64" t="s">
        <v>2734</v>
      </c>
      <c r="H1251" s="99">
        <v>45802</v>
      </c>
      <c r="I1251" s="91">
        <v>20.091000000000001</v>
      </c>
      <c r="J1251" s="91">
        <v>31.731000000000002</v>
      </c>
      <c r="K1251" s="91">
        <v>0.9</v>
      </c>
      <c r="L1251" s="91">
        <v>0.13400000000000001</v>
      </c>
      <c r="M1251" s="91">
        <v>1.4999999999999999E-2</v>
      </c>
      <c r="N1251" s="91">
        <v>3.609</v>
      </c>
      <c r="O1251" s="91">
        <v>0.43099999999999999</v>
      </c>
      <c r="P1251" s="91">
        <v>3.9E-2</v>
      </c>
      <c r="Q1251" s="91">
        <v>2E-3</v>
      </c>
      <c r="R1251" s="91">
        <v>3.4000000000000002E-2</v>
      </c>
      <c r="S1251" s="91">
        <v>4.2000000000000003E-2</v>
      </c>
      <c r="T1251" s="91">
        <v>9.3209999999999997</v>
      </c>
      <c r="U1251" s="91"/>
      <c r="V1251" s="91"/>
      <c r="W1251" s="91"/>
      <c r="X1251" s="91"/>
      <c r="Y1251" s="91">
        <v>4.7E-2</v>
      </c>
      <c r="Z1251" s="91"/>
      <c r="AA1251" s="88" t="s">
        <v>3159</v>
      </c>
      <c r="AB1251" s="88" t="s">
        <v>3160</v>
      </c>
      <c r="AC1251" s="88" t="s">
        <v>3161</v>
      </c>
      <c r="AD1251" s="88"/>
      <c r="AE1251" s="87"/>
      <c r="AF1251" s="133"/>
      <c r="AG1251" t="str">
        <f>VLOOKUP(OfficeForms.Table[[#This Row],[Nama Proyek]],'Nama Proyek'!$D$2:$G$40,4,0)</f>
        <v>-6.8812050213,106.7893827682</v>
      </c>
      <c r="AH1251" s="5"/>
      <c r="AI1251" s="5"/>
      <c r="AJ1251" s="5"/>
      <c r="AK1251" s="5"/>
    </row>
    <row r="1252" spans="1:37" ht="244.5">
      <c r="A1252" s="50">
        <v>166</v>
      </c>
      <c r="B1252" s="109">
        <v>45808.867581018501</v>
      </c>
      <c r="C1252" s="85">
        <v>45808.874421296299</v>
      </c>
      <c r="D1252" s="64" t="s">
        <v>2718</v>
      </c>
      <c r="E1252" s="64" t="s">
        <v>82</v>
      </c>
      <c r="F1252" s="5" t="s">
        <v>82</v>
      </c>
      <c r="G1252" s="64" t="s">
        <v>1317</v>
      </c>
      <c r="H1252" s="99">
        <v>45808</v>
      </c>
      <c r="I1252" s="91">
        <v>73.252232113450603</v>
      </c>
      <c r="J1252" s="91">
        <v>98.324360609530004</v>
      </c>
      <c r="K1252" s="91">
        <v>1.10014958881096</v>
      </c>
      <c r="L1252" s="91">
        <v>0.19184806712077901</v>
      </c>
      <c r="M1252" s="91">
        <v>7.1633232799274998E-2</v>
      </c>
      <c r="N1252" s="91">
        <v>33.530184843308703</v>
      </c>
      <c r="O1252" s="91">
        <v>0.22079091548202601</v>
      </c>
      <c r="P1252" s="91">
        <v>0.61322650560699399</v>
      </c>
      <c r="Q1252" s="91">
        <v>8.5367365413936899E-2</v>
      </c>
      <c r="R1252" s="91">
        <v>1.21258605453143</v>
      </c>
      <c r="S1252" s="91">
        <v>5.6500125247878499</v>
      </c>
      <c r="T1252" s="91">
        <v>23.642649863657699</v>
      </c>
      <c r="U1252" s="91">
        <v>0</v>
      </c>
      <c r="V1252" s="91">
        <v>6.9213565582768801</v>
      </c>
      <c r="W1252" s="91">
        <v>0</v>
      </c>
      <c r="X1252" s="91">
        <v>0</v>
      </c>
      <c r="Y1252" s="91">
        <v>1.2330576988978799E-2</v>
      </c>
      <c r="Z1252" s="91">
        <v>0</v>
      </c>
      <c r="AA1252" s="88" t="s">
        <v>3162</v>
      </c>
      <c r="AB1252" s="88" t="s">
        <v>1319</v>
      </c>
      <c r="AC1252" s="88" t="s">
        <v>3163</v>
      </c>
      <c r="AD1252" s="88" t="s">
        <v>3163</v>
      </c>
      <c r="AE1252" s="87">
        <v>45808</v>
      </c>
      <c r="AF1252" s="133" t="s">
        <v>3164</v>
      </c>
      <c r="AG1252" t="str">
        <f>VLOOKUP(OfficeForms.Table[[#This Row],[Nama Proyek]],'Nama Proyek'!$D$2:$G$29,4,0)</f>
        <v>-7.72647690,113.63515320</v>
      </c>
      <c r="AH1252" s="5"/>
      <c r="AI1252" s="5"/>
      <c r="AJ1252" s="5"/>
      <c r="AK1252" s="5"/>
    </row>
    <row r="1253" spans="1:37">
      <c r="A1253" s="50">
        <v>167</v>
      </c>
      <c r="B1253" s="109">
        <v>45808.883946759299</v>
      </c>
      <c r="C1253" s="85">
        <v>45808.887071759302</v>
      </c>
      <c r="D1253" s="64" t="s">
        <v>2580</v>
      </c>
      <c r="E1253" s="64" t="s">
        <v>57</v>
      </c>
      <c r="F1253" s="5" t="s">
        <v>57</v>
      </c>
      <c r="G1253" s="64" t="s">
        <v>1484</v>
      </c>
      <c r="H1253" s="99">
        <v>45802</v>
      </c>
      <c r="I1253" s="91">
        <v>84.647999999999996</v>
      </c>
      <c r="J1253" s="91">
        <v>77.971000000000004</v>
      </c>
      <c r="K1253" s="91">
        <v>1.3460000000000001</v>
      </c>
      <c r="L1253" s="91">
        <v>4.1050000000000004</v>
      </c>
      <c r="M1253" s="91">
        <v>33.116999999999997</v>
      </c>
      <c r="N1253" s="91"/>
      <c r="O1253" s="91">
        <v>1.425</v>
      </c>
      <c r="P1253" s="91">
        <v>1.1100000000000001</v>
      </c>
      <c r="Q1253" s="91">
        <v>43.365000000000002</v>
      </c>
      <c r="R1253" s="91"/>
      <c r="S1253" s="91">
        <v>0.18</v>
      </c>
      <c r="T1253" s="91"/>
      <c r="U1253" s="91"/>
      <c r="V1253" s="91"/>
      <c r="W1253" s="91"/>
      <c r="X1253" s="91"/>
      <c r="Y1253" s="91"/>
      <c r="Z1253" s="91"/>
      <c r="AA1253" s="88" t="s">
        <v>3165</v>
      </c>
      <c r="AB1253" s="88" t="s">
        <v>3165</v>
      </c>
      <c r="AC1253" s="88" t="s">
        <v>3166</v>
      </c>
      <c r="AD1253" s="88" t="s">
        <v>3166</v>
      </c>
      <c r="AE1253" s="87">
        <v>45802</v>
      </c>
      <c r="AF1253" s="133" t="s">
        <v>3167</v>
      </c>
      <c r="AG1253" t="str">
        <f>VLOOKUP(OfficeForms.Table[[#This Row],[Nama Proyek]],'Nama Proyek'!$D$2:$G$29,4,0)</f>
        <v>-8.01003300,110.33312900</v>
      </c>
      <c r="AH1253" s="5"/>
      <c r="AI1253" s="5"/>
      <c r="AJ1253" s="5"/>
      <c r="AK1253" s="5"/>
    </row>
    <row r="1254" spans="1:37">
      <c r="A1254" s="50">
        <v>168</v>
      </c>
      <c r="B1254" s="109">
        <v>45809.401712963001</v>
      </c>
      <c r="C1254" s="85">
        <v>45809.403576388897</v>
      </c>
      <c r="D1254" s="64" t="s">
        <v>2781</v>
      </c>
      <c r="E1254" s="64" t="s">
        <v>1546</v>
      </c>
      <c r="F1254" s="5" t="s">
        <v>1546</v>
      </c>
      <c r="G1254" s="64" t="s">
        <v>1480</v>
      </c>
      <c r="H1254" s="99">
        <v>45807</v>
      </c>
      <c r="I1254" s="91"/>
      <c r="J1254" s="91"/>
      <c r="K1254" s="91"/>
      <c r="L1254" s="91"/>
      <c r="M1254" s="91"/>
      <c r="N1254" s="91"/>
      <c r="O1254" s="91"/>
      <c r="P1254" s="91"/>
      <c r="Q1254" s="91"/>
      <c r="R1254" s="91"/>
      <c r="S1254" s="91"/>
      <c r="T1254" s="91"/>
      <c r="U1254" s="91"/>
      <c r="V1254" s="91"/>
      <c r="W1254" s="91"/>
      <c r="X1254" s="91"/>
      <c r="Y1254" s="91"/>
      <c r="Z1254" s="91"/>
      <c r="AA1254" s="88" t="s">
        <v>3168</v>
      </c>
      <c r="AB1254" s="88" t="s">
        <v>3169</v>
      </c>
      <c r="AC1254" s="88" t="s">
        <v>3170</v>
      </c>
      <c r="AD1254" s="88" t="s">
        <v>3171</v>
      </c>
      <c r="AE1254" s="87"/>
      <c r="AF1254" s="133"/>
      <c r="AG1254" t="str">
        <f>VLOOKUP(OfficeForms.Table[[#This Row],[Nama Proyek]],'Nama Proyek'!$D$2:$G$29,4,0)</f>
        <v>-6.23191260,107.90813480</v>
      </c>
      <c r="AH1254" s="5"/>
      <c r="AI1254" s="5"/>
      <c r="AJ1254" s="5"/>
      <c r="AK1254" s="5"/>
    </row>
    <row r="1255" spans="1:37">
      <c r="A1255" s="50">
        <v>169</v>
      </c>
      <c r="B1255" s="109">
        <v>45833.476400462998</v>
      </c>
      <c r="C1255" s="85">
        <v>45833.4774189815</v>
      </c>
      <c r="D1255" s="64" t="s">
        <v>2585</v>
      </c>
      <c r="E1255" s="64" t="s">
        <v>2586</v>
      </c>
      <c r="F1255" s="5" t="s">
        <v>1479</v>
      </c>
      <c r="G1255" s="64" t="s">
        <v>1480</v>
      </c>
      <c r="H1255" s="99">
        <v>45830</v>
      </c>
      <c r="I1255" s="91">
        <v>83.39</v>
      </c>
      <c r="J1255" s="91">
        <v>88.69</v>
      </c>
      <c r="K1255" s="91"/>
      <c r="L1255" s="91"/>
      <c r="M1255" s="91"/>
      <c r="N1255" s="91"/>
      <c r="O1255" s="91"/>
      <c r="P1255" s="91"/>
      <c r="Q1255" s="91"/>
      <c r="R1255" s="91"/>
      <c r="S1255" s="91"/>
      <c r="T1255" s="91"/>
      <c r="U1255" s="91"/>
      <c r="V1255" s="91"/>
      <c r="W1255" s="91"/>
      <c r="X1255" s="91"/>
      <c r="Y1255" s="91"/>
      <c r="Z1255" s="91"/>
      <c r="AA1255" s="88"/>
      <c r="AB1255" s="88"/>
      <c r="AC1255" s="88"/>
      <c r="AD1255" s="88"/>
      <c r="AE1255" s="87"/>
      <c r="AF1255" s="133"/>
      <c r="AG1255" t="str">
        <f>VLOOKUP(OfficeForms.Table[[#This Row],[Nama Proyek]],'Nama Proyek'!$D$2:$G$29,4,0)</f>
        <v>-6.23191260,107.90813480</v>
      </c>
      <c r="AH1255" s="5"/>
      <c r="AI1255" s="5"/>
      <c r="AJ1255" s="5"/>
      <c r="AK1255" s="5"/>
    </row>
    <row r="1256" spans="1:37" ht="198">
      <c r="A1256" s="50">
        <v>170</v>
      </c>
      <c r="B1256" s="109">
        <v>45834.410833333299</v>
      </c>
      <c r="C1256" s="85">
        <v>45834.4292824074</v>
      </c>
      <c r="D1256" s="64" t="s">
        <v>3051</v>
      </c>
      <c r="E1256" s="64" t="s">
        <v>3052</v>
      </c>
      <c r="F1256" s="5" t="s">
        <v>3052</v>
      </c>
      <c r="G1256" s="64" t="s">
        <v>2267</v>
      </c>
      <c r="H1256" s="99">
        <v>45830</v>
      </c>
      <c r="I1256" s="91">
        <v>73.72</v>
      </c>
      <c r="J1256" s="91">
        <v>92.79</v>
      </c>
      <c r="K1256" s="91">
        <v>0.90700000000000003</v>
      </c>
      <c r="L1256" s="91">
        <v>0.13400000000000001</v>
      </c>
      <c r="M1256" s="91">
        <v>1.4999999999999999E-2</v>
      </c>
      <c r="N1256" s="91">
        <v>4.117</v>
      </c>
      <c r="O1256" s="91">
        <v>0.49399999999999999</v>
      </c>
      <c r="P1256" s="91">
        <v>4.8000000000000001E-2</v>
      </c>
      <c r="Q1256" s="91">
        <v>4.0000000000000001E-3</v>
      </c>
      <c r="R1256" s="91">
        <v>4.7E-2</v>
      </c>
      <c r="S1256" s="91">
        <v>5.1999999999999998E-2</v>
      </c>
      <c r="T1256" s="91">
        <v>11.574</v>
      </c>
      <c r="U1256" s="91">
        <v>0</v>
      </c>
      <c r="V1256" s="91">
        <v>0</v>
      </c>
      <c r="W1256" s="91">
        <v>0</v>
      </c>
      <c r="X1256" s="91">
        <v>0</v>
      </c>
      <c r="Y1256" s="91">
        <v>4.7E-2</v>
      </c>
      <c r="Z1256" s="91">
        <v>0</v>
      </c>
      <c r="AA1256" s="88" t="s">
        <v>3172</v>
      </c>
      <c r="AB1256" s="88" t="s">
        <v>3173</v>
      </c>
      <c r="AC1256" s="88" t="s">
        <v>3174</v>
      </c>
      <c r="AD1256" s="88"/>
      <c r="AE1256" s="87">
        <v>45830</v>
      </c>
      <c r="AF1256" s="133" t="s">
        <v>3175</v>
      </c>
      <c r="AG1256" t="e">
        <f>VLOOKUP(OfficeForms.Table[[#This Row],[Nama Proyek]],'Nama Proyek'!$D$2:$G$29,4,0)</f>
        <v>#N/A</v>
      </c>
      <c r="AH1256" s="5"/>
      <c r="AI1256" s="5"/>
      <c r="AJ1256" s="5"/>
      <c r="AK1256" s="5"/>
    </row>
    <row r="1257" spans="1:37" ht="351">
      <c r="A1257" s="50">
        <v>171</v>
      </c>
      <c r="B1257" s="109">
        <v>45834.470914351899</v>
      </c>
      <c r="C1257" s="85">
        <v>45834.481805555602</v>
      </c>
      <c r="D1257" s="64" t="s">
        <v>2546</v>
      </c>
      <c r="E1257" s="64" t="s">
        <v>85</v>
      </c>
      <c r="F1257" s="5" t="s">
        <v>85</v>
      </c>
      <c r="G1257" s="64" t="s">
        <v>2336</v>
      </c>
      <c r="H1257" s="99">
        <v>45830</v>
      </c>
      <c r="I1257" s="91">
        <v>47.304000000000002</v>
      </c>
      <c r="J1257" s="91">
        <v>67.513000000000005</v>
      </c>
      <c r="K1257" s="91">
        <v>2.4430000000000001</v>
      </c>
      <c r="L1257" s="91">
        <v>0.16600000000000001</v>
      </c>
      <c r="M1257" s="91">
        <v>0</v>
      </c>
      <c r="N1257" s="91">
        <v>19.065000000000001</v>
      </c>
      <c r="O1257" s="91">
        <v>7.4999999999999997E-2</v>
      </c>
      <c r="P1257" s="91">
        <v>0</v>
      </c>
      <c r="Q1257" s="91">
        <v>0</v>
      </c>
      <c r="R1257" s="91">
        <v>0</v>
      </c>
      <c r="S1257" s="91">
        <v>0</v>
      </c>
      <c r="T1257" s="91">
        <v>25.527999999999999</v>
      </c>
      <c r="U1257" s="91">
        <v>0</v>
      </c>
      <c r="V1257" s="91">
        <v>0</v>
      </c>
      <c r="W1257" s="91">
        <v>0</v>
      </c>
      <c r="X1257" s="91">
        <v>0</v>
      </c>
      <c r="Y1257" s="91">
        <v>2.7E-2</v>
      </c>
      <c r="Z1257" s="91">
        <v>0</v>
      </c>
      <c r="AA1257" s="88" t="s">
        <v>3176</v>
      </c>
      <c r="AB1257" s="88" t="s">
        <v>3176</v>
      </c>
      <c r="AC1257" s="88" t="s">
        <v>3177</v>
      </c>
      <c r="AD1257" s="88" t="s">
        <v>3177</v>
      </c>
      <c r="AE1257" s="87">
        <v>45834</v>
      </c>
      <c r="AF1257" s="133" t="s">
        <v>3178</v>
      </c>
      <c r="AG1257" t="e">
        <f>VLOOKUP(OfficeForms.Table[[#This Row],[Nama Proyek]],'Nama Proyek'!$D$2:$G$29,4,0)</f>
        <v>#N/A</v>
      </c>
      <c r="AH1257" s="5"/>
      <c r="AI1257" s="5"/>
      <c r="AJ1257" s="5"/>
      <c r="AK1257" s="5"/>
    </row>
    <row r="1258" spans="1:37" ht="30.75">
      <c r="A1258" s="50">
        <v>172</v>
      </c>
      <c r="B1258" s="109">
        <v>45838.347384259301</v>
      </c>
      <c r="C1258" s="85">
        <v>45838.355567129598</v>
      </c>
      <c r="D1258" s="64" t="s">
        <v>2761</v>
      </c>
      <c r="E1258" s="64" t="s">
        <v>2762</v>
      </c>
      <c r="F1258" s="5" t="s">
        <v>2762</v>
      </c>
      <c r="G1258" s="64" t="s">
        <v>2484</v>
      </c>
      <c r="H1258" s="99">
        <v>45834</v>
      </c>
      <c r="I1258" s="91">
        <v>83.278999999999996</v>
      </c>
      <c r="J1258" s="91">
        <v>54.393999999999998</v>
      </c>
      <c r="K1258" s="91">
        <v>0.52500000000000002</v>
      </c>
      <c r="L1258" s="91">
        <v>9.4209999999999994</v>
      </c>
      <c r="M1258" s="91">
        <v>54.209000000000003</v>
      </c>
      <c r="N1258" s="91"/>
      <c r="O1258" s="91">
        <v>6.3869999999999996</v>
      </c>
      <c r="P1258" s="91">
        <v>4.8159999999999998</v>
      </c>
      <c r="Q1258" s="91">
        <v>7.9619999999999997</v>
      </c>
      <c r="R1258" s="91"/>
      <c r="S1258" s="91">
        <v>5.8999999999999997E-2</v>
      </c>
      <c r="T1258" s="91"/>
      <c r="U1258" s="91"/>
      <c r="V1258" s="91"/>
      <c r="W1258" s="91"/>
      <c r="X1258" s="91"/>
      <c r="Y1258" s="91"/>
      <c r="Z1258" s="91"/>
      <c r="AA1258" s="88" t="s">
        <v>3179</v>
      </c>
      <c r="AB1258" s="88" t="s">
        <v>3180</v>
      </c>
      <c r="AC1258" s="88" t="s">
        <v>3181</v>
      </c>
      <c r="AD1258" s="88" t="s">
        <v>3182</v>
      </c>
      <c r="AE1258" s="87">
        <v>45834</v>
      </c>
      <c r="AF1258" s="133" t="s">
        <v>3183</v>
      </c>
      <c r="AG1258" t="str">
        <f>VLOOKUP(OfficeForms.Table[[#This Row],[Nama Proyek]],'Nama Proyek'!$D$2:$G$29,4,0)</f>
        <v>-8.30961900,112.11101000</v>
      </c>
      <c r="AH1258" s="5"/>
      <c r="AI1258" s="5"/>
      <c r="AJ1258" s="5"/>
      <c r="AK1258" s="5"/>
    </row>
    <row r="1259" spans="1:37" ht="121.5">
      <c r="A1259" s="50">
        <v>173</v>
      </c>
      <c r="B1259" s="109">
        <v>45838.418900463003</v>
      </c>
      <c r="C1259" s="85">
        <v>45838.4522222222</v>
      </c>
      <c r="D1259" s="64" t="s">
        <v>2600</v>
      </c>
      <c r="E1259" s="64" t="s">
        <v>855</v>
      </c>
      <c r="F1259" s="5" t="s">
        <v>855</v>
      </c>
      <c r="G1259" s="64" t="s">
        <v>2601</v>
      </c>
      <c r="H1259" s="99">
        <v>45833</v>
      </c>
      <c r="I1259" s="91">
        <v>64.614000000000004</v>
      </c>
      <c r="J1259" s="91">
        <v>63.658000000000001</v>
      </c>
      <c r="K1259" s="91">
        <v>0.83799999999999997</v>
      </c>
      <c r="L1259" s="91">
        <v>0.24299999999999999</v>
      </c>
      <c r="M1259" s="91">
        <v>2.5030000000000001</v>
      </c>
      <c r="N1259" s="91"/>
      <c r="O1259" s="91">
        <v>0.08</v>
      </c>
      <c r="P1259" s="91">
        <v>0.625</v>
      </c>
      <c r="Q1259" s="91">
        <v>60.302999999999997</v>
      </c>
      <c r="R1259" s="91"/>
      <c r="S1259" s="91">
        <v>2.1999999999999999E-2</v>
      </c>
      <c r="T1259" s="91"/>
      <c r="U1259" s="91"/>
      <c r="V1259" s="91"/>
      <c r="W1259" s="91"/>
      <c r="X1259" s="91"/>
      <c r="Y1259" s="91"/>
      <c r="Z1259" s="91"/>
      <c r="AA1259" s="88" t="s">
        <v>3184</v>
      </c>
      <c r="AB1259" s="88" t="s">
        <v>3185</v>
      </c>
      <c r="AC1259" s="88" t="s">
        <v>3186</v>
      </c>
      <c r="AD1259" s="88" t="s">
        <v>3187</v>
      </c>
      <c r="AE1259" s="87">
        <v>45833</v>
      </c>
      <c r="AF1259" s="221" t="s">
        <v>3188</v>
      </c>
      <c r="AG1259" t="str">
        <f>VLOOKUP(OfficeForms.Table[[#This Row],[Nama Proyek]],'Nama Proyek'!$D$2:$G$29,4,0)</f>
        <v>-1.13731907,116.79020552</v>
      </c>
      <c r="AH1259" s="5"/>
      <c r="AI1259" s="5"/>
      <c r="AJ1259" s="5"/>
      <c r="AK1259" s="5"/>
    </row>
    <row r="1260" spans="1:37">
      <c r="A1260" s="50">
        <v>174</v>
      </c>
      <c r="B1260" s="109">
        <v>45839.452685185199</v>
      </c>
      <c r="C1260" s="85">
        <v>45839.454467592601</v>
      </c>
      <c r="D1260" s="64" t="s">
        <v>2781</v>
      </c>
      <c r="E1260" s="64" t="s">
        <v>1546</v>
      </c>
      <c r="F1260" s="5" t="s">
        <v>1546</v>
      </c>
      <c r="G1260" s="64" t="s">
        <v>1480</v>
      </c>
      <c r="H1260" s="99">
        <v>45838</v>
      </c>
      <c r="I1260" s="91"/>
      <c r="J1260" s="91"/>
      <c r="K1260" s="91"/>
      <c r="L1260" s="91"/>
      <c r="M1260" s="91"/>
      <c r="N1260" s="91"/>
      <c r="O1260" s="91"/>
      <c r="P1260" s="91"/>
      <c r="Q1260" s="91"/>
      <c r="R1260" s="91"/>
      <c r="S1260" s="91"/>
      <c r="T1260" s="91"/>
      <c r="U1260" s="91"/>
      <c r="V1260" s="91"/>
      <c r="W1260" s="91"/>
      <c r="X1260" s="91"/>
      <c r="Y1260" s="91"/>
      <c r="Z1260" s="91"/>
      <c r="AA1260" s="88" t="s">
        <v>3189</v>
      </c>
      <c r="AB1260" s="88" t="s">
        <v>3190</v>
      </c>
      <c r="AC1260" s="88" t="s">
        <v>3191</v>
      </c>
      <c r="AD1260" s="88" t="s">
        <v>3192</v>
      </c>
      <c r="AE1260" s="87"/>
      <c r="AF1260" s="133"/>
      <c r="AG1260" t="str">
        <f>VLOOKUP(OfficeForms.Table[[#This Row],[Nama Proyek]],'Nama Proyek'!$D$2:$G$29,4,0)</f>
        <v>-6.23191260,107.90813480</v>
      </c>
      <c r="AH1260" s="5"/>
      <c r="AI1260" s="5"/>
      <c r="AJ1260" s="5"/>
      <c r="AK1260" s="5"/>
    </row>
    <row r="1261" spans="1:37" ht="198">
      <c r="A1261" s="50">
        <v>175</v>
      </c>
      <c r="B1261" s="109">
        <v>45839.492314814801</v>
      </c>
      <c r="C1261" s="85">
        <v>45839.496759259302</v>
      </c>
      <c r="D1261" s="64" t="s">
        <v>2718</v>
      </c>
      <c r="E1261" s="64" t="s">
        <v>82</v>
      </c>
      <c r="F1261" s="5" t="s">
        <v>82</v>
      </c>
      <c r="G1261" s="64" t="s">
        <v>1317</v>
      </c>
      <c r="H1261" s="99">
        <v>45837</v>
      </c>
      <c r="I1261" s="91">
        <v>75.349000000000004</v>
      </c>
      <c r="J1261" s="91">
        <v>76.875</v>
      </c>
      <c r="K1261" s="91">
        <v>1.1036689023052999</v>
      </c>
      <c r="L1261" s="91">
        <v>0.19184806712077901</v>
      </c>
      <c r="M1261" s="91">
        <v>7.1633232799274998E-2</v>
      </c>
      <c r="N1261" s="91">
        <v>34.370814125235398</v>
      </c>
      <c r="O1261" s="91">
        <v>0.221683501432268</v>
      </c>
      <c r="P1261" s="91">
        <v>0.679041130963142</v>
      </c>
      <c r="Q1261" s="91">
        <v>8.9457316980776899E-2</v>
      </c>
      <c r="R1261" s="91">
        <v>1.30454400026438</v>
      </c>
      <c r="S1261" s="91">
        <v>6.2118719050240996</v>
      </c>
      <c r="T1261" s="91">
        <v>23.9249699312304</v>
      </c>
      <c r="U1261" s="91">
        <v>0</v>
      </c>
      <c r="V1261" s="91">
        <v>7.1666502630754296</v>
      </c>
      <c r="W1261" s="91">
        <v>0</v>
      </c>
      <c r="X1261" s="91">
        <v>0</v>
      </c>
      <c r="Y1261" s="91">
        <v>1.2330576988978799E-2</v>
      </c>
      <c r="Z1261" s="91">
        <v>0</v>
      </c>
      <c r="AA1261" s="88" t="s">
        <v>3193</v>
      </c>
      <c r="AB1261" s="88" t="s">
        <v>3194</v>
      </c>
      <c r="AC1261" s="88" t="s">
        <v>3163</v>
      </c>
      <c r="AD1261" s="88" t="s">
        <v>3163</v>
      </c>
      <c r="AE1261" s="87">
        <v>45837</v>
      </c>
      <c r="AF1261" s="221" t="s">
        <v>3195</v>
      </c>
      <c r="AG1261" t="str">
        <f>VLOOKUP(OfficeForms.Table[[#This Row],[Nama Proyek]],'Nama Proyek'!$D$2:$G$29,4,0)</f>
        <v>-7.72647690,113.63515320</v>
      </c>
      <c r="AH1261" s="5"/>
      <c r="AI1261" s="5"/>
      <c r="AJ1261" s="5"/>
      <c r="AK1261" s="5"/>
    </row>
    <row r="1262" spans="1:37" ht="18" customHeight="1">
      <c r="A1262" s="50">
        <v>176</v>
      </c>
      <c r="B1262" s="109">
        <v>45839.598159722198</v>
      </c>
      <c r="C1262" s="85">
        <v>45839.603032407402</v>
      </c>
      <c r="D1262" s="64" t="s">
        <v>2525</v>
      </c>
      <c r="E1262" s="64" t="s">
        <v>47</v>
      </c>
      <c r="F1262" s="5" t="s">
        <v>214</v>
      </c>
      <c r="G1262" s="64" t="s">
        <v>2734</v>
      </c>
      <c r="H1262" s="99">
        <v>45863</v>
      </c>
      <c r="I1262" s="91">
        <v>23.873000000000001</v>
      </c>
      <c r="J1262" s="91">
        <v>35.527999999999999</v>
      </c>
      <c r="K1262" s="91">
        <v>0.91300000000000003</v>
      </c>
      <c r="L1262" s="91">
        <v>0.13100000000000001</v>
      </c>
      <c r="M1262" s="91">
        <v>1.4999999999999999E-2</v>
      </c>
      <c r="N1262" s="91">
        <v>4.2530000000000001</v>
      </c>
      <c r="O1262" s="91">
        <v>0.54200000000000004</v>
      </c>
      <c r="P1262" s="91">
        <v>5.7000000000000002E-2</v>
      </c>
      <c r="Q1262" s="91">
        <v>5.0000000000000001E-3</v>
      </c>
      <c r="R1262" s="91">
        <v>4.7E-2</v>
      </c>
      <c r="S1262" s="91">
        <v>5.1999999999999998E-2</v>
      </c>
      <c r="T1262" s="91">
        <v>12.481999999999999</v>
      </c>
      <c r="U1262" s="91"/>
      <c r="V1262" s="91"/>
      <c r="W1262" s="91"/>
      <c r="X1262" s="91"/>
      <c r="Y1262" s="91">
        <v>4.7E-2</v>
      </c>
      <c r="Z1262" s="91"/>
      <c r="AA1262" s="88" t="s">
        <v>3196</v>
      </c>
      <c r="AB1262" s="88" t="s">
        <v>3197</v>
      </c>
      <c r="AC1262" s="88" t="s">
        <v>3198</v>
      </c>
      <c r="AD1262" s="88"/>
      <c r="AE1262" s="87"/>
      <c r="AF1262" s="133"/>
      <c r="AG1262" t="str">
        <f>VLOOKUP(OfficeForms.Table[[#This Row],[Nama Proyek]],'Nama Proyek'!$D$2:$G$40,4,0)</f>
        <v>-6.8812050213,106.7893827682</v>
      </c>
      <c r="AH1262" s="5"/>
      <c r="AI1262" s="5"/>
      <c r="AJ1262" s="5"/>
      <c r="AK1262" s="5"/>
    </row>
    <row r="1263" spans="1:37">
      <c r="A1263" s="50">
        <v>177</v>
      </c>
      <c r="B1263" s="109">
        <v>45866.886516203696</v>
      </c>
      <c r="C1263" s="85">
        <v>45866.8911689815</v>
      </c>
      <c r="D1263" s="64" t="s">
        <v>2509</v>
      </c>
      <c r="E1263" s="64" t="s">
        <v>687</v>
      </c>
      <c r="F1263" s="5" t="s">
        <v>687</v>
      </c>
      <c r="G1263" s="64" t="s">
        <v>3199</v>
      </c>
      <c r="H1263" s="99">
        <v>45866</v>
      </c>
      <c r="I1263" s="91">
        <v>16.792000000000002</v>
      </c>
      <c r="J1263" s="91">
        <v>16.631</v>
      </c>
      <c r="K1263" s="91"/>
      <c r="L1263" s="91"/>
      <c r="M1263" s="91"/>
      <c r="N1263" s="91"/>
      <c r="O1263" s="91"/>
      <c r="P1263" s="91"/>
      <c r="Q1263" s="91"/>
      <c r="R1263" s="91"/>
      <c r="S1263" s="91"/>
      <c r="T1263" s="91"/>
      <c r="U1263" s="91"/>
      <c r="V1263" s="91"/>
      <c r="W1263" s="91"/>
      <c r="X1263" s="91"/>
      <c r="Y1263" s="91"/>
      <c r="Z1263" s="91"/>
      <c r="AA1263" s="88" t="s">
        <v>3200</v>
      </c>
      <c r="AB1263" s="88"/>
      <c r="AC1263" s="88" t="s">
        <v>3201</v>
      </c>
      <c r="AD1263" s="88" t="s">
        <v>3201</v>
      </c>
      <c r="AE1263" s="87"/>
      <c r="AF1263" s="133"/>
      <c r="AG1263" t="str">
        <f>VLOOKUP(OfficeForms.Table[[#This Row],[Nama Proyek]],'Nama Proyek'!$D$2:$G$40,4,0)</f>
        <v>-1.0121252,116.6635897</v>
      </c>
      <c r="AH1263" s="5"/>
      <c r="AI1263" s="5"/>
      <c r="AJ1263" s="5"/>
      <c r="AK1263" s="5"/>
    </row>
    <row r="1264" spans="1:37" ht="18.75" customHeight="1">
      <c r="A1264" s="50">
        <v>178</v>
      </c>
      <c r="B1264" s="109">
        <v>45867.3699305556</v>
      </c>
      <c r="C1264" s="85">
        <v>45867.3812847222</v>
      </c>
      <c r="D1264" s="64" t="s">
        <v>2546</v>
      </c>
      <c r="E1264" s="64" t="s">
        <v>85</v>
      </c>
      <c r="F1264" s="5" t="s">
        <v>85</v>
      </c>
      <c r="G1264" s="64" t="s">
        <v>2336</v>
      </c>
      <c r="H1264" s="99">
        <v>45865</v>
      </c>
      <c r="I1264" s="91">
        <v>51.204000000000001</v>
      </c>
      <c r="J1264" s="91">
        <v>73.962000000000003</v>
      </c>
      <c r="K1264" s="91">
        <v>2.4649999999999999</v>
      </c>
      <c r="L1264" s="91">
        <v>0.16600000000000001</v>
      </c>
      <c r="M1264" s="91">
        <v>0</v>
      </c>
      <c r="N1264" s="91">
        <v>20.009</v>
      </c>
      <c r="O1264" s="91">
        <v>0.104</v>
      </c>
      <c r="P1264" s="91">
        <v>0</v>
      </c>
      <c r="Q1264" s="91">
        <v>0</v>
      </c>
      <c r="R1264" s="91">
        <v>0</v>
      </c>
      <c r="S1264" s="91">
        <v>0</v>
      </c>
      <c r="T1264" s="91">
        <v>28.434000000000001</v>
      </c>
      <c r="U1264" s="91">
        <v>0</v>
      </c>
      <c r="V1264" s="91">
        <v>0</v>
      </c>
      <c r="W1264" s="91">
        <v>0</v>
      </c>
      <c r="X1264" s="91">
        <v>0</v>
      </c>
      <c r="Y1264" s="91">
        <v>2.7E-2</v>
      </c>
      <c r="Z1264" s="91">
        <v>0</v>
      </c>
      <c r="AA1264" s="88" t="s">
        <v>3202</v>
      </c>
      <c r="AB1264" s="88" t="s">
        <v>3203</v>
      </c>
      <c r="AC1264" s="88" t="s">
        <v>3204</v>
      </c>
      <c r="AD1264" s="88" t="s">
        <v>3204</v>
      </c>
      <c r="AE1264" s="87">
        <v>45865</v>
      </c>
      <c r="AF1264" s="221" t="s">
        <v>3205</v>
      </c>
      <c r="AG1264" t="e">
        <f>VLOOKUP(OfficeForms.Table[[#This Row],[Nama Proyek]],'Nama Proyek'!$D$2:$G$29,4,0)</f>
        <v>#N/A</v>
      </c>
      <c r="AH1264" s="5"/>
      <c r="AI1264" s="5"/>
      <c r="AJ1264" s="5"/>
      <c r="AK1264" s="5"/>
    </row>
    <row r="1265" spans="1:37">
      <c r="A1265" s="50">
        <v>179</v>
      </c>
      <c r="B1265" s="109">
        <v>45867.427893518499</v>
      </c>
      <c r="C1265" s="85">
        <v>45867.428657407399</v>
      </c>
      <c r="D1265" s="64" t="s">
        <v>2781</v>
      </c>
      <c r="E1265" s="64" t="s">
        <v>1546</v>
      </c>
      <c r="F1265" s="5" t="s">
        <v>1546</v>
      </c>
      <c r="G1265" s="64" t="s">
        <v>1480</v>
      </c>
      <c r="H1265" s="99">
        <v>45866</v>
      </c>
      <c r="I1265" s="91"/>
      <c r="J1265" s="91"/>
      <c r="K1265" s="91"/>
      <c r="L1265" s="91"/>
      <c r="M1265" s="91"/>
      <c r="N1265" s="91"/>
      <c r="O1265" s="91"/>
      <c r="P1265" s="91"/>
      <c r="Q1265" s="91"/>
      <c r="R1265" s="91"/>
      <c r="S1265" s="91"/>
      <c r="T1265" s="91"/>
      <c r="U1265" s="91"/>
      <c r="V1265" s="91"/>
      <c r="W1265" s="91"/>
      <c r="X1265" s="91"/>
      <c r="Y1265" s="91"/>
      <c r="Z1265" s="91"/>
      <c r="AA1265" s="88" t="s">
        <v>3189</v>
      </c>
      <c r="AB1265" s="88" t="s">
        <v>3190</v>
      </c>
      <c r="AC1265" s="88" t="s">
        <v>3191</v>
      </c>
      <c r="AD1265" s="88" t="s">
        <v>3192</v>
      </c>
      <c r="AE1265" s="87"/>
      <c r="AF1265" s="133"/>
      <c r="AG1265" t="str">
        <f>VLOOKUP(OfficeForms.Table[[#This Row],[Nama Proyek]],'Nama Proyek'!$D$2:$G$29,4,0)</f>
        <v>-6.23191260,107.90813480</v>
      </c>
      <c r="AH1265" s="5"/>
      <c r="AI1265" s="5"/>
      <c r="AJ1265" s="5"/>
      <c r="AK1265" s="5"/>
    </row>
    <row r="1266" spans="1:37" ht="60.75">
      <c r="A1266" s="50">
        <v>180</v>
      </c>
      <c r="B1266" s="109">
        <v>45867.597245370402</v>
      </c>
      <c r="C1266" s="85">
        <v>45867.605567129598</v>
      </c>
      <c r="D1266" s="64" t="s">
        <v>2600</v>
      </c>
      <c r="E1266" s="64" t="s">
        <v>855</v>
      </c>
      <c r="F1266" s="5" t="s">
        <v>855</v>
      </c>
      <c r="G1266" s="64" t="s">
        <v>2601</v>
      </c>
      <c r="H1266" s="99">
        <v>45865</v>
      </c>
      <c r="I1266" s="91">
        <v>66.835999999999999</v>
      </c>
      <c r="J1266" s="91">
        <v>65.707999999999998</v>
      </c>
      <c r="K1266" s="91">
        <v>0.83799999999999997</v>
      </c>
      <c r="L1266" s="91">
        <v>0.252</v>
      </c>
      <c r="M1266" s="91">
        <v>2.5649999999999999</v>
      </c>
      <c r="N1266" s="91"/>
      <c r="O1266" s="91">
        <v>0.08</v>
      </c>
      <c r="P1266" s="91">
        <v>0.625</v>
      </c>
      <c r="Q1266" s="91">
        <v>62.463999999999999</v>
      </c>
      <c r="R1266" s="91"/>
      <c r="S1266" s="91">
        <v>2.1999999999999999E-2</v>
      </c>
      <c r="T1266" s="91"/>
      <c r="U1266" s="91"/>
      <c r="V1266" s="91"/>
      <c r="W1266" s="91"/>
      <c r="X1266" s="91"/>
      <c r="Y1266" s="91"/>
      <c r="Z1266" s="91"/>
      <c r="AA1266" s="88" t="s">
        <v>3206</v>
      </c>
      <c r="AB1266" s="88" t="s">
        <v>3207</v>
      </c>
      <c r="AC1266" s="88" t="s">
        <v>3208</v>
      </c>
      <c r="AD1266" s="88" t="s">
        <v>3209</v>
      </c>
      <c r="AE1266" s="87">
        <v>45865</v>
      </c>
      <c r="AF1266" s="221" t="s">
        <v>3210</v>
      </c>
      <c r="AG1266" t="str">
        <f>VLOOKUP(OfficeForms.Table[[#This Row],[Nama Proyek]],'Nama Proyek'!$D$2:$G$29,4,0)</f>
        <v>-1.13731907,116.79020552</v>
      </c>
      <c r="AH1266" s="5"/>
      <c r="AI1266" s="5"/>
      <c r="AJ1266" s="5"/>
      <c r="AK1266" s="5"/>
    </row>
    <row r="1267" spans="1:37" ht="23.25" customHeight="1">
      <c r="A1267" s="50">
        <v>181</v>
      </c>
      <c r="B1267" s="109">
        <v>45868.368483796301</v>
      </c>
      <c r="C1267" s="85">
        <v>45868.3812384259</v>
      </c>
      <c r="D1267" s="64" t="s">
        <v>2718</v>
      </c>
      <c r="E1267" s="64" t="s">
        <v>82</v>
      </c>
      <c r="F1267" s="5" t="s">
        <v>82</v>
      </c>
      <c r="G1267" s="64" t="s">
        <v>1317</v>
      </c>
      <c r="H1267" s="99">
        <v>45868</v>
      </c>
      <c r="I1267" s="91">
        <v>77.363</v>
      </c>
      <c r="J1267" s="91">
        <v>80.608000000000004</v>
      </c>
      <c r="K1267" s="91">
        <v>1.1036689023052999</v>
      </c>
      <c r="L1267" s="91">
        <v>0.19184806712077901</v>
      </c>
      <c r="M1267" s="91">
        <v>7.6615040974589904E-2</v>
      </c>
      <c r="N1267" s="91">
        <v>35.383615432168803</v>
      </c>
      <c r="O1267" s="91">
        <v>0.24478439273472599</v>
      </c>
      <c r="P1267" s="91">
        <v>0.78383830400357102</v>
      </c>
      <c r="Q1267" s="91">
        <v>8.9457316980776899E-2</v>
      </c>
      <c r="R1267" s="91">
        <v>1.30454400026438</v>
      </c>
      <c r="S1267" s="91">
        <v>6.3492018657421498</v>
      </c>
      <c r="T1267" s="91">
        <v>24.420957306482801</v>
      </c>
      <c r="U1267" s="91">
        <v>0</v>
      </c>
      <c r="V1267" s="91">
        <v>7.40252753585556</v>
      </c>
      <c r="W1267" s="91">
        <v>0</v>
      </c>
      <c r="X1267" s="91">
        <v>0</v>
      </c>
      <c r="Y1267" s="91">
        <v>1.2330576988978799E-2</v>
      </c>
      <c r="Z1267" s="91">
        <v>0</v>
      </c>
      <c r="AA1267" s="88" t="s">
        <v>3211</v>
      </c>
      <c r="AB1267" s="88" t="s">
        <v>3084</v>
      </c>
      <c r="AC1267" s="88" t="s">
        <v>3212</v>
      </c>
      <c r="AD1267" s="88" t="s">
        <v>3212</v>
      </c>
      <c r="AE1267" s="87">
        <v>45868</v>
      </c>
      <c r="AF1267" s="221" t="s">
        <v>3213</v>
      </c>
      <c r="AG1267" t="str">
        <f>VLOOKUP(OfficeForms.Table[[#This Row],[Nama Proyek]],'Nama Proyek'!$D$2:$G$29,4,0)</f>
        <v>-7.72647690,113.63515320</v>
      </c>
      <c r="AH1267" s="5"/>
      <c r="AI1267" s="5"/>
      <c r="AJ1267" s="5"/>
      <c r="AK1267" s="5"/>
    </row>
    <row r="1268" spans="1:37">
      <c r="A1268" s="50">
        <v>182</v>
      </c>
      <c r="B1268" s="109">
        <v>45868.372430555602</v>
      </c>
      <c r="C1268" s="85">
        <v>45868.382731481499</v>
      </c>
      <c r="D1268" s="64" t="s">
        <v>2509</v>
      </c>
      <c r="E1268" s="64" t="s">
        <v>687</v>
      </c>
      <c r="F1268" s="5" t="s">
        <v>687</v>
      </c>
      <c r="G1268" s="64" t="s">
        <v>3199</v>
      </c>
      <c r="H1268" s="99">
        <v>45868</v>
      </c>
      <c r="I1268" s="91">
        <v>16.792000000000002</v>
      </c>
      <c r="J1268" s="91">
        <v>16.631</v>
      </c>
      <c r="K1268" s="91">
        <v>1.74</v>
      </c>
      <c r="L1268" s="91">
        <v>0</v>
      </c>
      <c r="M1268" s="91">
        <v>4.91</v>
      </c>
      <c r="N1268" s="91">
        <v>0</v>
      </c>
      <c r="O1268" s="91">
        <v>0</v>
      </c>
      <c r="P1268" s="91">
        <v>0</v>
      </c>
      <c r="Q1268" s="91">
        <v>10.1351</v>
      </c>
      <c r="R1268" s="91">
        <v>0</v>
      </c>
      <c r="S1268" s="91">
        <v>0</v>
      </c>
      <c r="T1268" s="91">
        <v>0</v>
      </c>
      <c r="U1268" s="91">
        <v>0</v>
      </c>
      <c r="V1268" s="91">
        <v>0</v>
      </c>
      <c r="W1268" s="91">
        <v>0</v>
      </c>
      <c r="X1268" s="91">
        <v>0</v>
      </c>
      <c r="Y1268" s="91">
        <v>0</v>
      </c>
      <c r="Z1268" s="91">
        <v>0</v>
      </c>
      <c r="AA1268" s="88" t="s">
        <v>3200</v>
      </c>
      <c r="AB1268" s="88" t="s">
        <v>3214</v>
      </c>
      <c r="AC1268" s="88" t="s">
        <v>3215</v>
      </c>
      <c r="AD1268" s="88" t="s">
        <v>3215</v>
      </c>
      <c r="AE1268" s="87">
        <v>45867</v>
      </c>
      <c r="AF1268" s="221" t="s">
        <v>3216</v>
      </c>
      <c r="AG1268" t="str">
        <f>VLOOKUP(OfficeForms.Table[[#This Row],[Nama Proyek]],'Nama Proyek'!$D$2:$G$40,4,0)</f>
        <v>-1.0121252,116.6635897</v>
      </c>
      <c r="AH1268" s="5"/>
      <c r="AI1268" s="5"/>
      <c r="AJ1268" s="5"/>
      <c r="AK1268" s="5"/>
    </row>
    <row r="1269" spans="1:37" ht="14.25" customHeight="1">
      <c r="A1269" s="50">
        <v>183</v>
      </c>
      <c r="B1269" s="109">
        <v>45868.392546296302</v>
      </c>
      <c r="C1269" s="85">
        <v>45868.412557870397</v>
      </c>
      <c r="D1269" s="64" t="s">
        <v>2525</v>
      </c>
      <c r="E1269" s="64" t="s">
        <v>47</v>
      </c>
      <c r="F1269" s="5" t="s">
        <v>214</v>
      </c>
      <c r="G1269" s="64" t="s">
        <v>2734</v>
      </c>
      <c r="H1269" s="99">
        <v>45863</v>
      </c>
      <c r="I1269" s="91">
        <v>25.378</v>
      </c>
      <c r="J1269" s="91">
        <v>39.338999999999999</v>
      </c>
      <c r="K1269" s="91">
        <v>0.88</v>
      </c>
      <c r="L1269" s="91">
        <v>0.123</v>
      </c>
      <c r="M1269" s="91">
        <v>1.4999999999999999E-2</v>
      </c>
      <c r="N1269" s="91">
        <v>4.5289999999999999</v>
      </c>
      <c r="O1269" s="91">
        <v>0.56899999999999995</v>
      </c>
      <c r="P1269" s="91">
        <v>6.6000000000000003E-2</v>
      </c>
      <c r="Q1269" s="91">
        <v>6.0000000000000001E-3</v>
      </c>
      <c r="R1269" s="91">
        <v>4.7E-2</v>
      </c>
      <c r="S1269" s="91">
        <v>5.8000000000000003E-2</v>
      </c>
      <c r="T1269" s="91">
        <v>13.994999999999999</v>
      </c>
      <c r="U1269" s="91"/>
      <c r="V1269" s="91"/>
      <c r="W1269" s="91"/>
      <c r="X1269" s="91"/>
      <c r="Y1269" s="91">
        <v>4.4999999999999998E-2</v>
      </c>
      <c r="Z1269" s="91"/>
      <c r="AA1269" s="88" t="s">
        <v>3217</v>
      </c>
      <c r="AB1269" s="88" t="s">
        <v>3218</v>
      </c>
      <c r="AC1269" s="88" t="s">
        <v>3219</v>
      </c>
      <c r="AD1269" s="88"/>
      <c r="AE1269" s="87">
        <v>45863</v>
      </c>
      <c r="AF1269" s="221" t="s">
        <v>3220</v>
      </c>
      <c r="AG1269" t="str">
        <f>VLOOKUP(OfficeForms.Table[[#This Row],[Nama Proyek]],'Nama Proyek'!$D$2:$G$40,4,0)</f>
        <v>-6.8812050213,106.7893827682</v>
      </c>
      <c r="AH1269" s="5"/>
      <c r="AI1269" s="5"/>
      <c r="AJ1269" s="5"/>
      <c r="AK1269" s="5"/>
    </row>
    <row r="1270" spans="1:37" ht="20.25" customHeight="1">
      <c r="A1270" s="50">
        <v>184</v>
      </c>
      <c r="B1270" s="109">
        <v>45868.870162036997</v>
      </c>
      <c r="C1270" s="85">
        <v>45868.873865740701</v>
      </c>
      <c r="D1270" s="64" t="s">
        <v>2761</v>
      </c>
      <c r="E1270" s="64" t="s">
        <v>2762</v>
      </c>
      <c r="F1270" s="5" t="s">
        <v>2762</v>
      </c>
      <c r="G1270" s="64" t="s">
        <v>2484</v>
      </c>
      <c r="H1270" s="99">
        <v>45862</v>
      </c>
      <c r="I1270" s="91">
        <v>83.685000000000002</v>
      </c>
      <c r="J1270" s="91">
        <v>59.3</v>
      </c>
      <c r="K1270" s="91">
        <v>0.52500000000000002</v>
      </c>
      <c r="L1270" s="91">
        <v>9.4350000000000005</v>
      </c>
      <c r="M1270" s="91">
        <v>54.213999999999999</v>
      </c>
      <c r="N1270" s="91"/>
      <c r="O1270" s="91"/>
      <c r="P1270" s="91">
        <v>4.9269999999999996</v>
      </c>
      <c r="Q1270" s="91">
        <v>8.1310000000000002</v>
      </c>
      <c r="R1270" s="91"/>
      <c r="S1270" s="91">
        <v>6.6000000000000003E-2</v>
      </c>
      <c r="T1270" s="91"/>
      <c r="U1270" s="91"/>
      <c r="V1270" s="91"/>
      <c r="W1270" s="91"/>
      <c r="X1270" s="91"/>
      <c r="Y1270" s="91"/>
      <c r="Z1270" s="91"/>
      <c r="AA1270" s="88" t="s">
        <v>3221</v>
      </c>
      <c r="AB1270" s="88" t="s">
        <v>3222</v>
      </c>
      <c r="AC1270" s="88" t="s">
        <v>3223</v>
      </c>
      <c r="AD1270" s="88" t="s">
        <v>3224</v>
      </c>
      <c r="AE1270" s="87">
        <v>45862</v>
      </c>
      <c r="AF1270" s="221"/>
      <c r="AG1270" t="str">
        <f>VLOOKUP(OfficeForms.Table[[#This Row],[Nama Proyek]],'Nama Proyek'!$D$2:$G$29,4,0)</f>
        <v>-8.30961900,112.11101000</v>
      </c>
      <c r="AH1270" s="5"/>
      <c r="AI1270" s="5"/>
      <c r="AJ1270" s="5"/>
      <c r="AK1270" s="5"/>
    </row>
    <row r="1271" spans="1:37" ht="30.75">
      <c r="A1271" s="50">
        <v>185</v>
      </c>
      <c r="B1271" s="109">
        <v>45869.3820486111</v>
      </c>
      <c r="C1271" s="85">
        <v>45869.394328703696</v>
      </c>
      <c r="D1271" s="64" t="s">
        <v>3225</v>
      </c>
      <c r="E1271" s="64" t="s">
        <v>57</v>
      </c>
      <c r="F1271" s="5" t="s">
        <v>57</v>
      </c>
      <c r="G1271" s="64" t="s">
        <v>1484</v>
      </c>
      <c r="H1271" s="99">
        <v>45863</v>
      </c>
      <c r="I1271" s="91">
        <v>91.537999999999997</v>
      </c>
      <c r="J1271" s="91">
        <v>91.447999999999993</v>
      </c>
      <c r="K1271" s="91">
        <v>1.3819999999999999</v>
      </c>
      <c r="L1271" s="91">
        <v>4.7290000000000001</v>
      </c>
      <c r="M1271" s="91">
        <v>34.920999999999999</v>
      </c>
      <c r="N1271" s="91"/>
      <c r="O1271" s="91">
        <v>1.627</v>
      </c>
      <c r="P1271" s="91">
        <v>3.5670000000000002</v>
      </c>
      <c r="Q1271" s="91">
        <v>44.79</v>
      </c>
      <c r="R1271" s="91"/>
      <c r="S1271" s="91">
        <v>0.52100000000000002</v>
      </c>
      <c r="T1271" s="91"/>
      <c r="U1271" s="91"/>
      <c r="V1271" s="91"/>
      <c r="W1271" s="91"/>
      <c r="X1271" s="91"/>
      <c r="Y1271" s="91"/>
      <c r="Z1271" s="91"/>
      <c r="AA1271" s="88" t="s">
        <v>3226</v>
      </c>
      <c r="AB1271" s="88" t="s">
        <v>3227</v>
      </c>
      <c r="AC1271" s="88" t="s">
        <v>3228</v>
      </c>
      <c r="AD1271" s="88" t="s">
        <v>3228</v>
      </c>
      <c r="AE1271" s="87">
        <v>45863</v>
      </c>
      <c r="AF1271" s="221" t="s">
        <v>3229</v>
      </c>
      <c r="AG1271" t="str">
        <f>VLOOKUP(OfficeForms.Table[[#This Row],[Nama Proyek]],'Nama Proyek'!$D$2:$G$29,4,0)</f>
        <v>-8.01003300,110.33312900</v>
      </c>
      <c r="AH1271" s="5"/>
      <c r="AI1271" s="5"/>
      <c r="AJ1271" s="5"/>
      <c r="AK1271" s="5"/>
    </row>
    <row r="1272" spans="1:37" ht="16.5" customHeight="1">
      <c r="A1272" s="50">
        <v>186</v>
      </c>
      <c r="B1272" s="109">
        <v>45869.4305902778</v>
      </c>
      <c r="C1272" s="85">
        <v>45869.456759259301</v>
      </c>
      <c r="D1272" s="64" t="s">
        <v>3051</v>
      </c>
      <c r="E1272" s="64" t="s">
        <v>3052</v>
      </c>
      <c r="F1272" s="5" t="s">
        <v>3052</v>
      </c>
      <c r="G1272" s="64" t="s">
        <v>2267</v>
      </c>
      <c r="H1272" s="99">
        <v>45865</v>
      </c>
      <c r="I1272" s="91">
        <v>65.227000000000004</v>
      </c>
      <c r="J1272" s="91">
        <v>65.207999999999998</v>
      </c>
      <c r="K1272" s="91">
        <v>0.58199999999999996</v>
      </c>
      <c r="L1272" s="91">
        <v>8.2000000000000003E-2</v>
      </c>
      <c r="M1272" s="91">
        <v>0.01</v>
      </c>
      <c r="N1272" s="91">
        <v>3.8079999999999998</v>
      </c>
      <c r="O1272" s="91">
        <v>0.623</v>
      </c>
      <c r="P1272" s="91">
        <v>0.154</v>
      </c>
      <c r="Q1272" s="91">
        <v>1.2E-2</v>
      </c>
      <c r="R1272" s="91">
        <v>0.125</v>
      </c>
      <c r="S1272" s="91">
        <v>0.72899999999999998</v>
      </c>
      <c r="T1272" s="91">
        <v>19.385999999999999</v>
      </c>
      <c r="U1272" s="91">
        <v>0</v>
      </c>
      <c r="V1272" s="91">
        <v>0.17</v>
      </c>
      <c r="W1272" s="91">
        <v>1.4E-2</v>
      </c>
      <c r="X1272" s="91">
        <v>0</v>
      </c>
      <c r="Y1272" s="91">
        <v>8.5000000000000006E-2</v>
      </c>
      <c r="Z1272" s="91">
        <v>0</v>
      </c>
      <c r="AA1272" s="88" t="s">
        <v>3230</v>
      </c>
      <c r="AB1272" s="88" t="s">
        <v>3231</v>
      </c>
      <c r="AC1272" s="88" t="s">
        <v>3232</v>
      </c>
      <c r="AD1272" s="162" t="s">
        <v>2297</v>
      </c>
      <c r="AE1272" s="87">
        <v>45865</v>
      </c>
      <c r="AF1272" s="221" t="s">
        <v>3233</v>
      </c>
      <c r="AG1272" t="e">
        <f>VLOOKUP(OfficeForms.Table[[#This Row],[Nama Proyek]],'Nama Proyek'!$D$2:$G$29,4,0)</f>
        <v>#N/A</v>
      </c>
      <c r="AH1272" s="5"/>
      <c r="AI1272" s="5"/>
      <c r="AJ1272" s="5"/>
      <c r="AK1272" s="5"/>
    </row>
    <row r="1273" spans="1:37" ht="409.6">
      <c r="A1273" s="50">
        <v>187</v>
      </c>
      <c r="B1273" s="109">
        <v>45894.566874999997</v>
      </c>
      <c r="C1273" s="85">
        <v>45894.586493055598</v>
      </c>
      <c r="D1273" s="64" t="s">
        <v>2546</v>
      </c>
      <c r="E1273" s="64" t="s">
        <v>85</v>
      </c>
      <c r="F1273" s="5" t="s">
        <v>85</v>
      </c>
      <c r="G1273" s="64" t="s">
        <v>2336</v>
      </c>
      <c r="H1273" s="99">
        <v>45894</v>
      </c>
      <c r="I1273" s="91">
        <v>54.600999999999999</v>
      </c>
      <c r="J1273" s="91">
        <v>78.266999999999996</v>
      </c>
      <c r="K1273" s="91">
        <v>2.4860000000000002</v>
      </c>
      <c r="L1273" s="91">
        <v>0.16600000000000001</v>
      </c>
      <c r="M1273" s="91">
        <v>0</v>
      </c>
      <c r="N1273" s="91">
        <v>20.606999999999999</v>
      </c>
      <c r="O1273" s="91">
        <v>0.104</v>
      </c>
      <c r="P1273" s="91">
        <v>0</v>
      </c>
      <c r="Q1273" s="91">
        <v>0</v>
      </c>
      <c r="R1273" s="91">
        <v>0</v>
      </c>
      <c r="S1273" s="91">
        <v>0</v>
      </c>
      <c r="T1273" s="91">
        <v>31.210999999999999</v>
      </c>
      <c r="U1273" s="91">
        <v>0</v>
      </c>
      <c r="V1273" s="91">
        <v>0</v>
      </c>
      <c r="W1273" s="91">
        <v>0</v>
      </c>
      <c r="X1273" s="91">
        <v>0</v>
      </c>
      <c r="Y1273" s="91">
        <v>2.7E-2</v>
      </c>
      <c r="Z1273" s="91">
        <v>0</v>
      </c>
      <c r="AA1273" s="88" t="s">
        <v>3234</v>
      </c>
      <c r="AB1273" s="88" t="s">
        <v>3234</v>
      </c>
      <c r="AC1273" s="88" t="s">
        <v>3235</v>
      </c>
      <c r="AD1273" s="162" t="s">
        <v>3235</v>
      </c>
      <c r="AE1273" s="87">
        <v>45894</v>
      </c>
      <c r="AF1273" s="221" t="s">
        <v>3236</v>
      </c>
      <c r="AG1273" t="e">
        <f>VLOOKUP(OfficeForms.Table[[#This Row],[Nama Proyek]],'Nama Proyek'!$D$2:$G$29,4,0)</f>
        <v>#N/A</v>
      </c>
      <c r="AH1273" s="5"/>
      <c r="AI1273" s="5"/>
      <c r="AJ1273" s="5"/>
      <c r="AK1273" s="5"/>
    </row>
    <row r="1274" spans="1:37">
      <c r="A1274" s="50">
        <v>188</v>
      </c>
      <c r="B1274" s="109">
        <v>45894.886296296303</v>
      </c>
      <c r="C1274" s="85">
        <v>45894.8912962963</v>
      </c>
      <c r="D1274" s="64" t="s">
        <v>2761</v>
      </c>
      <c r="E1274" s="64" t="s">
        <v>2762</v>
      </c>
      <c r="F1274" s="5" t="s">
        <v>2762</v>
      </c>
      <c r="G1274" s="64" t="s">
        <v>2484</v>
      </c>
      <c r="H1274" s="99">
        <v>45890</v>
      </c>
      <c r="I1274" s="91">
        <v>85.078000000000003</v>
      </c>
      <c r="J1274" s="91">
        <v>64.076999999999998</v>
      </c>
      <c r="K1274" s="91">
        <v>0.52500000000000002</v>
      </c>
      <c r="L1274" s="91">
        <v>9.2609999999999992</v>
      </c>
      <c r="M1274" s="91">
        <v>54.222999999999999</v>
      </c>
      <c r="N1274" s="91">
        <v>0</v>
      </c>
      <c r="O1274" s="91">
        <v>6.3869999999999996</v>
      </c>
      <c r="P1274" s="91">
        <v>5.1230000000000002</v>
      </c>
      <c r="Q1274" s="91">
        <v>8.1940000000000008</v>
      </c>
      <c r="R1274" s="91"/>
      <c r="S1274" s="91">
        <v>1.3360000000000001</v>
      </c>
      <c r="T1274" s="91"/>
      <c r="U1274" s="91"/>
      <c r="V1274" s="91"/>
      <c r="W1274" s="91"/>
      <c r="X1274" s="91"/>
      <c r="Y1274" s="91"/>
      <c r="Z1274" s="91"/>
      <c r="AA1274" s="88" t="s">
        <v>3237</v>
      </c>
      <c r="AB1274" s="88" t="s">
        <v>3237</v>
      </c>
      <c r="AC1274" s="88" t="s">
        <v>3238</v>
      </c>
      <c r="AD1274" s="162" t="s">
        <v>3239</v>
      </c>
      <c r="AE1274" s="87"/>
      <c r="AF1274" s="221"/>
      <c r="AG1274" t="str">
        <f>VLOOKUP(OfficeForms.Table[[#This Row],[Nama Proyek]],'Nama Proyek'!$D$2:$G$29,4,0)</f>
        <v>-8.30961900,112.11101000</v>
      </c>
      <c r="AH1274" s="5"/>
      <c r="AI1274" s="5"/>
      <c r="AJ1274" s="5"/>
      <c r="AK1274" s="5"/>
    </row>
    <row r="1275" spans="1:37" ht="229.5">
      <c r="A1275" s="50">
        <v>189</v>
      </c>
      <c r="B1275" s="109">
        <v>45896.609548611101</v>
      </c>
      <c r="C1275" s="85">
        <v>45896.616608796299</v>
      </c>
      <c r="D1275" s="64" t="s">
        <v>3051</v>
      </c>
      <c r="E1275" s="64" t="s">
        <v>3052</v>
      </c>
      <c r="F1275" s="5" t="s">
        <v>3052</v>
      </c>
      <c r="G1275" s="64" t="s">
        <v>2267</v>
      </c>
      <c r="H1275" s="99">
        <v>45893</v>
      </c>
      <c r="I1275" s="91">
        <v>65.23</v>
      </c>
      <c r="J1275" s="91">
        <v>65.391999999999996</v>
      </c>
      <c r="K1275" s="91">
        <v>0.58199999999999996</v>
      </c>
      <c r="L1275" s="91">
        <v>8.2000000000000003E-2</v>
      </c>
      <c r="M1275" s="91">
        <v>0.01</v>
      </c>
      <c r="N1275" s="91">
        <v>4.53</v>
      </c>
      <c r="O1275" s="91">
        <v>0.624</v>
      </c>
      <c r="P1275" s="91">
        <v>0.16700000000000001</v>
      </c>
      <c r="Q1275" s="91">
        <v>1.4E-2</v>
      </c>
      <c r="R1275" s="91">
        <v>0.157</v>
      </c>
      <c r="S1275" s="91">
        <v>0.88100000000000001</v>
      </c>
      <c r="T1275" s="91">
        <v>19.960999999999999</v>
      </c>
      <c r="U1275" s="91">
        <v>0</v>
      </c>
      <c r="V1275" s="91">
        <v>0.20699999999999999</v>
      </c>
      <c r="W1275" s="91">
        <v>1.6E-2</v>
      </c>
      <c r="X1275" s="91">
        <v>0</v>
      </c>
      <c r="Y1275" s="91">
        <v>8.5000000000000006E-2</v>
      </c>
      <c r="Z1275" s="91">
        <v>0</v>
      </c>
      <c r="AA1275" s="88" t="s">
        <v>3240</v>
      </c>
      <c r="AB1275" s="88" t="s">
        <v>3241</v>
      </c>
      <c r="AC1275" s="88" t="s">
        <v>3242</v>
      </c>
      <c r="AD1275" s="162"/>
      <c r="AE1275" s="87">
        <v>45893</v>
      </c>
      <c r="AF1275" s="221" t="s">
        <v>3243</v>
      </c>
      <c r="AG1275" t="e">
        <f>VLOOKUP(OfficeForms.Table[[#This Row],[Nama Proyek]],'Nama Proyek'!$D$2:$G$29,4,0)</f>
        <v>#N/A</v>
      </c>
      <c r="AH1275" s="5"/>
      <c r="AI1275" s="5"/>
      <c r="AJ1275" s="5"/>
      <c r="AK1275" s="5"/>
    </row>
    <row r="1276" spans="1:37" ht="264" customHeight="1">
      <c r="A1276" s="50">
        <v>190</v>
      </c>
      <c r="B1276" s="109">
        <v>45896.710752314801</v>
      </c>
      <c r="C1276" s="85">
        <v>45896.717430555596</v>
      </c>
      <c r="D1276" s="64" t="s">
        <v>2525</v>
      </c>
      <c r="E1276" s="64" t="s">
        <v>47</v>
      </c>
      <c r="F1276" s="5" t="s">
        <v>214</v>
      </c>
      <c r="G1276" s="64" t="s">
        <v>2734</v>
      </c>
      <c r="H1276" s="99">
        <v>45894</v>
      </c>
      <c r="I1276" s="91">
        <v>25.853000000000002</v>
      </c>
      <c r="J1276" s="91">
        <v>28.725999999999999</v>
      </c>
      <c r="K1276" s="91">
        <v>0.92800000000000005</v>
      </c>
      <c r="L1276" s="91">
        <v>0.123</v>
      </c>
      <c r="M1276" s="91">
        <v>1.4999999999999999E-2</v>
      </c>
      <c r="N1276" s="91">
        <v>4.9320000000000004</v>
      </c>
      <c r="O1276" s="91">
        <v>0.53500000000000003</v>
      </c>
      <c r="P1276" s="91">
        <v>4.5999999999999999E-2</v>
      </c>
      <c r="Q1276" s="91">
        <v>6.0000000000000001E-3</v>
      </c>
      <c r="R1276" s="91">
        <v>6.5000000000000002E-2</v>
      </c>
      <c r="S1276" s="91">
        <v>7.4999999999999997E-2</v>
      </c>
      <c r="T1276" s="91">
        <v>15.413</v>
      </c>
      <c r="U1276" s="91"/>
      <c r="V1276" s="91"/>
      <c r="W1276" s="91">
        <v>4.0000000000000001E-3</v>
      </c>
      <c r="X1276" s="91"/>
      <c r="Y1276" s="91">
        <v>4.4999999999999998E-2</v>
      </c>
      <c r="Z1276" s="91"/>
      <c r="AA1276" s="88" t="s">
        <v>3244</v>
      </c>
      <c r="AB1276" s="88" t="s">
        <v>3245</v>
      </c>
      <c r="AC1276" s="88" t="s">
        <v>3246</v>
      </c>
      <c r="AD1276" s="162" t="s">
        <v>3247</v>
      </c>
      <c r="AE1276" s="87">
        <v>45894</v>
      </c>
      <c r="AF1276" s="221" t="s">
        <v>3248</v>
      </c>
      <c r="AG1276" t="str">
        <f>VLOOKUP(OfficeForms.Table[[#This Row],[Nama Proyek]],'Nama Proyek'!$D$2:$G$40,4,0)</f>
        <v>-6.8812050213,106.7893827682</v>
      </c>
      <c r="AH1276" s="5"/>
      <c r="AI1276" s="5"/>
      <c r="AJ1276" s="5"/>
      <c r="AK1276" s="5"/>
    </row>
    <row r="1277" spans="1:37">
      <c r="A1277" s="50">
        <v>191</v>
      </c>
      <c r="B1277" s="109">
        <v>45897.333784722199</v>
      </c>
      <c r="C1277" s="85">
        <v>45897.339594907397</v>
      </c>
      <c r="D1277" s="64" t="s">
        <v>2509</v>
      </c>
      <c r="E1277" s="64" t="s">
        <v>687</v>
      </c>
      <c r="F1277" s="5" t="s">
        <v>687</v>
      </c>
      <c r="G1277" s="64" t="s">
        <v>3199</v>
      </c>
      <c r="H1277" s="99">
        <v>45897</v>
      </c>
      <c r="I1277" s="91">
        <v>26.326000000000001</v>
      </c>
      <c r="J1277" s="91">
        <v>25.585999999999999</v>
      </c>
      <c r="K1277" s="91">
        <v>1.694</v>
      </c>
      <c r="L1277" s="91">
        <v>0</v>
      </c>
      <c r="M1277" s="91">
        <v>7.3659999999999997</v>
      </c>
      <c r="N1277" s="91">
        <v>0</v>
      </c>
      <c r="O1277" s="91">
        <v>0</v>
      </c>
      <c r="P1277" s="91">
        <v>0</v>
      </c>
      <c r="Q1277" s="91">
        <v>17.265999999999998</v>
      </c>
      <c r="R1277" s="91">
        <v>0</v>
      </c>
      <c r="S1277" s="91">
        <v>0</v>
      </c>
      <c r="T1277" s="91">
        <v>0</v>
      </c>
      <c r="U1277" s="91">
        <v>0</v>
      </c>
      <c r="V1277" s="91">
        <v>0</v>
      </c>
      <c r="W1277" s="91">
        <v>0</v>
      </c>
      <c r="X1277" s="91">
        <v>0</v>
      </c>
      <c r="Y1277" s="91">
        <v>0</v>
      </c>
      <c r="Z1277" s="91">
        <v>0</v>
      </c>
      <c r="AA1277" s="88" t="s">
        <v>3249</v>
      </c>
      <c r="AB1277" s="88" t="s">
        <v>3250</v>
      </c>
      <c r="AC1277" s="88" t="s">
        <v>3251</v>
      </c>
      <c r="AD1277" s="162" t="s">
        <v>3251</v>
      </c>
      <c r="AE1277" s="87">
        <v>45897</v>
      </c>
      <c r="AF1277" s="221" t="s">
        <v>3252</v>
      </c>
      <c r="AG1277" t="str">
        <f>VLOOKUP(OfficeForms.Table[[#This Row],[Nama Proyek]],'Nama Proyek'!$D$2:$G$40,4,0)</f>
        <v>-1.0121252,116.6635897</v>
      </c>
      <c r="AH1277" s="5"/>
      <c r="AI1277" s="5"/>
      <c r="AJ1277" s="5"/>
      <c r="AK1277" s="5"/>
    </row>
    <row r="1278" spans="1:37">
      <c r="A1278" s="50">
        <v>192</v>
      </c>
      <c r="B1278" s="109">
        <v>45898.628483796303</v>
      </c>
      <c r="C1278" s="85">
        <v>45898.629120370402</v>
      </c>
      <c r="D1278" s="64" t="s">
        <v>2781</v>
      </c>
      <c r="E1278" s="64" t="s">
        <v>1546</v>
      </c>
      <c r="F1278" s="5" t="s">
        <v>1546</v>
      </c>
      <c r="G1278" s="64" t="s">
        <v>1480</v>
      </c>
      <c r="H1278" s="99">
        <v>45898</v>
      </c>
      <c r="I1278" s="91">
        <v>90.206000000000003</v>
      </c>
      <c r="J1278" s="91">
        <v>96.201999999999998</v>
      </c>
      <c r="K1278" s="91"/>
      <c r="L1278" s="91"/>
      <c r="M1278" s="91"/>
      <c r="N1278" s="91"/>
      <c r="O1278" s="91"/>
      <c r="P1278" s="91"/>
      <c r="Q1278" s="91"/>
      <c r="R1278" s="91"/>
      <c r="S1278" s="91"/>
      <c r="T1278" s="91"/>
      <c r="U1278" s="91"/>
      <c r="V1278" s="91"/>
      <c r="W1278" s="91"/>
      <c r="X1278" s="91"/>
      <c r="Y1278" s="91"/>
      <c r="Z1278" s="91"/>
      <c r="AA1278" s="88" t="s">
        <v>3189</v>
      </c>
      <c r="AB1278" s="88" t="s">
        <v>3190</v>
      </c>
      <c r="AC1278" s="88" t="s">
        <v>3191</v>
      </c>
      <c r="AD1278" s="162" t="s">
        <v>3192</v>
      </c>
      <c r="AE1278" s="87"/>
      <c r="AF1278" s="221"/>
      <c r="AG1278" t="str">
        <f>VLOOKUP(OfficeForms.Table[[#This Row],[Nama Proyek]],'Nama Proyek'!$D$2:$G$29,4,0)</f>
        <v>-6.23191260,107.90813480</v>
      </c>
      <c r="AH1278" s="5"/>
      <c r="AI1278" s="5"/>
      <c r="AJ1278" s="5"/>
      <c r="AK1278" s="5"/>
    </row>
    <row r="1279" spans="1:37" ht="30.75">
      <c r="A1279" s="50">
        <v>193</v>
      </c>
      <c r="B1279" s="109">
        <v>45901.388009259303</v>
      </c>
      <c r="C1279" s="85">
        <v>45901.3914814815</v>
      </c>
      <c r="D1279" s="64" t="s">
        <v>3225</v>
      </c>
      <c r="E1279" s="64" t="s">
        <v>57</v>
      </c>
      <c r="F1279" s="5" t="s">
        <v>57</v>
      </c>
      <c r="G1279" s="64" t="s">
        <v>1484</v>
      </c>
      <c r="H1279" s="99">
        <v>45894</v>
      </c>
      <c r="I1279" s="91">
        <v>94.02</v>
      </c>
      <c r="J1279" s="91">
        <v>89.63</v>
      </c>
      <c r="K1279" s="91">
        <v>1.3819999999999999</v>
      </c>
      <c r="L1279" s="91">
        <v>4.8230000000000004</v>
      </c>
      <c r="M1279" s="91">
        <v>35</v>
      </c>
      <c r="N1279" s="91"/>
      <c r="O1279" s="91">
        <v>1.627</v>
      </c>
      <c r="P1279" s="91">
        <v>5.6239999999999997</v>
      </c>
      <c r="Q1279" s="91">
        <v>44.868000000000002</v>
      </c>
      <c r="R1279" s="91"/>
      <c r="S1279" s="91">
        <v>0.69599999999999995</v>
      </c>
      <c r="T1279" s="91"/>
      <c r="U1279" s="91"/>
      <c r="V1279" s="91"/>
      <c r="W1279" s="91"/>
      <c r="X1279" s="91"/>
      <c r="Y1279" s="91"/>
      <c r="Z1279" s="91"/>
      <c r="AA1279" s="88" t="s">
        <v>3253</v>
      </c>
      <c r="AB1279" s="88" t="s">
        <v>3254</v>
      </c>
      <c r="AC1279" s="88" t="s">
        <v>3255</v>
      </c>
      <c r="AD1279" s="162" t="s">
        <v>3255</v>
      </c>
      <c r="AE1279" s="87">
        <v>45894</v>
      </c>
      <c r="AF1279" s="221" t="s">
        <v>3256</v>
      </c>
      <c r="AG1279" t="str">
        <f>VLOOKUP(OfficeForms.Table[[#This Row],[Nama Proyek]],'Nama Proyek'!$D$2:$G$29,4,0)</f>
        <v>-8.01003300,110.33312900</v>
      </c>
      <c r="AH1279" s="5"/>
      <c r="AI1279" s="5"/>
      <c r="AJ1279" s="5"/>
      <c r="AK1279" s="5"/>
    </row>
    <row r="1280" spans="1:37" ht="45.75">
      <c r="A1280" s="50">
        <v>194</v>
      </c>
      <c r="B1280" s="109">
        <v>45901.399421296301</v>
      </c>
      <c r="C1280" s="85">
        <v>45901.412013888897</v>
      </c>
      <c r="D1280" s="64" t="s">
        <v>2600</v>
      </c>
      <c r="E1280" s="64" t="s">
        <v>855</v>
      </c>
      <c r="F1280" s="5" t="s">
        <v>855</v>
      </c>
      <c r="G1280" s="64" t="s">
        <v>2601</v>
      </c>
      <c r="H1280" s="99">
        <v>45894</v>
      </c>
      <c r="I1280" s="91">
        <v>69.201999999999998</v>
      </c>
      <c r="J1280" s="91">
        <v>67.488</v>
      </c>
      <c r="K1280" s="91">
        <v>0.83799999999999997</v>
      </c>
      <c r="L1280" s="91">
        <v>0.252</v>
      </c>
      <c r="M1280" s="91">
        <v>2.6120000000000001</v>
      </c>
      <c r="N1280" s="91"/>
      <c r="O1280" s="91">
        <v>0.08</v>
      </c>
      <c r="P1280" s="91">
        <v>0.625</v>
      </c>
      <c r="Q1280" s="91">
        <v>64.747</v>
      </c>
      <c r="R1280" s="91"/>
      <c r="S1280" s="91">
        <v>4.7E-2</v>
      </c>
      <c r="T1280" s="91"/>
      <c r="U1280" s="91"/>
      <c r="V1280" s="91"/>
      <c r="W1280" s="91"/>
      <c r="X1280" s="91"/>
      <c r="Y1280" s="91"/>
      <c r="Z1280" s="91"/>
      <c r="AA1280" s="88" t="s">
        <v>3257</v>
      </c>
      <c r="AB1280" s="88" t="s">
        <v>3258</v>
      </c>
      <c r="AC1280" s="88" t="s">
        <v>3259</v>
      </c>
      <c r="AD1280" s="162" t="s">
        <v>3260</v>
      </c>
      <c r="AE1280" s="87">
        <v>45894</v>
      </c>
      <c r="AF1280" s="221" t="s">
        <v>3261</v>
      </c>
      <c r="AG1280" t="str">
        <f>VLOOKUP(OfficeForms.Table[[#This Row],[Nama Proyek]],'Nama Proyek'!$D$2:$G$29,4,0)</f>
        <v>-1.13731907,116.79020552</v>
      </c>
      <c r="AH1280" s="5"/>
      <c r="AI1280" s="5"/>
      <c r="AJ1280" s="5"/>
      <c r="AK1280" s="5"/>
    </row>
    <row r="1281" spans="1:37" ht="381.75">
      <c r="A1281" s="50">
        <v>195</v>
      </c>
      <c r="B1281" s="109">
        <v>45901.415937500002</v>
      </c>
      <c r="C1281" s="85">
        <v>45901.421099537001</v>
      </c>
      <c r="D1281" s="64" t="s">
        <v>2718</v>
      </c>
      <c r="E1281" s="64" t="s">
        <v>82</v>
      </c>
      <c r="F1281" s="5" t="s">
        <v>82</v>
      </c>
      <c r="G1281" s="64" t="s">
        <v>1317</v>
      </c>
      <c r="H1281" s="99">
        <v>45900</v>
      </c>
      <c r="I1281" s="91">
        <v>79.588232764015402</v>
      </c>
      <c r="J1281" s="91">
        <v>84.177889249725297</v>
      </c>
      <c r="K1281" s="91">
        <v>1.1032519178689</v>
      </c>
      <c r="L1281" s="91">
        <v>0.189207762212797</v>
      </c>
      <c r="M1281" s="91">
        <v>7.6615040974589904E-2</v>
      </c>
      <c r="N1281" s="91">
        <v>35.655576818997602</v>
      </c>
      <c r="O1281" s="91">
        <v>0.246135896453511</v>
      </c>
      <c r="P1281" s="91">
        <v>0.92788075663918201</v>
      </c>
      <c r="Q1281" s="91">
        <v>9.1338129869977899E-2</v>
      </c>
      <c r="R1281" s="91">
        <v>1.30376288722693</v>
      </c>
      <c r="S1281" s="91">
        <v>6.7998637742347299</v>
      </c>
      <c r="T1281" s="91">
        <v>25.1500674637735</v>
      </c>
      <c r="U1281" s="91">
        <v>0</v>
      </c>
      <c r="V1281" s="91">
        <v>7.69905890704917</v>
      </c>
      <c r="W1281" s="91">
        <v>0</v>
      </c>
      <c r="X1281" s="91">
        <v>0</v>
      </c>
      <c r="Y1281" s="91">
        <v>0.34547340871454602</v>
      </c>
      <c r="Z1281" s="91">
        <v>0</v>
      </c>
      <c r="AA1281" s="88" t="s">
        <v>3262</v>
      </c>
      <c r="AB1281" s="88" t="s">
        <v>3084</v>
      </c>
      <c r="AC1281" s="88" t="s">
        <v>2413</v>
      </c>
      <c r="AD1281" s="162" t="s">
        <v>2413</v>
      </c>
      <c r="AE1281" s="87">
        <v>45900</v>
      </c>
      <c r="AF1281" s="221" t="s">
        <v>3263</v>
      </c>
      <c r="AG1281" t="str">
        <f>VLOOKUP(OfficeForms.Table[[#This Row],[Nama Proyek]],'Nama Proyek'!$D$2:$G$29,4,0)</f>
        <v>-7.72647690,113.63515320</v>
      </c>
      <c r="AH1281" s="5"/>
      <c r="AI1281" s="5"/>
      <c r="AJ1281" s="5"/>
      <c r="AK1281" s="5"/>
    </row>
    <row r="1282" spans="1:37" ht="290.25">
      <c r="A1282" s="50">
        <v>196</v>
      </c>
      <c r="B1282" s="109">
        <v>45927.503391203703</v>
      </c>
      <c r="C1282" s="85">
        <v>45927.507106481498</v>
      </c>
      <c r="D1282" s="64" t="s">
        <v>2546</v>
      </c>
      <c r="E1282" s="64" t="s">
        <v>85</v>
      </c>
      <c r="F1282" s="5" t="s">
        <v>85</v>
      </c>
      <c r="G1282" s="64" t="s">
        <v>2336</v>
      </c>
      <c r="H1282" s="99">
        <v>45925</v>
      </c>
      <c r="I1282" s="91">
        <v>57.228999999999999</v>
      </c>
      <c r="J1282" s="91">
        <v>86.685000000000002</v>
      </c>
      <c r="K1282" s="91">
        <v>2.5169999999999999</v>
      </c>
      <c r="L1282" s="91">
        <v>0.16600000000000001</v>
      </c>
      <c r="M1282" s="91">
        <v>0</v>
      </c>
      <c r="N1282" s="91">
        <v>21.257999999999999</v>
      </c>
      <c r="O1282" s="91">
        <v>0.104</v>
      </c>
      <c r="P1282" s="91">
        <v>0</v>
      </c>
      <c r="Q1282" s="91">
        <v>0</v>
      </c>
      <c r="R1282" s="91">
        <v>0</v>
      </c>
      <c r="S1282" s="91">
        <v>0</v>
      </c>
      <c r="T1282" s="91">
        <v>33.155000000000001</v>
      </c>
      <c r="U1282" s="91">
        <v>0</v>
      </c>
      <c r="V1282" s="91">
        <v>0</v>
      </c>
      <c r="W1282" s="91">
        <v>0</v>
      </c>
      <c r="X1282" s="91">
        <v>0</v>
      </c>
      <c r="Y1282" s="91">
        <v>2.7E-2</v>
      </c>
      <c r="Z1282" s="91">
        <v>0</v>
      </c>
      <c r="AA1282" s="88" t="s">
        <v>3264</v>
      </c>
      <c r="AB1282" s="88" t="s">
        <v>3265</v>
      </c>
      <c r="AC1282" s="88" t="s">
        <v>3266</v>
      </c>
      <c r="AD1282" s="162" t="s">
        <v>3266</v>
      </c>
      <c r="AE1282" s="87">
        <v>45925</v>
      </c>
      <c r="AF1282" s="221" t="s">
        <v>3267</v>
      </c>
      <c r="AG1282" t="e">
        <f>VLOOKUP(OfficeForms.Table[[#This Row],[Nama Proyek]],'Nama Proyek'!$D$2:$G$29,4,0)</f>
        <v>#N/A</v>
      </c>
      <c r="AH1282" s="5"/>
      <c r="AI1282" s="5"/>
      <c r="AJ1282" s="5"/>
      <c r="AK1282" s="5"/>
    </row>
    <row r="1283" spans="1:37" ht="45.75">
      <c r="A1283" s="50">
        <v>197</v>
      </c>
      <c r="B1283" s="109">
        <v>45927.600497685198</v>
      </c>
      <c r="C1283" s="85">
        <v>45927.614606481497</v>
      </c>
      <c r="D1283" s="64" t="s">
        <v>2525</v>
      </c>
      <c r="E1283" s="64" t="s">
        <v>47</v>
      </c>
      <c r="F1283" s="5" t="s">
        <v>214</v>
      </c>
      <c r="G1283" s="64" t="s">
        <v>2734</v>
      </c>
      <c r="H1283" s="99">
        <v>45925</v>
      </c>
      <c r="I1283" s="91">
        <v>30.306000000000001</v>
      </c>
      <c r="J1283" s="91">
        <v>31.248999999999999</v>
      </c>
      <c r="K1283" s="91">
        <v>0.98699999999999999</v>
      </c>
      <c r="L1283" s="91">
        <v>0.123</v>
      </c>
      <c r="M1283" s="91">
        <v>1.4999999999999999E-2</v>
      </c>
      <c r="N1283" s="91">
        <v>5.2270000000000003</v>
      </c>
      <c r="O1283" s="91">
        <v>0.56100000000000005</v>
      </c>
      <c r="P1283" s="91">
        <v>4.7E-2</v>
      </c>
      <c r="Q1283" s="91">
        <v>6.0000000000000001E-3</v>
      </c>
      <c r="R1283" s="91">
        <v>6.5000000000000002E-2</v>
      </c>
      <c r="S1283" s="91">
        <v>8.4000000000000005E-2</v>
      </c>
      <c r="T1283" s="91">
        <v>17.568999999999999</v>
      </c>
      <c r="U1283" s="91"/>
      <c r="V1283" s="91"/>
      <c r="W1283" s="91">
        <v>4.0000000000000001E-3</v>
      </c>
      <c r="X1283" s="91"/>
      <c r="Y1283" s="91">
        <v>4.4999999999999998E-2</v>
      </c>
      <c r="Z1283" s="91"/>
      <c r="AA1283" s="88" t="s">
        <v>3268</v>
      </c>
      <c r="AB1283" s="88" t="s">
        <v>3269</v>
      </c>
      <c r="AC1283" s="88" t="s">
        <v>3270</v>
      </c>
      <c r="AD1283" s="162" t="s">
        <v>3271</v>
      </c>
      <c r="AE1283" s="87">
        <v>45925</v>
      </c>
      <c r="AF1283" s="221" t="s">
        <v>3272</v>
      </c>
      <c r="AG1283" t="str">
        <f>VLOOKUP(OfficeForms.Table[[#This Row],[Nama Proyek]],'Nama Proyek'!$D$2:$G$40,4,0)</f>
        <v>-6.8812050213,106.7893827682</v>
      </c>
      <c r="AH1283" s="5"/>
      <c r="AI1283" s="5"/>
      <c r="AJ1283" s="5"/>
      <c r="AK1283" s="5"/>
    </row>
    <row r="1284" spans="1:37">
      <c r="A1284" s="50">
        <v>198</v>
      </c>
      <c r="B1284" s="109">
        <v>45928.4832986111</v>
      </c>
      <c r="C1284" s="85">
        <v>45928.486736111103</v>
      </c>
      <c r="D1284" s="64" t="s">
        <v>2509</v>
      </c>
      <c r="E1284" s="64" t="s">
        <v>687</v>
      </c>
      <c r="F1284" s="5" t="s">
        <v>687</v>
      </c>
      <c r="G1284" s="64" t="s">
        <v>3199</v>
      </c>
      <c r="H1284" s="99">
        <v>45929</v>
      </c>
      <c r="I1284" s="91">
        <v>46.883000000000003</v>
      </c>
      <c r="J1284" s="91">
        <v>40.026200000000003</v>
      </c>
      <c r="K1284" s="91">
        <v>2.0630000000000002</v>
      </c>
      <c r="L1284" s="91">
        <v>0.90900000000000003</v>
      </c>
      <c r="M1284" s="91">
        <v>13.789</v>
      </c>
      <c r="N1284" s="91"/>
      <c r="O1284" s="91">
        <v>2.3980000000000001</v>
      </c>
      <c r="P1284" s="91"/>
      <c r="Q1284" s="91">
        <v>27.722999999999999</v>
      </c>
      <c r="R1284" s="91"/>
      <c r="S1284" s="91"/>
      <c r="T1284" s="91"/>
      <c r="U1284" s="91"/>
      <c r="V1284" s="91"/>
      <c r="W1284" s="91"/>
      <c r="X1284" s="91"/>
      <c r="Y1284" s="91"/>
      <c r="Z1284" s="91"/>
      <c r="AA1284" s="88" t="s">
        <v>3273</v>
      </c>
      <c r="AB1284" s="88" t="s">
        <v>3274</v>
      </c>
      <c r="AC1284" s="88" t="s">
        <v>3275</v>
      </c>
      <c r="AD1284" s="162" t="s">
        <v>3275</v>
      </c>
      <c r="AE1284" s="87">
        <v>45929</v>
      </c>
      <c r="AF1284" s="221" t="s">
        <v>3276</v>
      </c>
      <c r="AG1284" t="str">
        <f>VLOOKUP(OfficeForms.Table[[#This Row],[Nama Proyek]],'Nama Proyek'!$D$2:$G$40,4,0)</f>
        <v>-1.0121252,116.6635897</v>
      </c>
      <c r="AH1284" s="5"/>
      <c r="AI1284" s="5"/>
      <c r="AJ1284" s="5"/>
      <c r="AK1284" s="5"/>
    </row>
    <row r="1285" spans="1:37" ht="60.75">
      <c r="A1285" s="50">
        <v>199</v>
      </c>
      <c r="B1285" s="109">
        <v>45929.5178703704</v>
      </c>
      <c r="C1285" s="85">
        <v>45929.517905092602</v>
      </c>
      <c r="D1285" s="64" t="s">
        <v>2600</v>
      </c>
      <c r="E1285" s="64" t="s">
        <v>855</v>
      </c>
      <c r="F1285" s="5" t="s">
        <v>855</v>
      </c>
      <c r="G1285" s="64" t="s">
        <v>2601</v>
      </c>
      <c r="H1285" s="99">
        <v>45925</v>
      </c>
      <c r="I1285" s="91">
        <v>72.173000000000002</v>
      </c>
      <c r="J1285" s="91">
        <v>69.954999999999998</v>
      </c>
      <c r="K1285" s="91">
        <v>0.80300000000000005</v>
      </c>
      <c r="L1285" s="91">
        <v>0.252</v>
      </c>
      <c r="M1285" s="91">
        <v>2.7120000000000002</v>
      </c>
      <c r="N1285" s="91"/>
      <c r="O1285" s="91">
        <v>0.08</v>
      </c>
      <c r="P1285" s="91">
        <v>0.625</v>
      </c>
      <c r="Q1285" s="91">
        <v>67.653000000000006</v>
      </c>
      <c r="R1285" s="91"/>
      <c r="S1285" s="91">
        <v>4.7E-2</v>
      </c>
      <c r="T1285" s="91"/>
      <c r="U1285" s="91"/>
      <c r="V1285" s="91"/>
      <c r="W1285" s="91"/>
      <c r="X1285" s="91"/>
      <c r="Y1285" s="91"/>
      <c r="Z1285" s="91"/>
      <c r="AA1285" s="88" t="s">
        <v>3277</v>
      </c>
      <c r="AB1285" s="88" t="s">
        <v>3278</v>
      </c>
      <c r="AC1285" s="88" t="s">
        <v>2604</v>
      </c>
      <c r="AD1285" s="162" t="s">
        <v>3279</v>
      </c>
      <c r="AE1285" s="87">
        <v>45925</v>
      </c>
      <c r="AF1285" s="221" t="s">
        <v>3280</v>
      </c>
      <c r="AG1285" t="str">
        <f>VLOOKUP(OfficeForms.Table[[#This Row],[Nama Proyek]],'Nama Proyek'!$D$2:$G$29,4,0)</f>
        <v>-1.13731907,116.79020552</v>
      </c>
      <c r="AH1285" s="5"/>
      <c r="AI1285" s="5"/>
      <c r="AJ1285" s="5"/>
      <c r="AK1285" s="5"/>
    </row>
    <row r="1286" spans="1:37">
      <c r="A1286" s="50">
        <v>200</v>
      </c>
      <c r="B1286" s="109">
        <v>45929.564780092602</v>
      </c>
      <c r="C1286" s="85">
        <v>45929.567430555602</v>
      </c>
      <c r="D1286" s="64" t="s">
        <v>2761</v>
      </c>
      <c r="E1286" s="64" t="s">
        <v>2762</v>
      </c>
      <c r="F1286" s="5" t="s">
        <v>2762</v>
      </c>
      <c r="G1286" s="64" t="s">
        <v>2484</v>
      </c>
      <c r="H1286" s="99">
        <v>45925</v>
      </c>
      <c r="I1286" s="91">
        <v>90.646000000000001</v>
      </c>
      <c r="J1286" s="91">
        <v>69.819999999999993</v>
      </c>
      <c r="K1286" s="91">
        <v>0.52500000000000002</v>
      </c>
      <c r="L1286" s="91">
        <v>9.4030000000000005</v>
      </c>
      <c r="M1286" s="91">
        <v>54.256</v>
      </c>
      <c r="N1286" s="91">
        <v>0</v>
      </c>
      <c r="O1286" s="91">
        <v>6.5679999999999996</v>
      </c>
      <c r="P1286" s="91">
        <v>9.1859999999999999</v>
      </c>
      <c r="Q1286" s="91">
        <v>8.2070000000000007</v>
      </c>
      <c r="R1286" s="91">
        <v>0</v>
      </c>
      <c r="S1286" s="91">
        <v>2.5289999999999999</v>
      </c>
      <c r="T1286" s="91"/>
      <c r="U1286" s="91"/>
      <c r="V1286" s="91"/>
      <c r="W1286" s="91"/>
      <c r="X1286" s="91"/>
      <c r="Y1286" s="91"/>
      <c r="Z1286" s="91"/>
      <c r="AA1286" s="88" t="s">
        <v>3281</v>
      </c>
      <c r="AB1286" s="88" t="s">
        <v>3282</v>
      </c>
      <c r="AC1286" s="88" t="s">
        <v>3283</v>
      </c>
      <c r="AD1286" s="162" t="s">
        <v>3284</v>
      </c>
      <c r="AE1286" s="87"/>
      <c r="AF1286" s="221"/>
      <c r="AG1286" t="str">
        <f>VLOOKUP(OfficeForms.Table[[#This Row],[Nama Proyek]],'Nama Proyek'!$D$2:$G$29,4,0)</f>
        <v>-8.30961900,112.11101000</v>
      </c>
      <c r="AH1286" s="5"/>
      <c r="AI1286" s="5"/>
      <c r="AJ1286" s="5"/>
      <c r="AK1286" s="5"/>
    </row>
    <row r="1287" spans="1:37">
      <c r="A1287" s="50">
        <v>201</v>
      </c>
      <c r="B1287" s="109">
        <v>45929.700752314799</v>
      </c>
      <c r="C1287" s="85">
        <v>45929.702835648102</v>
      </c>
      <c r="D1287" s="64" t="s">
        <v>3225</v>
      </c>
      <c r="E1287" s="64" t="s">
        <v>57</v>
      </c>
      <c r="F1287" s="5" t="s">
        <v>57</v>
      </c>
      <c r="G1287" s="64" t="s">
        <v>1484</v>
      </c>
      <c r="H1287" s="99">
        <v>45925</v>
      </c>
      <c r="I1287" s="91">
        <v>95.486000000000004</v>
      </c>
      <c r="J1287" s="91">
        <v>91.968999999999994</v>
      </c>
      <c r="K1287" s="91">
        <v>1.383</v>
      </c>
      <c r="L1287" s="91">
        <v>4.8230000000000004</v>
      </c>
      <c r="M1287" s="91">
        <v>35.073</v>
      </c>
      <c r="N1287" s="91"/>
      <c r="O1287" s="91">
        <v>1.627</v>
      </c>
      <c r="P1287" s="91">
        <v>6.0720000000000001</v>
      </c>
      <c r="Q1287" s="91">
        <v>44.868000000000002</v>
      </c>
      <c r="R1287" s="91"/>
      <c r="S1287" s="91">
        <v>1.641</v>
      </c>
      <c r="T1287" s="91"/>
      <c r="U1287" s="91"/>
      <c r="V1287" s="91"/>
      <c r="W1287" s="91"/>
      <c r="X1287" s="91"/>
      <c r="Y1287" s="91"/>
      <c r="Z1287" s="91"/>
      <c r="AA1287" s="88" t="s">
        <v>3285</v>
      </c>
      <c r="AB1287" s="88" t="s">
        <v>3286</v>
      </c>
      <c r="AC1287" s="88" t="s">
        <v>3287</v>
      </c>
      <c r="AD1287" s="162" t="s">
        <v>3287</v>
      </c>
      <c r="AE1287" s="87">
        <v>45925</v>
      </c>
      <c r="AF1287" s="221" t="s">
        <v>3288</v>
      </c>
      <c r="AG1287" t="str">
        <f>VLOOKUP(OfficeForms.Table[[#This Row],[Nama Proyek]],'Nama Proyek'!$D$2:$G$29,4,0)</f>
        <v>-8.01003300,110.33312900</v>
      </c>
      <c r="AH1287" s="5"/>
      <c r="AI1287" s="5"/>
      <c r="AJ1287" s="5"/>
      <c r="AK1287" s="5"/>
    </row>
    <row r="1288" spans="1:37" ht="229.5">
      <c r="A1288" s="50">
        <v>202</v>
      </c>
      <c r="B1288" s="109">
        <v>45930.368229166699</v>
      </c>
      <c r="C1288" s="85">
        <v>45930.373310185198</v>
      </c>
      <c r="D1288" s="64" t="s">
        <v>2718</v>
      </c>
      <c r="E1288" s="64" t="s">
        <v>82</v>
      </c>
      <c r="F1288" s="5" t="s">
        <v>82</v>
      </c>
      <c r="G1288" s="64" t="s">
        <v>1317</v>
      </c>
      <c r="H1288" s="99">
        <v>45928</v>
      </c>
      <c r="I1288" s="91">
        <v>82.751093151434006</v>
      </c>
      <c r="J1288" s="91">
        <v>88.243536910364</v>
      </c>
      <c r="K1288" s="91">
        <v>1.10705821400871</v>
      </c>
      <c r="L1288" s="91">
        <v>0.189207762212797</v>
      </c>
      <c r="M1288" s="91">
        <v>7.6972524121073194E-2</v>
      </c>
      <c r="N1288" s="91">
        <v>35.731588566145497</v>
      </c>
      <c r="O1288" s="91">
        <v>0.325111692653481</v>
      </c>
      <c r="P1288" s="91">
        <v>1.14361064522992</v>
      </c>
      <c r="Q1288" s="91">
        <v>9.1649739183240195E-2</v>
      </c>
      <c r="R1288" s="91">
        <v>1.3126664804274799</v>
      </c>
      <c r="S1288" s="91">
        <v>7.9766462478361602</v>
      </c>
      <c r="T1288" s="91">
        <v>26.286980308131302</v>
      </c>
      <c r="U1288" s="91">
        <v>0</v>
      </c>
      <c r="V1288" s="91">
        <v>7.8433153080332403</v>
      </c>
      <c r="W1288" s="91">
        <v>0</v>
      </c>
      <c r="X1288" s="91">
        <v>0</v>
      </c>
      <c r="Y1288" s="91">
        <v>0.66628566345113405</v>
      </c>
      <c r="Z1288" s="91">
        <v>0</v>
      </c>
      <c r="AA1288" s="88" t="s">
        <v>3289</v>
      </c>
      <c r="AB1288" s="88" t="s">
        <v>3084</v>
      </c>
      <c r="AC1288" s="88" t="s">
        <v>2413</v>
      </c>
      <c r="AD1288" s="162" t="s">
        <v>2413</v>
      </c>
      <c r="AE1288" s="87">
        <v>45928</v>
      </c>
      <c r="AF1288" s="221" t="s">
        <v>3290</v>
      </c>
      <c r="AG1288" t="str">
        <f>VLOOKUP(OfficeForms.Table[[#This Row],[Nama Proyek]],'Nama Proyek'!$D$2:$G$29,4,0)</f>
        <v>-7.72647690,113.63515320</v>
      </c>
      <c r="AH1288" s="5"/>
      <c r="AI1288" s="5"/>
      <c r="AJ1288" s="5"/>
      <c r="AK1288" s="5"/>
    </row>
    <row r="1289" spans="1:37" ht="167.25">
      <c r="A1289" s="50">
        <v>203</v>
      </c>
      <c r="B1289" s="109">
        <v>45930.634629629603</v>
      </c>
      <c r="C1289" s="85">
        <v>45930.645925925899</v>
      </c>
      <c r="D1289" s="64" t="s">
        <v>3051</v>
      </c>
      <c r="E1289" s="64" t="s">
        <v>3052</v>
      </c>
      <c r="F1289" s="5" t="s">
        <v>3052</v>
      </c>
      <c r="G1289" s="64" t="s">
        <v>2267</v>
      </c>
      <c r="H1289" s="99">
        <v>45928</v>
      </c>
      <c r="I1289" s="91">
        <v>68.364000000000004</v>
      </c>
      <c r="J1289" s="91">
        <v>69.957999999999998</v>
      </c>
      <c r="K1289" s="91">
        <v>0</v>
      </c>
      <c r="L1289" s="91">
        <v>0</v>
      </c>
      <c r="M1289" s="91">
        <v>0</v>
      </c>
      <c r="N1289" s="91">
        <v>0.59799999999999998</v>
      </c>
      <c r="O1289" s="91">
        <v>1.0999999999999999E-2</v>
      </c>
      <c r="P1289" s="91">
        <v>2.1000000000000001E-2</v>
      </c>
      <c r="Q1289" s="91">
        <v>1E-3</v>
      </c>
      <c r="R1289" s="91">
        <v>3.3000000000000002E-2</v>
      </c>
      <c r="S1289" s="91">
        <v>6.2E-2</v>
      </c>
      <c r="T1289" s="91">
        <v>0.36599999999999999</v>
      </c>
      <c r="U1289" s="91">
        <v>0</v>
      </c>
      <c r="V1289" s="91">
        <v>3.6999999999999998E-2</v>
      </c>
      <c r="W1289" s="91">
        <v>3.0000000000000001E-3</v>
      </c>
      <c r="X1289" s="91">
        <v>0</v>
      </c>
      <c r="Y1289" s="91">
        <v>0</v>
      </c>
      <c r="Z1289" s="91">
        <v>0</v>
      </c>
      <c r="AA1289" s="88" t="s">
        <v>3291</v>
      </c>
      <c r="AB1289" s="88" t="s">
        <v>3292</v>
      </c>
      <c r="AC1289" s="88" t="s">
        <v>3293</v>
      </c>
      <c r="AD1289" s="162" t="s">
        <v>3294</v>
      </c>
      <c r="AE1289" s="87">
        <v>45928</v>
      </c>
      <c r="AF1289" s="221" t="s">
        <v>3295</v>
      </c>
      <c r="AG1289" t="e">
        <f>VLOOKUP(OfficeForms.Table[[#This Row],[Nama Proyek]],'Nama Proyek'!$D$2:$G$29,4,0)</f>
        <v>#N/A</v>
      </c>
      <c r="AH1289" s="5"/>
      <c r="AI1289" s="5"/>
      <c r="AJ1289" s="5"/>
      <c r="AK1289" s="5"/>
    </row>
    <row r="1290" spans="1:37">
      <c r="A1290" s="50">
        <v>204</v>
      </c>
      <c r="B1290" s="109">
        <v>45931.357002314799</v>
      </c>
      <c r="C1290" s="85">
        <v>45931.358043981498</v>
      </c>
      <c r="D1290" s="64" t="s">
        <v>2585</v>
      </c>
      <c r="E1290" s="64" t="s">
        <v>2586</v>
      </c>
      <c r="F1290" s="5" t="s">
        <v>1479</v>
      </c>
      <c r="G1290" s="64" t="s">
        <v>1480</v>
      </c>
      <c r="H1290" s="99">
        <v>45921</v>
      </c>
      <c r="I1290" s="91">
        <v>91.552999999999997</v>
      </c>
      <c r="J1290" s="91">
        <v>97.53</v>
      </c>
      <c r="K1290" s="91"/>
      <c r="L1290" s="91"/>
      <c r="M1290" s="91"/>
      <c r="N1290" s="91"/>
      <c r="O1290" s="91"/>
      <c r="P1290" s="91"/>
      <c r="Q1290" s="91"/>
      <c r="R1290" s="91"/>
      <c r="S1290" s="91"/>
      <c r="T1290" s="91"/>
      <c r="U1290" s="91"/>
      <c r="V1290" s="91"/>
      <c r="W1290" s="91"/>
      <c r="X1290" s="91"/>
      <c r="Y1290" s="91"/>
      <c r="Z1290" s="91"/>
      <c r="AA1290" s="88"/>
      <c r="AB1290" s="88"/>
      <c r="AC1290" s="88"/>
      <c r="AD1290" s="162"/>
      <c r="AE1290" s="87"/>
      <c r="AF1290" s="221"/>
      <c r="AG1290" t="str">
        <f>VLOOKUP(OfficeForms.Table[[#This Row],[Nama Proyek]],'Nama Proyek'!$D$2:$G$29,4,0)</f>
        <v>-6.23191260,107.90813480</v>
      </c>
      <c r="AH1290" s="5"/>
      <c r="AI1290" s="5"/>
      <c r="AJ1290" s="5"/>
      <c r="AK1290" s="5"/>
    </row>
    <row r="1291" spans="1:37">
      <c r="A1291" s="50">
        <v>205</v>
      </c>
      <c r="B1291" s="109">
        <v>45931.4041782407</v>
      </c>
      <c r="C1291" s="85">
        <v>45931.404918981498</v>
      </c>
      <c r="D1291" s="64" t="s">
        <v>2781</v>
      </c>
      <c r="E1291" s="64" t="s">
        <v>1546</v>
      </c>
      <c r="F1291" s="5" t="s">
        <v>2586</v>
      </c>
      <c r="G1291" s="64" t="s">
        <v>1480</v>
      </c>
      <c r="H1291" s="99">
        <v>45930</v>
      </c>
      <c r="I1291" s="91"/>
      <c r="J1291" s="91"/>
      <c r="K1291" s="91"/>
      <c r="L1291" s="91"/>
      <c r="M1291" s="91"/>
      <c r="N1291" s="91"/>
      <c r="O1291" s="91"/>
      <c r="P1291" s="91"/>
      <c r="Q1291" s="91"/>
      <c r="R1291" s="91"/>
      <c r="S1291" s="91"/>
      <c r="T1291" s="91"/>
      <c r="U1291" s="91"/>
      <c r="V1291" s="91"/>
      <c r="W1291" s="91"/>
      <c r="X1291" s="91"/>
      <c r="Y1291" s="91"/>
      <c r="Z1291" s="91"/>
      <c r="AA1291" s="88" t="s">
        <v>3189</v>
      </c>
      <c r="AB1291" s="88" t="s">
        <v>3190</v>
      </c>
      <c r="AC1291" s="88" t="s">
        <v>3191</v>
      </c>
      <c r="AD1291" s="162" t="s">
        <v>3192</v>
      </c>
      <c r="AE1291" s="87"/>
      <c r="AF1291" s="221"/>
      <c r="AG1291" t="str">
        <f>VLOOKUP(OfficeForms.Table[[#This Row],[Nama Proyek]],'Nama Proyek'!$D$2:$G$29,4,0)</f>
        <v>-6.23191260,107.90813480</v>
      </c>
      <c r="AH1291" s="5"/>
      <c r="AI1291" s="5"/>
      <c r="AJ1291" s="5"/>
      <c r="AK1291" s="5"/>
    </row>
    <row r="1292" spans="1:37">
      <c r="A1292" s="50">
        <v>206</v>
      </c>
      <c r="B1292" s="110">
        <v>45954.415023148104</v>
      </c>
      <c r="C1292" s="85">
        <v>45954.4217824074</v>
      </c>
      <c r="D1292" s="64" t="s">
        <v>2509</v>
      </c>
      <c r="E1292" s="64" t="s">
        <v>687</v>
      </c>
      <c r="F1292" s="5" t="s">
        <v>687</v>
      </c>
      <c r="G1292" s="64" t="s">
        <v>3199</v>
      </c>
      <c r="H1292" s="99">
        <v>45955</v>
      </c>
      <c r="I1292" s="91">
        <v>67.418000000000006</v>
      </c>
      <c r="J1292" s="91">
        <v>64.697000000000003</v>
      </c>
      <c r="K1292" s="91">
        <v>2.0640000000000001</v>
      </c>
      <c r="L1292" s="91">
        <v>2.3719999999999999</v>
      </c>
      <c r="M1292" s="91">
        <v>19.122</v>
      </c>
      <c r="N1292" s="91">
        <v>0</v>
      </c>
      <c r="O1292" s="91">
        <v>8.6140000000000008</v>
      </c>
      <c r="P1292" s="91">
        <v>0</v>
      </c>
      <c r="Q1292" s="91">
        <v>35.246000000000002</v>
      </c>
      <c r="R1292" s="91">
        <v>0</v>
      </c>
      <c r="S1292" s="91">
        <v>0</v>
      </c>
      <c r="T1292" s="91">
        <v>0</v>
      </c>
      <c r="U1292" s="91">
        <v>0</v>
      </c>
      <c r="V1292" s="91">
        <v>0</v>
      </c>
      <c r="W1292" s="91">
        <v>0</v>
      </c>
      <c r="X1292" s="91">
        <v>0</v>
      </c>
      <c r="Y1292" s="91">
        <v>0</v>
      </c>
      <c r="Z1292" s="91">
        <v>0</v>
      </c>
      <c r="AA1292" s="88" t="s">
        <v>3296</v>
      </c>
      <c r="AB1292" s="88" t="s">
        <v>3297</v>
      </c>
      <c r="AC1292" s="88" t="s">
        <v>3298</v>
      </c>
      <c r="AD1292" s="162" t="s">
        <v>3298</v>
      </c>
      <c r="AE1292" s="87">
        <v>45955</v>
      </c>
      <c r="AF1292" s="221" t="s">
        <v>3299</v>
      </c>
      <c r="AG1292" t="e">
        <f>VLOOKUP(OfficeForms.Table[[#This Row],[Nama Proyek]],'Nama Proyek'!$D$2:$G$29,4,0)</f>
        <v>#N/A</v>
      </c>
      <c r="AH1292" s="5"/>
      <c r="AI1292" s="5"/>
      <c r="AJ1292" s="5"/>
      <c r="AK1292" s="5"/>
    </row>
    <row r="1293" spans="1:37" ht="76.5">
      <c r="A1293" s="50">
        <v>207</v>
      </c>
      <c r="B1293" s="109">
        <v>45958.443078703698</v>
      </c>
      <c r="C1293" s="85">
        <v>45958.443113425899</v>
      </c>
      <c r="D1293" s="64" t="s">
        <v>2546</v>
      </c>
      <c r="E1293" s="64" t="s">
        <v>85</v>
      </c>
      <c r="F1293" s="5" t="s">
        <v>2421</v>
      </c>
      <c r="G1293" s="64" t="s">
        <v>2336</v>
      </c>
      <c r="H1293" s="99">
        <v>45956</v>
      </c>
      <c r="I1293" s="91">
        <v>58.868000000000002</v>
      </c>
      <c r="J1293" s="91">
        <v>93.394000000000005</v>
      </c>
      <c r="K1293" s="91">
        <v>2.5419999999999998</v>
      </c>
      <c r="L1293" s="91">
        <v>0.17</v>
      </c>
      <c r="M1293" s="91">
        <v>0</v>
      </c>
      <c r="N1293" s="91">
        <v>21.672999999999998</v>
      </c>
      <c r="O1293" s="91">
        <v>0.107</v>
      </c>
      <c r="P1293" s="91">
        <v>0</v>
      </c>
      <c r="Q1293" s="91">
        <v>0</v>
      </c>
      <c r="R1293" s="91">
        <v>0</v>
      </c>
      <c r="S1293" s="91">
        <v>0</v>
      </c>
      <c r="T1293" s="91">
        <v>34.35</v>
      </c>
      <c r="U1293" s="91">
        <v>0</v>
      </c>
      <c r="V1293" s="91">
        <v>0</v>
      </c>
      <c r="W1293" s="91">
        <v>0</v>
      </c>
      <c r="X1293" s="91">
        <v>0</v>
      </c>
      <c r="Y1293" s="91">
        <v>2.7E-2</v>
      </c>
      <c r="Z1293" s="91">
        <v>0</v>
      </c>
      <c r="AA1293" s="88" t="s">
        <v>3300</v>
      </c>
      <c r="AB1293" s="88" t="s">
        <v>3300</v>
      </c>
      <c r="AC1293" s="88" t="s">
        <v>3301</v>
      </c>
      <c r="AD1293" s="162" t="s">
        <v>3301</v>
      </c>
      <c r="AE1293" s="87">
        <v>45957</v>
      </c>
      <c r="AF1293" s="221" t="s">
        <v>3302</v>
      </c>
      <c r="AG1293" t="e">
        <f>VLOOKUP(OfficeForms.Table[[#This Row],[Nama Proyek]],'Nama Proyek'!$D$2:$G$29,4,0)</f>
        <v>#N/A</v>
      </c>
      <c r="AH1293" s="5"/>
      <c r="AI1293" s="5"/>
      <c r="AJ1293" s="5"/>
      <c r="AK1293" s="5"/>
    </row>
    <row r="1294" spans="1:37" ht="76.5">
      <c r="A1294" s="50">
        <v>208</v>
      </c>
      <c r="B1294" s="109">
        <v>45959.397511574098</v>
      </c>
      <c r="C1294" s="85">
        <v>45959.434282407397</v>
      </c>
      <c r="D1294" s="64" t="s">
        <v>2525</v>
      </c>
      <c r="E1294" s="64" t="s">
        <v>47</v>
      </c>
      <c r="F1294" s="5" t="s">
        <v>47</v>
      </c>
      <c r="G1294" s="64" t="s">
        <v>2734</v>
      </c>
      <c r="H1294" s="99">
        <v>45955</v>
      </c>
      <c r="I1294" s="91">
        <v>33.414000000000001</v>
      </c>
      <c r="J1294" s="91">
        <v>35.113</v>
      </c>
      <c r="K1294" s="91">
        <v>1.0189999999999999</v>
      </c>
      <c r="L1294" s="91">
        <v>0.123</v>
      </c>
      <c r="M1294" s="91">
        <v>1.4999999999999999E-2</v>
      </c>
      <c r="N1294" s="91">
        <v>5.5549999999999997</v>
      </c>
      <c r="O1294" s="91">
        <v>0.67200000000000004</v>
      </c>
      <c r="P1294" s="91">
        <v>4.7E-2</v>
      </c>
      <c r="Q1294" s="91">
        <v>7.0000000000000001E-3</v>
      </c>
      <c r="R1294" s="91">
        <v>7.4999999999999997E-2</v>
      </c>
      <c r="S1294" s="91">
        <v>8.4000000000000005E-2</v>
      </c>
      <c r="T1294" s="91">
        <v>19.722000000000001</v>
      </c>
      <c r="U1294" s="91"/>
      <c r="V1294" s="91"/>
      <c r="W1294" s="91">
        <v>4.0000000000000001E-3</v>
      </c>
      <c r="X1294" s="91"/>
      <c r="Y1294" s="91">
        <v>6.4000000000000001E-2</v>
      </c>
      <c r="Z1294" s="91"/>
      <c r="AA1294" s="88" t="s">
        <v>3303</v>
      </c>
      <c r="AB1294" s="88" t="s">
        <v>3304</v>
      </c>
      <c r="AC1294" s="88" t="s">
        <v>3305</v>
      </c>
      <c r="AD1294" s="162" t="s">
        <v>3306</v>
      </c>
      <c r="AE1294" s="87">
        <v>45955</v>
      </c>
      <c r="AF1294" s="221" t="s">
        <v>3307</v>
      </c>
      <c r="AG1294" t="e">
        <f>VLOOKUP(OfficeForms.Table[[#This Row],[Nama Proyek]],'Nama Proyek'!$D$2:$G$29,4,0)</f>
        <v>#N/A</v>
      </c>
      <c r="AH1294" s="5"/>
      <c r="AI1294" s="5"/>
      <c r="AJ1294" s="5"/>
      <c r="AK1294" s="5"/>
    </row>
    <row r="1295" spans="1:37" ht="183">
      <c r="A1295" s="50">
        <v>209</v>
      </c>
      <c r="B1295" s="109">
        <v>45961.433680555601</v>
      </c>
      <c r="C1295" s="85">
        <v>45961.438414351898</v>
      </c>
      <c r="D1295" s="64" t="s">
        <v>2718</v>
      </c>
      <c r="E1295" s="64" t="s">
        <v>82</v>
      </c>
      <c r="F1295" s="5" t="s">
        <v>82</v>
      </c>
      <c r="G1295" s="64" t="s">
        <v>1317</v>
      </c>
      <c r="H1295" s="99">
        <v>45961</v>
      </c>
      <c r="I1295" s="91">
        <v>86.244641039043003</v>
      </c>
      <c r="J1295" s="91">
        <v>94.047064467561299</v>
      </c>
      <c r="K1295" s="91">
        <v>1.1118160841834801</v>
      </c>
      <c r="L1295" s="91">
        <v>0.19496062971221001</v>
      </c>
      <c r="M1295" s="91">
        <v>7.6972524121073194E-2</v>
      </c>
      <c r="N1295" s="91">
        <v>35.985117269745999</v>
      </c>
      <c r="O1295" s="91">
        <v>0.35464167436893601</v>
      </c>
      <c r="P1295" s="91">
        <v>1.28938631037147</v>
      </c>
      <c r="Q1295" s="91">
        <v>9.1649739183240098E-2</v>
      </c>
      <c r="R1295" s="91">
        <v>1.3126664804274799</v>
      </c>
      <c r="S1295" s="91">
        <v>8.1174222205877395</v>
      </c>
      <c r="T1295" s="91">
        <v>27.987048678122601</v>
      </c>
      <c r="U1295" s="91">
        <v>0</v>
      </c>
      <c r="V1295" s="91">
        <v>9.0566737647676305</v>
      </c>
      <c r="W1295" s="91">
        <v>0</v>
      </c>
      <c r="X1295" s="91">
        <v>0</v>
      </c>
      <c r="Y1295" s="91">
        <v>0.66628566345113305</v>
      </c>
      <c r="Z1295" s="91">
        <v>0</v>
      </c>
      <c r="AA1295" s="88" t="s">
        <v>3308</v>
      </c>
      <c r="AB1295" s="88" t="s">
        <v>3084</v>
      </c>
      <c r="AC1295" s="88" t="s">
        <v>2413</v>
      </c>
      <c r="AD1295" s="162" t="s">
        <v>2413</v>
      </c>
      <c r="AE1295" s="87">
        <v>45961</v>
      </c>
      <c r="AF1295" s="221" t="s">
        <v>3309</v>
      </c>
      <c r="AG1295" t="str">
        <f>VLOOKUP(OfficeForms.Table[[#This Row],[Nama Proyek]],'Nama Proyek'!$D$2:$G$29,4,0)</f>
        <v>-7.72647690,113.63515320</v>
      </c>
      <c r="AH1295" s="5"/>
      <c r="AI1295" s="5"/>
      <c r="AJ1295" s="5"/>
      <c r="AK1295" s="5"/>
    </row>
    <row r="1296" spans="1:37" ht="167.25">
      <c r="A1296" s="50">
        <v>210</v>
      </c>
      <c r="B1296" s="109">
        <v>45961.6722337963</v>
      </c>
      <c r="C1296" s="85">
        <v>45961.684421296297</v>
      </c>
      <c r="D1296" s="64" t="s">
        <v>3051</v>
      </c>
      <c r="E1296" s="64" t="s">
        <v>3052</v>
      </c>
      <c r="F1296" s="5" t="s">
        <v>3052</v>
      </c>
      <c r="G1296" s="64" t="s">
        <v>2267</v>
      </c>
      <c r="H1296" s="99">
        <v>45956</v>
      </c>
      <c r="I1296" s="91">
        <v>72.638000000000005</v>
      </c>
      <c r="J1296" s="91">
        <v>82.061999999999998</v>
      </c>
      <c r="K1296" s="91">
        <v>0.66</v>
      </c>
      <c r="L1296" s="91">
        <v>8.2000000000000003E-2</v>
      </c>
      <c r="M1296" s="91">
        <v>0.01</v>
      </c>
      <c r="N1296" s="91">
        <v>5.3490000000000002</v>
      </c>
      <c r="O1296" s="91">
        <v>0.624</v>
      </c>
      <c r="P1296" s="91">
        <v>0.23699999999999999</v>
      </c>
      <c r="Q1296" s="91">
        <v>0.02</v>
      </c>
      <c r="R1296" s="91">
        <v>0.221</v>
      </c>
      <c r="S1296" s="91">
        <v>1.1399999999999999</v>
      </c>
      <c r="T1296" s="91">
        <v>19.492999999999999</v>
      </c>
      <c r="U1296" s="91">
        <v>0.26900000000000002</v>
      </c>
      <c r="V1296" s="91">
        <v>0.28000000000000003</v>
      </c>
      <c r="W1296" s="91">
        <v>2.3E-2</v>
      </c>
      <c r="X1296" s="91">
        <v>0</v>
      </c>
      <c r="Y1296" s="91">
        <v>1E-3</v>
      </c>
      <c r="Z1296" s="91">
        <v>0</v>
      </c>
      <c r="AA1296" s="88" t="s">
        <v>3310</v>
      </c>
      <c r="AB1296" s="88" t="s">
        <v>3311</v>
      </c>
      <c r="AC1296" s="88" t="s">
        <v>3312</v>
      </c>
      <c r="AD1296" s="162" t="s">
        <v>3313</v>
      </c>
      <c r="AE1296" s="87">
        <v>45956</v>
      </c>
      <c r="AF1296" s="221" t="s">
        <v>3314</v>
      </c>
      <c r="AG1296" t="e">
        <f>VLOOKUP(OfficeForms.Table[[#This Row],[Nama Proyek]],'Nama Proyek'!$D$2:$G$29,4,0)</f>
        <v>#N/A</v>
      </c>
      <c r="AH1296" s="5"/>
      <c r="AI1296" s="5"/>
      <c r="AJ1296" s="5"/>
      <c r="AK1296" s="5"/>
    </row>
    <row r="1297" spans="1:37" ht="106.5">
      <c r="A1297" s="50">
        <v>213</v>
      </c>
      <c r="B1297" s="109">
        <v>45964.343310185199</v>
      </c>
      <c r="C1297" s="85">
        <v>45964.3967708333</v>
      </c>
      <c r="D1297" s="64" t="s">
        <v>2600</v>
      </c>
      <c r="E1297" s="64" t="s">
        <v>855</v>
      </c>
      <c r="F1297" s="5" t="s">
        <v>855</v>
      </c>
      <c r="G1297" s="64" t="s">
        <v>2601</v>
      </c>
      <c r="H1297" s="99">
        <v>45955</v>
      </c>
      <c r="I1297" s="91">
        <v>74.542000000000002</v>
      </c>
      <c r="J1297" s="91">
        <v>70.316000000000003</v>
      </c>
      <c r="K1297" s="91">
        <v>0.81299999999999994</v>
      </c>
      <c r="L1297" s="91">
        <v>0.253</v>
      </c>
      <c r="M1297" s="91">
        <v>3.2149999999999999</v>
      </c>
      <c r="N1297" s="91"/>
      <c r="O1297" s="91">
        <v>0.08</v>
      </c>
      <c r="P1297" s="91">
        <v>0.625</v>
      </c>
      <c r="Q1297" s="91">
        <v>69.5</v>
      </c>
      <c r="R1297" s="91"/>
      <c r="S1297" s="91">
        <v>5.6000000000000001E-2</v>
      </c>
      <c r="T1297" s="91"/>
      <c r="U1297" s="91"/>
      <c r="V1297" s="91"/>
      <c r="W1297" s="91"/>
      <c r="X1297" s="91"/>
      <c r="Y1297" s="91"/>
      <c r="Z1297" s="91"/>
      <c r="AA1297" s="88" t="s">
        <v>3315</v>
      </c>
      <c r="AB1297" s="88" t="s">
        <v>3316</v>
      </c>
      <c r="AC1297" s="88" t="s">
        <v>3317</v>
      </c>
      <c r="AD1297" s="162" t="s">
        <v>3318</v>
      </c>
      <c r="AE1297" s="87">
        <v>45955</v>
      </c>
      <c r="AF1297" s="221" t="s">
        <v>3319</v>
      </c>
      <c r="AG1297" t="str">
        <f>VLOOKUP(OfficeForms.Table[[#This Row],[Nama Proyek]],'Nama Proyek'!$D$2:$G$29,4,0)</f>
        <v>-1.13731907,116.79020552</v>
      </c>
      <c r="AH1297" s="5"/>
      <c r="AI1297" s="5"/>
      <c r="AJ1297" s="5"/>
      <c r="AK1297" s="5"/>
    </row>
    <row r="1298" spans="1:37">
      <c r="A1298" s="50">
        <v>211</v>
      </c>
      <c r="B1298" s="109">
        <v>45964.346574074101</v>
      </c>
      <c r="C1298" s="85">
        <v>45964.348946759303</v>
      </c>
      <c r="D1298" s="64" t="s">
        <v>2585</v>
      </c>
      <c r="E1298" s="64" t="s">
        <v>2586</v>
      </c>
      <c r="F1298" s="5" t="s">
        <v>1479</v>
      </c>
      <c r="G1298" s="64" t="s">
        <v>1480</v>
      </c>
      <c r="H1298" s="99">
        <v>45956</v>
      </c>
      <c r="I1298" s="91">
        <v>93.525000000000006</v>
      </c>
      <c r="J1298" s="91">
        <v>93.200999999999993</v>
      </c>
      <c r="K1298" s="91"/>
      <c r="L1298" s="91"/>
      <c r="M1298" s="91"/>
      <c r="N1298" s="91"/>
      <c r="O1298" s="91"/>
      <c r="P1298" s="91"/>
      <c r="Q1298" s="91"/>
      <c r="R1298" s="91"/>
      <c r="S1298" s="91"/>
      <c r="T1298" s="91"/>
      <c r="U1298" s="91"/>
      <c r="V1298" s="91"/>
      <c r="W1298" s="91"/>
      <c r="X1298" s="91"/>
      <c r="Y1298" s="91"/>
      <c r="Z1298" s="91"/>
      <c r="AA1298" s="88"/>
      <c r="AB1298" s="88"/>
      <c r="AC1298" s="88"/>
      <c r="AD1298" s="162"/>
      <c r="AE1298" s="87"/>
      <c r="AF1298" s="221"/>
      <c r="AG1298" t="str">
        <f>VLOOKUP(OfficeForms.Table[[#This Row],[Nama Proyek]],'Nama Proyek'!$D$2:$G$29,4,0)</f>
        <v>-6.23191260,107.90813480</v>
      </c>
      <c r="AH1298" s="5"/>
      <c r="AI1298" s="5"/>
      <c r="AJ1298" s="5"/>
      <c r="AK1298" s="5"/>
    </row>
    <row r="1299" spans="1:37" ht="30.75">
      <c r="A1299" s="50">
        <v>212</v>
      </c>
      <c r="B1299" s="109">
        <v>45964.355150463001</v>
      </c>
      <c r="C1299" s="85">
        <v>45964.379143518498</v>
      </c>
      <c r="D1299" s="64" t="s">
        <v>2761</v>
      </c>
      <c r="E1299" s="64" t="s">
        <v>2762</v>
      </c>
      <c r="F1299" s="5" t="s">
        <v>2762</v>
      </c>
      <c r="G1299" s="64" t="s">
        <v>2484</v>
      </c>
      <c r="H1299" s="99">
        <v>45960</v>
      </c>
      <c r="I1299" s="91">
        <v>94.947999999999993</v>
      </c>
      <c r="J1299" s="91">
        <v>75.667000000000002</v>
      </c>
      <c r="K1299" s="91">
        <v>0.73</v>
      </c>
      <c r="L1299" s="91">
        <v>9.7080000000000002</v>
      </c>
      <c r="M1299" s="91">
        <v>54.402999999999999</v>
      </c>
      <c r="N1299" s="91">
        <v>0</v>
      </c>
      <c r="O1299" s="91">
        <v>6.7149999999999999</v>
      </c>
      <c r="P1299" s="91">
        <v>9.8119999999999994</v>
      </c>
      <c r="Q1299" s="91">
        <v>8.2409999999999997</v>
      </c>
      <c r="R1299" s="91">
        <v>0</v>
      </c>
      <c r="S1299" s="91">
        <v>5.3680000000000003</v>
      </c>
      <c r="T1299" s="91"/>
      <c r="U1299" s="91"/>
      <c r="V1299" s="91"/>
      <c r="W1299" s="91"/>
      <c r="X1299" s="91"/>
      <c r="Y1299" s="91"/>
      <c r="Z1299" s="91"/>
      <c r="AA1299" s="88" t="s">
        <v>3320</v>
      </c>
      <c r="AB1299" s="88" t="s">
        <v>3321</v>
      </c>
      <c r="AC1299" s="88" t="s">
        <v>3322</v>
      </c>
      <c r="AD1299" s="162" t="s">
        <v>3323</v>
      </c>
      <c r="AE1299" s="87">
        <v>45960</v>
      </c>
      <c r="AF1299" s="221" t="s">
        <v>3324</v>
      </c>
      <c r="AG1299" t="str">
        <f>VLOOKUP(OfficeForms.Table[[#This Row],[Nama Proyek]],'Nama Proyek'!$D$2:$G$29,4,0)</f>
        <v>-8.30961900,112.11101000</v>
      </c>
      <c r="AH1299" s="5"/>
      <c r="AI1299" s="5"/>
      <c r="AJ1299" s="5"/>
      <c r="AK1299" s="5"/>
    </row>
    <row r="1300" spans="1:37">
      <c r="A1300" s="50">
        <v>214</v>
      </c>
      <c r="B1300" s="109">
        <v>45964.3960532407</v>
      </c>
      <c r="C1300" s="85">
        <v>45964.401805555601</v>
      </c>
      <c r="D1300" s="64" t="s">
        <v>2509</v>
      </c>
      <c r="E1300" s="64" t="s">
        <v>687</v>
      </c>
      <c r="F1300" s="5" t="s">
        <v>687</v>
      </c>
      <c r="G1300" s="64" t="s">
        <v>3199</v>
      </c>
      <c r="H1300" s="99">
        <v>45961</v>
      </c>
      <c r="I1300" s="91">
        <v>70.927000000000007</v>
      </c>
      <c r="J1300" s="91">
        <v>64.697000000000003</v>
      </c>
      <c r="K1300" s="91">
        <v>2.6030000000000002</v>
      </c>
      <c r="L1300" s="91">
        <v>3.04</v>
      </c>
      <c r="M1300" s="91">
        <v>18.271999999999998</v>
      </c>
      <c r="N1300" s="91">
        <v>0</v>
      </c>
      <c r="O1300" s="91">
        <v>11.162000000000001</v>
      </c>
      <c r="P1300" s="91">
        <v>0</v>
      </c>
      <c r="Q1300" s="91">
        <v>36.389000000000003</v>
      </c>
      <c r="R1300" s="91">
        <v>0</v>
      </c>
      <c r="S1300" s="91">
        <v>0</v>
      </c>
      <c r="T1300" s="91">
        <v>0</v>
      </c>
      <c r="U1300" s="91">
        <v>0</v>
      </c>
      <c r="V1300" s="91">
        <v>0</v>
      </c>
      <c r="W1300" s="91">
        <v>0</v>
      </c>
      <c r="X1300" s="91">
        <v>0</v>
      </c>
      <c r="Y1300" s="91">
        <v>0</v>
      </c>
      <c r="Z1300" s="91">
        <v>0</v>
      </c>
      <c r="AA1300" s="88" t="s">
        <v>3325</v>
      </c>
      <c r="AB1300" s="88" t="s">
        <v>3326</v>
      </c>
      <c r="AC1300" s="88" t="s">
        <v>3327</v>
      </c>
      <c r="AD1300" s="162" t="s">
        <v>3327</v>
      </c>
      <c r="AE1300" s="87">
        <v>45961</v>
      </c>
      <c r="AF1300" s="221" t="s">
        <v>3328</v>
      </c>
      <c r="AG1300" t="e">
        <f>VLOOKUP(OfficeForms.Table[[#This Row],[Nama Proyek]],'Nama Proyek'!$D$2:$G$29,4,0)</f>
        <v>#N/A</v>
      </c>
      <c r="AH1300" s="5"/>
      <c r="AI1300" s="5"/>
      <c r="AJ1300" s="5"/>
      <c r="AK1300" s="5"/>
    </row>
    <row r="1301" spans="1:37" ht="30.75">
      <c r="A1301" s="50">
        <v>215</v>
      </c>
      <c r="B1301" s="109">
        <v>45964.755486111098</v>
      </c>
      <c r="C1301" s="85">
        <v>45964.758993055599</v>
      </c>
      <c r="D1301" s="64" t="s">
        <v>2580</v>
      </c>
      <c r="E1301" s="64" t="s">
        <v>57</v>
      </c>
      <c r="F1301" s="5" t="s">
        <v>57</v>
      </c>
      <c r="G1301" s="64" t="s">
        <v>1484</v>
      </c>
      <c r="H1301" s="99">
        <v>45956</v>
      </c>
      <c r="I1301" s="91">
        <v>89.867999999999995</v>
      </c>
      <c r="J1301" s="91">
        <v>80.590999999999994</v>
      </c>
      <c r="K1301" s="91">
        <v>1.294</v>
      </c>
      <c r="L1301" s="91">
        <v>4.1710000000000003</v>
      </c>
      <c r="M1301" s="91">
        <v>34.173999999999999</v>
      </c>
      <c r="N1301" s="91"/>
      <c r="O1301" s="91">
        <v>1.3069999999999999</v>
      </c>
      <c r="P1301" s="91">
        <v>5.4189999999999996</v>
      </c>
      <c r="Q1301" s="91">
        <v>41.838999999999999</v>
      </c>
      <c r="R1301" s="91"/>
      <c r="S1301" s="91">
        <v>1.663</v>
      </c>
      <c r="T1301" s="91"/>
      <c r="U1301" s="91"/>
      <c r="V1301" s="91"/>
      <c r="W1301" s="91"/>
      <c r="X1301" s="91"/>
      <c r="Y1301" s="91"/>
      <c r="Z1301" s="91"/>
      <c r="AA1301" s="88" t="s">
        <v>3329</v>
      </c>
      <c r="AB1301" s="88" t="s">
        <v>3329</v>
      </c>
      <c r="AC1301" s="88"/>
      <c r="AD1301" s="162"/>
      <c r="AE1301" s="87">
        <v>45956</v>
      </c>
      <c r="AF1301" s="221" t="s">
        <v>3330</v>
      </c>
      <c r="AG1301" t="str">
        <f>VLOOKUP(OfficeForms.Table[[#This Row],[Nama Proyek]],'Nama Proyek'!$D$2:$G$29,4,0)</f>
        <v>-8.01003300,110.33312900</v>
      </c>
      <c r="AH1301" s="5"/>
      <c r="AI1301" s="5"/>
      <c r="AJ1301" s="5"/>
      <c r="AK1301" s="5"/>
    </row>
    <row r="1302" spans="1:37">
      <c r="A1302" s="50">
        <v>216</v>
      </c>
      <c r="B1302" s="109">
        <v>45965.345138888901</v>
      </c>
      <c r="C1302" s="85">
        <v>45965.348912037</v>
      </c>
      <c r="D1302" s="64" t="s">
        <v>2585</v>
      </c>
      <c r="E1302" s="64" t="s">
        <v>2586</v>
      </c>
      <c r="F1302" s="5" t="s">
        <v>1479</v>
      </c>
      <c r="G1302" s="64" t="s">
        <v>1480</v>
      </c>
      <c r="H1302" s="99">
        <v>45956</v>
      </c>
      <c r="I1302" s="91"/>
      <c r="J1302" s="91"/>
      <c r="K1302" s="91"/>
      <c r="L1302" s="91"/>
      <c r="M1302" s="91"/>
      <c r="N1302" s="91"/>
      <c r="O1302" s="91"/>
      <c r="P1302" s="91"/>
      <c r="Q1302" s="91"/>
      <c r="R1302" s="91"/>
      <c r="S1302" s="91"/>
      <c r="T1302" s="91"/>
      <c r="U1302" s="91"/>
      <c r="V1302" s="91"/>
      <c r="W1302" s="91"/>
      <c r="X1302" s="91"/>
      <c r="Y1302" s="91"/>
      <c r="Z1302" s="91"/>
      <c r="AA1302" s="88" t="s">
        <v>3189</v>
      </c>
      <c r="AB1302" s="88" t="s">
        <v>3190</v>
      </c>
      <c r="AC1302" s="88" t="s">
        <v>3191</v>
      </c>
      <c r="AD1302" s="162" t="s">
        <v>3192</v>
      </c>
      <c r="AE1302" s="87"/>
      <c r="AF1302" s="221"/>
      <c r="AG1302" t="str">
        <f>VLOOKUP(OfficeForms.Table[[#This Row],[Nama Proyek]],'Nama Proyek'!$D$2:$G$29,4,0)</f>
        <v>-6.23191260,107.90813480</v>
      </c>
      <c r="AH1302" s="5"/>
      <c r="AI1302" s="5"/>
      <c r="AJ1302" s="5"/>
      <c r="AK1302" s="5"/>
    </row>
    <row r="1303" spans="1:37" ht="30.75">
      <c r="A1303" s="50">
        <v>217</v>
      </c>
      <c r="B1303" s="109">
        <v>45985.713668981502</v>
      </c>
      <c r="C1303" s="85">
        <v>45985.735416666699</v>
      </c>
      <c r="D1303" s="64" t="s">
        <v>2761</v>
      </c>
      <c r="E1303" s="64" t="s">
        <v>2762</v>
      </c>
      <c r="F1303" s="5" t="s">
        <v>2762</v>
      </c>
      <c r="G1303" s="64" t="s">
        <v>2484</v>
      </c>
      <c r="H1303" s="99">
        <v>45981</v>
      </c>
      <c r="I1303" s="91">
        <v>94.947999999999993</v>
      </c>
      <c r="J1303" s="91">
        <v>77.031000000000006</v>
      </c>
      <c r="K1303" s="91">
        <v>0.73</v>
      </c>
      <c r="L1303" s="91">
        <v>9.7080000000000002</v>
      </c>
      <c r="M1303" s="91">
        <v>54.402999999999999</v>
      </c>
      <c r="N1303" s="91"/>
      <c r="O1303" s="91">
        <v>6.7149999999999999</v>
      </c>
      <c r="P1303" s="91">
        <v>9.8119999999999994</v>
      </c>
      <c r="Q1303" s="91">
        <v>8.2430000000000003</v>
      </c>
      <c r="R1303" s="91"/>
      <c r="S1303" s="91">
        <v>5.3680000000000003</v>
      </c>
      <c r="T1303" s="91"/>
      <c r="U1303" s="91"/>
      <c r="V1303" s="91"/>
      <c r="W1303" s="91"/>
      <c r="X1303" s="91"/>
      <c r="Y1303" s="91"/>
      <c r="Z1303" s="91"/>
      <c r="AA1303" s="88" t="s">
        <v>3331</v>
      </c>
      <c r="AB1303" s="88" t="s">
        <v>3332</v>
      </c>
      <c r="AC1303" s="88" t="s">
        <v>3333</v>
      </c>
      <c r="AD1303" s="88" t="s">
        <v>3334</v>
      </c>
      <c r="AE1303" s="87">
        <v>45981</v>
      </c>
      <c r="AF1303" s="133" t="s">
        <v>3335</v>
      </c>
      <c r="AG1303" t="str">
        <f>VLOOKUP(OfficeForms.Table[[#This Row],[Nama Proyek]],'Nama Proyek'!$D$2:$G$29,4,0)</f>
        <v>-8.30961900,112.11101000</v>
      </c>
      <c r="AH1303" s="5"/>
      <c r="AI1303" s="5"/>
      <c r="AJ1303" s="5"/>
      <c r="AK1303" s="5"/>
    </row>
    <row r="1304" spans="1:37">
      <c r="A1304" s="50">
        <v>218</v>
      </c>
      <c r="B1304" s="109">
        <v>45986.435543981497</v>
      </c>
      <c r="C1304" s="85">
        <v>45986.568553240701</v>
      </c>
      <c r="D1304" s="64" t="s">
        <v>2509</v>
      </c>
      <c r="E1304" s="64" t="s">
        <v>687</v>
      </c>
      <c r="F1304" s="5" t="s">
        <v>687</v>
      </c>
      <c r="G1304" s="64" t="s">
        <v>3199</v>
      </c>
      <c r="H1304" s="99">
        <v>45986</v>
      </c>
      <c r="I1304" s="91">
        <v>89.454999999999998</v>
      </c>
      <c r="J1304" s="91">
        <v>89.399000000000001</v>
      </c>
      <c r="K1304" s="91">
        <v>1.9630000000000001</v>
      </c>
      <c r="L1304" s="91">
        <v>5.2590000000000003</v>
      </c>
      <c r="M1304" s="91">
        <v>18.771000000000001</v>
      </c>
      <c r="N1304" s="91">
        <v>0</v>
      </c>
      <c r="O1304" s="91">
        <v>15.692</v>
      </c>
      <c r="P1304" s="91">
        <v>0</v>
      </c>
      <c r="Q1304" s="91">
        <v>43.86</v>
      </c>
      <c r="R1304" s="91">
        <v>0</v>
      </c>
      <c r="S1304" s="91">
        <v>3.91</v>
      </c>
      <c r="T1304" s="91">
        <v>0</v>
      </c>
      <c r="U1304" s="91">
        <v>0</v>
      </c>
      <c r="V1304" s="91">
        <v>0</v>
      </c>
      <c r="W1304" s="91">
        <v>0</v>
      </c>
      <c r="X1304" s="91">
        <v>0</v>
      </c>
      <c r="Y1304" s="91">
        <v>0</v>
      </c>
      <c r="Z1304" s="91">
        <v>0</v>
      </c>
      <c r="AA1304" s="88" t="s">
        <v>3336</v>
      </c>
      <c r="AB1304" s="88" t="s">
        <v>3337</v>
      </c>
      <c r="AC1304" s="88" t="s">
        <v>3338</v>
      </c>
      <c r="AD1304" s="88" t="s">
        <v>3338</v>
      </c>
      <c r="AE1304" s="87">
        <v>45986</v>
      </c>
      <c r="AF1304" s="89" t="s">
        <v>3339</v>
      </c>
      <c r="AG1304" t="e">
        <f>VLOOKUP(OfficeForms.Table[[#This Row],[Nama Proyek]],'Nama Proyek'!$D$2:$G$29,4,0)</f>
        <v>#N/A</v>
      </c>
      <c r="AH1304" s="5"/>
      <c r="AI1304" s="5"/>
      <c r="AJ1304" s="5"/>
      <c r="AK1304" s="5"/>
    </row>
    <row r="1305" spans="1:37">
      <c r="A1305" s="50">
        <v>219</v>
      </c>
      <c r="B1305" s="109">
        <v>45986.677766203698</v>
      </c>
      <c r="C1305" s="85">
        <v>45986.678287037001</v>
      </c>
      <c r="D1305" s="64" t="s">
        <v>2585</v>
      </c>
      <c r="E1305" s="64" t="s">
        <v>2586</v>
      </c>
      <c r="F1305" s="5" t="s">
        <v>1479</v>
      </c>
      <c r="G1305" s="64" t="s">
        <v>1480</v>
      </c>
      <c r="H1305" s="99">
        <v>45984</v>
      </c>
      <c r="I1305" s="91">
        <v>94.465999999999994</v>
      </c>
      <c r="J1305" s="91">
        <v>93.406000000000006</v>
      </c>
      <c r="K1305" s="91"/>
      <c r="L1305" s="91"/>
      <c r="M1305" s="91"/>
      <c r="N1305" s="91"/>
      <c r="O1305" s="91"/>
      <c r="P1305" s="91"/>
      <c r="Q1305" s="91"/>
      <c r="R1305" s="91"/>
      <c r="S1305" s="91"/>
      <c r="T1305" s="91"/>
      <c r="U1305" s="91"/>
      <c r="V1305" s="91"/>
      <c r="W1305" s="91"/>
      <c r="X1305" s="91"/>
      <c r="Y1305" s="91"/>
      <c r="Z1305" s="91"/>
      <c r="AA1305" s="88"/>
      <c r="AB1305" s="88"/>
      <c r="AC1305" s="88"/>
      <c r="AD1305" s="88"/>
      <c r="AE1305" s="87"/>
      <c r="AF1305" s="89"/>
      <c r="AG1305" t="str">
        <f>VLOOKUP(OfficeForms.Table[[#This Row],[Nama Proyek]],'Nama Proyek'!$D$2:$G$29,4,0)</f>
        <v>-6.23191260,107.90813480</v>
      </c>
      <c r="AH1305" s="5"/>
      <c r="AI1305" s="5"/>
      <c r="AJ1305" s="5"/>
      <c r="AK1305" s="5"/>
    </row>
    <row r="1306" spans="1:37" ht="275.25">
      <c r="A1306" s="50">
        <v>220</v>
      </c>
      <c r="B1306" s="109">
        <v>45987.406932870399</v>
      </c>
      <c r="C1306" s="85">
        <v>45987.471238425896</v>
      </c>
      <c r="D1306" s="64" t="s">
        <v>2546</v>
      </c>
      <c r="E1306" s="64" t="s">
        <v>85</v>
      </c>
      <c r="F1306" s="5" t="s">
        <v>85</v>
      </c>
      <c r="G1306" s="64" t="s">
        <v>2336</v>
      </c>
      <c r="H1306" s="99">
        <v>45984</v>
      </c>
      <c r="I1306" s="91">
        <v>61.676000000000002</v>
      </c>
      <c r="J1306" s="91">
        <v>64.281000000000006</v>
      </c>
      <c r="K1306" s="91">
        <v>2.5579999999999998</v>
      </c>
      <c r="L1306" s="91">
        <v>0.17</v>
      </c>
      <c r="M1306" s="91">
        <v>0</v>
      </c>
      <c r="N1306" s="91">
        <v>22.27</v>
      </c>
      <c r="O1306" s="91">
        <v>0.107</v>
      </c>
      <c r="P1306" s="91">
        <v>0</v>
      </c>
      <c r="Q1306" s="91">
        <v>0</v>
      </c>
      <c r="R1306" s="91">
        <v>0</v>
      </c>
      <c r="S1306" s="91">
        <v>0</v>
      </c>
      <c r="T1306" s="91">
        <v>36.545000000000002</v>
      </c>
      <c r="U1306" s="91">
        <v>0</v>
      </c>
      <c r="V1306" s="91">
        <v>0</v>
      </c>
      <c r="W1306" s="91">
        <v>0</v>
      </c>
      <c r="X1306" s="91">
        <v>0</v>
      </c>
      <c r="Y1306" s="91">
        <v>2.7E-2</v>
      </c>
      <c r="Z1306" s="91">
        <v>0</v>
      </c>
      <c r="AA1306" s="88" t="s">
        <v>3340</v>
      </c>
      <c r="AB1306" s="88" t="s">
        <v>3340</v>
      </c>
      <c r="AC1306" s="88" t="s">
        <v>3341</v>
      </c>
      <c r="AD1306" s="88" t="s">
        <v>3341</v>
      </c>
      <c r="AE1306" s="87">
        <v>45984</v>
      </c>
      <c r="AF1306" s="89" t="s">
        <v>3342</v>
      </c>
      <c r="AG1306" t="e">
        <f>VLOOKUP(OfficeForms.Table[[#This Row],[Nama Proyek]],'Nama Proyek'!$D$2:$G$29,4,0)</f>
        <v>#N/A</v>
      </c>
      <c r="AH1306" s="5"/>
      <c r="AI1306" s="5"/>
      <c r="AJ1306" s="5"/>
      <c r="AK1306" s="5"/>
    </row>
    <row r="1307" spans="1:37" ht="60.75">
      <c r="A1307" s="50">
        <v>221</v>
      </c>
      <c r="B1307" s="109">
        <v>45987.6847569444</v>
      </c>
      <c r="C1307" s="85">
        <v>45987.700127314798</v>
      </c>
      <c r="D1307" s="64" t="s">
        <v>2525</v>
      </c>
      <c r="E1307" s="64" t="s">
        <v>47</v>
      </c>
      <c r="F1307" s="5" t="s">
        <v>214</v>
      </c>
      <c r="G1307" s="64" t="s">
        <v>2734</v>
      </c>
      <c r="H1307" s="99">
        <v>45986</v>
      </c>
      <c r="I1307" s="91">
        <v>59.387</v>
      </c>
      <c r="J1307" s="91">
        <v>63.387999999999998</v>
      </c>
      <c r="K1307" s="91">
        <v>1.0409999999999999</v>
      </c>
      <c r="L1307" s="91">
        <v>0.123</v>
      </c>
      <c r="M1307" s="91">
        <v>1.4999999999999999E-2</v>
      </c>
      <c r="N1307" s="91">
        <v>5.5940000000000003</v>
      </c>
      <c r="O1307" s="91">
        <v>0.67400000000000004</v>
      </c>
      <c r="P1307" s="91">
        <v>4.7E-2</v>
      </c>
      <c r="Q1307" s="91">
        <v>7.0000000000000001E-3</v>
      </c>
      <c r="R1307" s="91">
        <v>0.08</v>
      </c>
      <c r="S1307" s="91">
        <v>9.6000000000000002E-2</v>
      </c>
      <c r="T1307" s="91">
        <v>21.053000000000001</v>
      </c>
      <c r="U1307" s="91"/>
      <c r="V1307" s="91"/>
      <c r="W1307" s="91">
        <v>4.0000000000000001E-3</v>
      </c>
      <c r="X1307" s="91"/>
      <c r="Y1307" s="91">
        <v>6.4000000000000001E-2</v>
      </c>
      <c r="Z1307" s="91"/>
      <c r="AA1307" s="88" t="s">
        <v>3343</v>
      </c>
      <c r="AB1307" s="88" t="s">
        <v>3344</v>
      </c>
      <c r="AC1307" s="88" t="s">
        <v>3345</v>
      </c>
      <c r="AD1307" s="88" t="s">
        <v>3346</v>
      </c>
      <c r="AE1307" s="87">
        <v>45986</v>
      </c>
      <c r="AF1307" s="89" t="s">
        <v>3347</v>
      </c>
      <c r="AG1307" t="e">
        <f>VLOOKUP(OfficeForms.Table[[#This Row],[Nama Proyek]],'Nama Proyek'!$D$2:$G$29,4,0)</f>
        <v>#N/A</v>
      </c>
      <c r="AH1307" s="5"/>
      <c r="AI1307" s="5"/>
      <c r="AJ1307" s="5"/>
      <c r="AK1307" s="5"/>
    </row>
    <row r="1308" spans="1:37" ht="76.5">
      <c r="A1308" s="50">
        <v>222</v>
      </c>
      <c r="B1308" s="109">
        <v>45992.365219907399</v>
      </c>
      <c r="C1308" s="85">
        <v>45992.387002314797</v>
      </c>
      <c r="D1308" s="64" t="s">
        <v>2600</v>
      </c>
      <c r="E1308" s="64" t="s">
        <v>855</v>
      </c>
      <c r="F1308" s="5" t="s">
        <v>855</v>
      </c>
      <c r="G1308" s="64" t="s">
        <v>2601</v>
      </c>
      <c r="H1308" s="99">
        <v>45989</v>
      </c>
      <c r="I1308" s="91">
        <v>76.781000000000006</v>
      </c>
      <c r="J1308" s="91">
        <v>76.278000000000006</v>
      </c>
      <c r="K1308" s="91">
        <v>0.81299999999999994</v>
      </c>
      <c r="L1308" s="91">
        <v>0.253</v>
      </c>
      <c r="M1308" s="91">
        <v>3.6419999999999999</v>
      </c>
      <c r="N1308" s="91"/>
      <c r="O1308" s="91">
        <v>0.08</v>
      </c>
      <c r="P1308" s="91">
        <v>0.755</v>
      </c>
      <c r="Q1308" s="91">
        <v>71.174999999999997</v>
      </c>
      <c r="R1308" s="91"/>
      <c r="S1308" s="91">
        <v>6.3E-2</v>
      </c>
      <c r="T1308" s="91"/>
      <c r="U1308" s="91"/>
      <c r="V1308" s="91"/>
      <c r="W1308" s="91"/>
      <c r="X1308" s="91"/>
      <c r="Y1308" s="91"/>
      <c r="Z1308" s="91"/>
      <c r="AA1308" s="88" t="s">
        <v>3348</v>
      </c>
      <c r="AB1308" s="88" t="s">
        <v>3349</v>
      </c>
      <c r="AC1308" s="88" t="s">
        <v>3350</v>
      </c>
      <c r="AD1308" s="88" t="s">
        <v>3351</v>
      </c>
      <c r="AE1308" s="87">
        <v>45989</v>
      </c>
      <c r="AF1308" s="89" t="s">
        <v>3352</v>
      </c>
      <c r="AG1308" t="str">
        <f>VLOOKUP(OfficeForms.Table[[#This Row],[Nama Proyek]],'Nama Proyek'!$D$2:$G$29,4,0)</f>
        <v>-1.13731907,116.79020552</v>
      </c>
      <c r="AH1308" s="5"/>
      <c r="AI1308" s="5"/>
      <c r="AJ1308" s="5"/>
      <c r="AK1308" s="5"/>
    </row>
    <row r="1309" spans="1:37" ht="409.6">
      <c r="A1309" s="50">
        <v>223</v>
      </c>
      <c r="B1309" s="109">
        <v>45992.6640625</v>
      </c>
      <c r="C1309" s="85">
        <v>45992.669953703698</v>
      </c>
      <c r="D1309" s="64" t="s">
        <v>2718</v>
      </c>
      <c r="E1309" s="64" t="s">
        <v>82</v>
      </c>
      <c r="F1309" s="5" t="s">
        <v>82</v>
      </c>
      <c r="G1309" s="64" t="s">
        <v>1317</v>
      </c>
      <c r="H1309" s="99">
        <v>45991</v>
      </c>
      <c r="I1309" s="91">
        <v>90.046219024582498</v>
      </c>
      <c r="J1309" s="91">
        <v>91.819000000000003</v>
      </c>
      <c r="K1309" s="91">
        <v>1.1156223803232801</v>
      </c>
      <c r="L1309" s="91">
        <v>0.19496062971221001</v>
      </c>
      <c r="M1309" s="91">
        <v>9.1434235081999396E-2</v>
      </c>
      <c r="N1309" s="91">
        <v>38.142608906785199</v>
      </c>
      <c r="O1309" s="91">
        <v>0.392263224601134</v>
      </c>
      <c r="P1309" s="91">
        <v>1.6977264868102799</v>
      </c>
      <c r="Q1309" s="91">
        <v>9.1649739183240098E-2</v>
      </c>
      <c r="R1309" s="91">
        <v>1.3725862624102101</v>
      </c>
      <c r="S1309" s="91">
        <v>7.9239089867673798</v>
      </c>
      <c r="T1309" s="91">
        <v>28.335007437894401</v>
      </c>
      <c r="U1309" s="91">
        <v>10.022165071562201</v>
      </c>
      <c r="V1309" s="91">
        <v>0</v>
      </c>
      <c r="W1309" s="91">
        <v>0</v>
      </c>
      <c r="X1309" s="91">
        <v>0</v>
      </c>
      <c r="Y1309" s="91">
        <v>0.66628566345113305</v>
      </c>
      <c r="Z1309" s="91">
        <v>0</v>
      </c>
      <c r="AA1309" s="88" t="s">
        <v>3353</v>
      </c>
      <c r="AB1309" s="88" t="s">
        <v>3084</v>
      </c>
      <c r="AC1309" s="88" t="s">
        <v>2413</v>
      </c>
      <c r="AD1309" s="88" t="s">
        <v>2413</v>
      </c>
      <c r="AE1309" s="87">
        <v>45991</v>
      </c>
      <c r="AF1309" s="89" t="s">
        <v>3354</v>
      </c>
      <c r="AG1309" t="str">
        <f>VLOOKUP(OfficeForms.Table[[#This Row],[Nama Proyek]],'Nama Proyek'!$D$2:$G$29,4,0)</f>
        <v>-7.72647690,113.63515320</v>
      </c>
      <c r="AH1309" s="5"/>
      <c r="AI1309" s="5"/>
      <c r="AJ1309" s="5"/>
      <c r="AK1309" s="5"/>
    </row>
    <row r="1310" spans="1:37">
      <c r="A1310" s="50">
        <v>224</v>
      </c>
      <c r="B1310" s="109">
        <v>45992.667581018497</v>
      </c>
      <c r="C1310" s="85">
        <v>45992.674895833297</v>
      </c>
      <c r="D1310" s="64" t="s">
        <v>2580</v>
      </c>
      <c r="E1310" s="64" t="s">
        <v>57</v>
      </c>
      <c r="F1310" s="5" t="s">
        <v>57</v>
      </c>
      <c r="G1310" s="64" t="s">
        <v>1484</v>
      </c>
      <c r="H1310" s="99">
        <v>45991</v>
      </c>
      <c r="I1310" s="91">
        <v>92.748999999999995</v>
      </c>
      <c r="J1310" s="91">
        <v>81.477000000000004</v>
      </c>
      <c r="K1310" s="91">
        <v>1.294</v>
      </c>
      <c r="L1310" s="91">
        <v>4.26</v>
      </c>
      <c r="M1310" s="91">
        <v>34.978000000000002</v>
      </c>
      <c r="N1310" s="91"/>
      <c r="O1310" s="91">
        <v>1.3069999999999999</v>
      </c>
      <c r="P1310" s="91">
        <v>5.4189999999999996</v>
      </c>
      <c r="Q1310" s="91">
        <v>43.802</v>
      </c>
      <c r="R1310" s="91"/>
      <c r="S1310" s="91">
        <v>1.6890000000000001</v>
      </c>
      <c r="T1310" s="91"/>
      <c r="U1310" s="91"/>
      <c r="V1310" s="91"/>
      <c r="W1310" s="91"/>
      <c r="X1310" s="91"/>
      <c r="Y1310" s="91"/>
      <c r="Z1310" s="91"/>
      <c r="AA1310" s="88" t="s">
        <v>3355</v>
      </c>
      <c r="AB1310" s="88" t="s">
        <v>3356</v>
      </c>
      <c r="AC1310" s="88" t="s">
        <v>3357</v>
      </c>
      <c r="AD1310" s="88" t="s">
        <v>3357</v>
      </c>
      <c r="AE1310" s="87">
        <v>45991</v>
      </c>
      <c r="AF1310" s="89" t="s">
        <v>3358</v>
      </c>
      <c r="AG1310" t="str">
        <f>VLOOKUP(OfficeForms.Table[[#This Row],[Nama Proyek]],'Nama Proyek'!$D$2:$G$29,4,0)</f>
        <v>-8.01003300,110.33312900</v>
      </c>
      <c r="AH1310" s="5"/>
      <c r="AI1310" s="5"/>
      <c r="AJ1310" s="5"/>
      <c r="AK1310" s="5"/>
    </row>
    <row r="1311" spans="1:37" ht="88.5" customHeight="1">
      <c r="A1311" s="50">
        <v>225</v>
      </c>
      <c r="B1311" s="109">
        <v>45992.871770833299</v>
      </c>
      <c r="C1311" s="85">
        <v>45992.918807870403</v>
      </c>
      <c r="D1311" s="64" t="s">
        <v>3051</v>
      </c>
      <c r="E1311" s="64" t="s">
        <v>3052</v>
      </c>
      <c r="F1311" s="5" t="s">
        <v>3052</v>
      </c>
      <c r="G1311" s="64" t="s">
        <v>2267</v>
      </c>
      <c r="H1311" s="99">
        <v>45991</v>
      </c>
      <c r="I1311" s="91">
        <v>75.397999999999996</v>
      </c>
      <c r="J1311" s="91">
        <v>87.393000000000001</v>
      </c>
      <c r="K1311" s="91">
        <v>1.2999999999999999E-2</v>
      </c>
      <c r="L1311" s="91">
        <v>0</v>
      </c>
      <c r="M1311" s="91">
        <v>0</v>
      </c>
      <c r="N1311" s="91">
        <v>0.308</v>
      </c>
      <c r="O1311" s="91">
        <v>0</v>
      </c>
      <c r="P1311" s="91">
        <v>3.4000000000000002E-2</v>
      </c>
      <c r="Q1311" s="91">
        <v>1E-3</v>
      </c>
      <c r="R1311" s="91">
        <v>4.0000000000000001E-3</v>
      </c>
      <c r="S1311" s="91">
        <v>6.9000000000000006E-2</v>
      </c>
      <c r="T1311" s="91">
        <v>0.54100000000000004</v>
      </c>
      <c r="U1311" s="91">
        <v>2.5999999999999999E-2</v>
      </c>
      <c r="V1311" s="91">
        <v>5.6000000000000001E-2</v>
      </c>
      <c r="W1311" s="91">
        <v>0</v>
      </c>
      <c r="X1311" s="91">
        <v>0</v>
      </c>
      <c r="Y1311" s="91">
        <v>3.9E-2</v>
      </c>
      <c r="Z1311" s="91">
        <v>0</v>
      </c>
      <c r="AA1311" s="88" t="s">
        <v>3359</v>
      </c>
      <c r="AB1311" s="88" t="s">
        <v>3360</v>
      </c>
      <c r="AC1311" s="88" t="s">
        <v>3361</v>
      </c>
      <c r="AD1311" s="162" t="s">
        <v>2297</v>
      </c>
      <c r="AE1311" s="87">
        <v>45991</v>
      </c>
      <c r="AF1311" s="89" t="s">
        <v>3362</v>
      </c>
      <c r="AG1311" t="e">
        <f>VLOOKUP(OfficeForms.Table[[#This Row],[Nama Proyek]],'Nama Proyek'!$D$2:$G$29,4,0)</f>
        <v>#N/A</v>
      </c>
      <c r="AH1311" s="5"/>
      <c r="AI1311" s="5"/>
      <c r="AJ1311" s="5"/>
      <c r="AK1311" s="5"/>
    </row>
    <row r="1312" spans="1:37">
      <c r="A1312" s="50">
        <v>226</v>
      </c>
      <c r="B1312" s="109">
        <v>45993.335324074098</v>
      </c>
      <c r="C1312" s="85">
        <v>45993.336805555598</v>
      </c>
      <c r="D1312" s="64" t="s">
        <v>2585</v>
      </c>
      <c r="E1312" s="64" t="s">
        <v>2586</v>
      </c>
      <c r="F1312" s="5" t="s">
        <v>1479</v>
      </c>
      <c r="G1312" s="64" t="s">
        <v>1480</v>
      </c>
      <c r="H1312" s="99">
        <v>45986</v>
      </c>
      <c r="I1312" s="91"/>
      <c r="J1312" s="91"/>
      <c r="K1312" s="91"/>
      <c r="L1312" s="91"/>
      <c r="M1312" s="91"/>
      <c r="N1312" s="91"/>
      <c r="O1312" s="91"/>
      <c r="P1312" s="91"/>
      <c r="Q1312" s="91"/>
      <c r="R1312" s="91"/>
      <c r="S1312" s="91"/>
      <c r="T1312" s="91"/>
      <c r="U1312" s="91"/>
      <c r="V1312" s="91"/>
      <c r="W1312" s="91"/>
      <c r="X1312" s="91"/>
      <c r="Y1312" s="91"/>
      <c r="Z1312" s="91"/>
      <c r="AA1312" s="88" t="s">
        <v>3189</v>
      </c>
      <c r="AB1312" s="88" t="s">
        <v>3190</v>
      </c>
      <c r="AC1312" s="88" t="s">
        <v>3191</v>
      </c>
      <c r="AD1312" s="162" t="s">
        <v>3192</v>
      </c>
      <c r="AE1312" s="87"/>
      <c r="AF1312" s="89"/>
      <c r="AG1312" t="str">
        <f>VLOOKUP(OfficeForms.Table[[#This Row],[Nama Proyek]],'Nama Proyek'!$D$2:$G$29,4,0)</f>
        <v>-6.23191260,107.90813480</v>
      </c>
      <c r="AH1312" s="5"/>
      <c r="AI1312" s="5"/>
      <c r="AJ1312" s="5"/>
      <c r="AK1312" s="5"/>
    </row>
    <row r="1313" spans="1:37" ht="275.25">
      <c r="A1313" s="50">
        <v>227</v>
      </c>
      <c r="B1313" s="109">
        <v>46019.481365740699</v>
      </c>
      <c r="C1313" s="85">
        <v>46019.484745370399</v>
      </c>
      <c r="D1313" s="64" t="s">
        <v>2546</v>
      </c>
      <c r="E1313" s="64" t="s">
        <v>85</v>
      </c>
      <c r="F1313" s="5" t="s">
        <v>85</v>
      </c>
      <c r="G1313" s="64" t="s">
        <v>2336</v>
      </c>
      <c r="H1313" s="99">
        <v>46012</v>
      </c>
      <c r="I1313" s="91">
        <v>62.658000000000001</v>
      </c>
      <c r="J1313" s="91">
        <v>66.186000000000007</v>
      </c>
      <c r="K1313" s="91">
        <v>2.5760000000000001</v>
      </c>
      <c r="L1313" s="91">
        <v>0.17</v>
      </c>
      <c r="M1313" s="91">
        <v>3.0000000000000001E-3</v>
      </c>
      <c r="N1313" s="91">
        <v>22.690999999999999</v>
      </c>
      <c r="O1313" s="91">
        <v>0.107</v>
      </c>
      <c r="P1313" s="91">
        <v>0</v>
      </c>
      <c r="Q1313" s="91">
        <v>0</v>
      </c>
      <c r="R1313" s="91">
        <v>0</v>
      </c>
      <c r="S1313" s="91">
        <v>0</v>
      </c>
      <c r="T1313" s="91">
        <v>37.01</v>
      </c>
      <c r="U1313" s="91">
        <v>0</v>
      </c>
      <c r="V1313" s="91">
        <v>0.13300000000000001</v>
      </c>
      <c r="W1313" s="91">
        <v>2.1000000000000001E-2</v>
      </c>
      <c r="X1313" s="91">
        <v>0</v>
      </c>
      <c r="Y1313" s="91">
        <v>3.7999999999999999E-2</v>
      </c>
      <c r="Z1313" s="91">
        <v>0</v>
      </c>
      <c r="AA1313" s="88" t="s">
        <v>3363</v>
      </c>
      <c r="AB1313" s="88" t="s">
        <v>3363</v>
      </c>
      <c r="AC1313" s="88" t="s">
        <v>3364</v>
      </c>
      <c r="AD1313" s="162" t="s">
        <v>3364</v>
      </c>
      <c r="AE1313" s="87">
        <v>46012</v>
      </c>
      <c r="AF1313" s="89" t="s">
        <v>3342</v>
      </c>
      <c r="AG1313" t="e">
        <f>VLOOKUP(OfficeForms.Table[[#This Row],[Nama Proyek]],'Nama Proyek'!$D$2:$G$29,4,0)</f>
        <v>#N/A</v>
      </c>
      <c r="AH1313" s="5"/>
      <c r="AI1313" s="5"/>
      <c r="AJ1313" s="5"/>
      <c r="AK1313" s="5"/>
    </row>
    <row r="1314" spans="1:37">
      <c r="A1314" s="50">
        <v>228</v>
      </c>
      <c r="B1314" s="109">
        <v>46019.760543981502</v>
      </c>
      <c r="C1314" s="85">
        <v>46019.769687499997</v>
      </c>
      <c r="D1314" s="64" t="s">
        <v>2509</v>
      </c>
      <c r="E1314" s="64" t="s">
        <v>687</v>
      </c>
      <c r="F1314" s="5" t="s">
        <v>687</v>
      </c>
      <c r="G1314" s="64" t="s">
        <v>3199</v>
      </c>
      <c r="H1314" s="99">
        <v>46018</v>
      </c>
      <c r="I1314" s="91">
        <v>99.805000000000007</v>
      </c>
      <c r="J1314" s="91">
        <v>99.790999999999997</v>
      </c>
      <c r="K1314" s="91">
        <v>2.3839999999999999</v>
      </c>
      <c r="L1314" s="91">
        <v>5.73</v>
      </c>
      <c r="M1314" s="91">
        <v>19.253</v>
      </c>
      <c r="N1314" s="91"/>
      <c r="O1314" s="91">
        <v>15.734999999999999</v>
      </c>
      <c r="P1314" s="91"/>
      <c r="Q1314" s="91">
        <v>45.731999999999999</v>
      </c>
      <c r="R1314" s="91"/>
      <c r="S1314" s="91">
        <v>10.97</v>
      </c>
      <c r="T1314" s="91"/>
      <c r="U1314" s="91"/>
      <c r="V1314" s="91"/>
      <c r="W1314" s="91"/>
      <c r="X1314" s="91"/>
      <c r="Y1314" s="91"/>
      <c r="Z1314" s="91"/>
      <c r="AA1314" s="88" t="s">
        <v>3365</v>
      </c>
      <c r="AB1314" s="88" t="s">
        <v>3366</v>
      </c>
      <c r="AC1314" s="88" t="s">
        <v>3367</v>
      </c>
      <c r="AD1314" s="162" t="s">
        <v>3367</v>
      </c>
      <c r="AE1314" s="87">
        <v>46016</v>
      </c>
      <c r="AF1314" s="89" t="s">
        <v>3368</v>
      </c>
      <c r="AG1314" t="e">
        <f>VLOOKUP(OfficeForms.Table[[#This Row],[Nama Proyek]],'Nama Proyek'!$D$2:$G$29,4,0)</f>
        <v>#N/A</v>
      </c>
      <c r="AH1314" s="5"/>
      <c r="AI1314" s="5"/>
      <c r="AJ1314" s="5"/>
      <c r="AK1314" s="5"/>
    </row>
    <row r="1315" spans="1:37">
      <c r="A1315" s="50">
        <v>229</v>
      </c>
      <c r="B1315" s="109">
        <v>46020.394745370402</v>
      </c>
      <c r="C1315" s="85">
        <v>46020.395486111098</v>
      </c>
      <c r="D1315" s="64" t="s">
        <v>2585</v>
      </c>
      <c r="E1315" s="64" t="s">
        <v>2586</v>
      </c>
      <c r="F1315" s="5" t="s">
        <v>1479</v>
      </c>
      <c r="G1315" s="64" t="s">
        <v>1480</v>
      </c>
      <c r="H1315" s="99">
        <v>46019</v>
      </c>
      <c r="I1315" s="91"/>
      <c r="J1315" s="91"/>
      <c r="K1315" s="91"/>
      <c r="L1315" s="91"/>
      <c r="M1315" s="91"/>
      <c r="N1315" s="91"/>
      <c r="O1315" s="91"/>
      <c r="P1315" s="91"/>
      <c r="Q1315" s="91"/>
      <c r="R1315" s="91"/>
      <c r="S1315" s="91"/>
      <c r="T1315" s="91"/>
      <c r="U1315" s="91"/>
      <c r="V1315" s="91"/>
      <c r="W1315" s="91"/>
      <c r="X1315" s="91"/>
      <c r="Y1315" s="91"/>
      <c r="Z1315" s="91"/>
      <c r="AA1315" s="88" t="s">
        <v>3189</v>
      </c>
      <c r="AB1315" s="88" t="s">
        <v>3190</v>
      </c>
      <c r="AC1315" s="88" t="s">
        <v>3191</v>
      </c>
      <c r="AD1315" s="162" t="s">
        <v>3192</v>
      </c>
      <c r="AE1315" s="87"/>
      <c r="AF1315" s="89"/>
      <c r="AG1315" t="str">
        <f>VLOOKUP(OfficeForms.Table[[#This Row],[Nama Proyek]],'Nama Proyek'!$D$2:$G$29,4,0)</f>
        <v>-6.23191260,107.90813480</v>
      </c>
      <c r="AH1315" s="5"/>
      <c r="AI1315" s="5"/>
      <c r="AJ1315" s="5"/>
      <c r="AK1315" s="5"/>
    </row>
    <row r="1316" spans="1:37" ht="76.5">
      <c r="A1316" s="50">
        <v>230</v>
      </c>
      <c r="B1316" s="109">
        <v>46020.3992939815</v>
      </c>
      <c r="C1316" s="85">
        <v>46020.472280092603</v>
      </c>
      <c r="D1316" s="64" t="s">
        <v>2600</v>
      </c>
      <c r="E1316" s="64" t="s">
        <v>855</v>
      </c>
      <c r="F1316" s="5" t="s">
        <v>855</v>
      </c>
      <c r="G1316" s="64" t="s">
        <v>2601</v>
      </c>
      <c r="H1316" s="99">
        <v>46016</v>
      </c>
      <c r="I1316" s="91">
        <v>79.849999999999994</v>
      </c>
      <c r="J1316" s="91">
        <v>78.822000000000003</v>
      </c>
      <c r="K1316" s="91">
        <v>0.81299999999999994</v>
      </c>
      <c r="L1316" s="91">
        <v>0.253</v>
      </c>
      <c r="M1316" s="91">
        <v>4.0369999999999999</v>
      </c>
      <c r="N1316" s="91"/>
      <c r="O1316" s="91">
        <v>0.08</v>
      </c>
      <c r="P1316" s="91">
        <v>1.0029999999999999</v>
      </c>
      <c r="Q1316" s="91">
        <v>73.486999999999995</v>
      </c>
      <c r="R1316" s="91"/>
      <c r="S1316" s="91">
        <v>0.17799999999999999</v>
      </c>
      <c r="T1316" s="91"/>
      <c r="U1316" s="91"/>
      <c r="V1316" s="91"/>
      <c r="W1316" s="91"/>
      <c r="X1316" s="91"/>
      <c r="Y1316" s="91"/>
      <c r="Z1316" s="91"/>
      <c r="AA1316" s="88" t="s">
        <v>3369</v>
      </c>
      <c r="AB1316" s="88" t="s">
        <v>3370</v>
      </c>
      <c r="AC1316" s="88" t="s">
        <v>3371</v>
      </c>
      <c r="AD1316" s="162" t="s">
        <v>3372</v>
      </c>
      <c r="AE1316" s="87">
        <v>46016</v>
      </c>
      <c r="AF1316" s="89" t="s">
        <v>3373</v>
      </c>
      <c r="AG1316" t="str">
        <f>VLOOKUP(OfficeForms.Table[[#This Row],[Nama Proyek]],'Nama Proyek'!$D$2:$G$29,4,0)</f>
        <v>-1.13731907,116.79020552</v>
      </c>
      <c r="AH1316" s="5"/>
      <c r="AI1316" s="5"/>
      <c r="AJ1316" s="5"/>
      <c r="AK1316" s="5"/>
    </row>
    <row r="1317" spans="1:37" ht="229.5">
      <c r="A1317" s="50">
        <v>231</v>
      </c>
      <c r="B1317" s="109">
        <v>46020.527384259301</v>
      </c>
      <c r="C1317" s="85">
        <v>46020.5328703704</v>
      </c>
      <c r="D1317" s="64" t="s">
        <v>2525</v>
      </c>
      <c r="E1317" s="64" t="s">
        <v>47</v>
      </c>
      <c r="F1317" s="5" t="s">
        <v>214</v>
      </c>
      <c r="G1317" s="64" t="s">
        <v>2734</v>
      </c>
      <c r="H1317" s="99">
        <v>46016</v>
      </c>
      <c r="I1317" s="91">
        <v>61.893000000000001</v>
      </c>
      <c r="J1317" s="91">
        <v>67.91</v>
      </c>
      <c r="K1317" s="91">
        <v>1.84</v>
      </c>
      <c r="L1317" s="91">
        <v>0.21099999999999999</v>
      </c>
      <c r="M1317" s="91">
        <v>2.5000000000000001E-2</v>
      </c>
      <c r="N1317" s="91">
        <v>9.8439999999999994</v>
      </c>
      <c r="O1317" s="91">
        <v>1.1559999999999999</v>
      </c>
      <c r="P1317" s="91">
        <v>8.43E-2</v>
      </c>
      <c r="Q1317" s="91">
        <v>1.2999999999999999E-2</v>
      </c>
      <c r="R1317" s="91">
        <v>0.14299999999999999</v>
      </c>
      <c r="S1317" s="91">
        <v>0.1648</v>
      </c>
      <c r="T1317" s="91">
        <v>37.872</v>
      </c>
      <c r="U1317" s="91"/>
      <c r="V1317" s="91"/>
      <c r="W1317" s="91"/>
      <c r="X1317" s="91"/>
      <c r="Y1317" s="91">
        <v>0.187</v>
      </c>
      <c r="Z1317" s="91"/>
      <c r="AA1317" s="88" t="s">
        <v>3374</v>
      </c>
      <c r="AB1317" s="88" t="s">
        <v>3375</v>
      </c>
      <c r="AC1317" s="88"/>
      <c r="AD1317" s="162"/>
      <c r="AE1317" s="87">
        <v>46016</v>
      </c>
      <c r="AF1317" s="89" t="s">
        <v>3376</v>
      </c>
      <c r="AG1317" t="e">
        <f>VLOOKUP(OfficeForms.Table[[#This Row],[Nama Proyek]],'Nama Proyek'!$D$2:$G$29,4,0)</f>
        <v>#N/A</v>
      </c>
      <c r="AH1317" s="5"/>
      <c r="AI1317" s="5"/>
      <c r="AJ1317" s="5"/>
      <c r="AK1317" s="5"/>
    </row>
    <row r="1318" spans="1:37">
      <c r="A1318" s="50">
        <v>232</v>
      </c>
      <c r="B1318" s="109">
        <v>46020.555057870399</v>
      </c>
      <c r="C1318" s="85">
        <v>46020.892037037003</v>
      </c>
      <c r="D1318" s="64" t="s">
        <v>2761</v>
      </c>
      <c r="E1318" s="64" t="s">
        <v>2762</v>
      </c>
      <c r="F1318" s="5" t="s">
        <v>2762</v>
      </c>
      <c r="G1318" s="64" t="s">
        <v>2484</v>
      </c>
      <c r="H1318" s="99">
        <v>46016</v>
      </c>
      <c r="I1318" s="91">
        <v>100</v>
      </c>
      <c r="J1318" s="91">
        <v>80.888000000000005</v>
      </c>
      <c r="K1318" s="91">
        <v>0.66900000000000004</v>
      </c>
      <c r="L1318" s="91">
        <v>10.148</v>
      </c>
      <c r="M1318" s="91">
        <v>54.805999999999997</v>
      </c>
      <c r="N1318" s="91">
        <v>0</v>
      </c>
      <c r="O1318" s="91">
        <v>6.6079999999999997</v>
      </c>
      <c r="P1318" s="91">
        <v>10.472</v>
      </c>
      <c r="Q1318" s="91">
        <v>9.6319999999999997</v>
      </c>
      <c r="R1318" s="91"/>
      <c r="S1318" s="91">
        <v>7.665</v>
      </c>
      <c r="T1318" s="91"/>
      <c r="U1318" s="91"/>
      <c r="V1318" s="91"/>
      <c r="W1318" s="91"/>
      <c r="X1318" s="91"/>
      <c r="Y1318" s="91"/>
      <c r="Z1318" s="91"/>
      <c r="AA1318" s="88" t="s">
        <v>3377</v>
      </c>
      <c r="AB1318" s="88" t="s">
        <v>3378</v>
      </c>
      <c r="AC1318" s="88" t="s">
        <v>3379</v>
      </c>
      <c r="AD1318" s="162" t="s">
        <v>3380</v>
      </c>
      <c r="AE1318" s="87">
        <v>46016</v>
      </c>
      <c r="AF1318" s="89" t="s">
        <v>3381</v>
      </c>
      <c r="AG1318" t="str">
        <f>VLOOKUP(OfficeForms.Table[[#This Row],[Nama Proyek]],'Nama Proyek'!$D$2:$G$29,4,0)</f>
        <v>-8.30961900,112.11101000</v>
      </c>
      <c r="AH1318" s="5"/>
      <c r="AI1318" s="5"/>
      <c r="AJ1318" s="5"/>
      <c r="AK1318" s="5"/>
    </row>
    <row r="1319" spans="1:37">
      <c r="A1319" s="50">
        <v>233</v>
      </c>
      <c r="B1319" s="109">
        <v>46021.692685185197</v>
      </c>
      <c r="C1319" s="85">
        <v>46021.694363425901</v>
      </c>
      <c r="D1319" s="64" t="s">
        <v>2585</v>
      </c>
      <c r="E1319" s="64" t="s">
        <v>2586</v>
      </c>
      <c r="F1319" s="5" t="s">
        <v>1479</v>
      </c>
      <c r="G1319" s="64" t="s">
        <v>1480</v>
      </c>
      <c r="H1319" s="99">
        <v>46019</v>
      </c>
      <c r="I1319" s="91">
        <v>95.477000000000004</v>
      </c>
      <c r="J1319" s="91">
        <v>94.325000000000003</v>
      </c>
      <c r="K1319" s="91"/>
      <c r="L1319" s="91"/>
      <c r="M1319" s="91"/>
      <c r="N1319" s="91"/>
      <c r="O1319" s="91"/>
      <c r="P1319" s="91"/>
      <c r="Q1319" s="91"/>
      <c r="R1319" s="91"/>
      <c r="S1319" s="91"/>
      <c r="T1319" s="91"/>
      <c r="U1319" s="91"/>
      <c r="V1319" s="91"/>
      <c r="W1319" s="91"/>
      <c r="X1319" s="91"/>
      <c r="Y1319" s="91"/>
      <c r="Z1319" s="91"/>
      <c r="AA1319" s="88"/>
      <c r="AB1319" s="88"/>
      <c r="AC1319" s="88"/>
      <c r="AD1319" s="162"/>
      <c r="AE1319" s="87"/>
      <c r="AF1319" s="89"/>
      <c r="AG1319" t="str">
        <f>VLOOKUP(OfficeForms.Table[[#This Row],[Nama Proyek]],'Nama Proyek'!$D$2:$G$29,4,0)</f>
        <v>-6.23191260,107.90813480</v>
      </c>
      <c r="AH1319" s="5"/>
      <c r="AI1319" s="5"/>
      <c r="AJ1319" s="5"/>
      <c r="AK1319" s="5"/>
    </row>
    <row r="1320" spans="1:37" ht="152.25">
      <c r="A1320" s="50">
        <v>234</v>
      </c>
      <c r="B1320" s="109">
        <v>46022.4446412037</v>
      </c>
      <c r="C1320" s="85">
        <v>46022.449490740699</v>
      </c>
      <c r="D1320" s="64" t="s">
        <v>2718</v>
      </c>
      <c r="E1320" s="64" t="s">
        <v>82</v>
      </c>
      <c r="F1320" s="5" t="s">
        <v>82</v>
      </c>
      <c r="G1320" s="64" t="s">
        <v>1317</v>
      </c>
      <c r="H1320" s="99">
        <v>46019</v>
      </c>
      <c r="I1320" s="91">
        <v>92.280759575409306</v>
      </c>
      <c r="J1320" s="91">
        <v>94.241591946610697</v>
      </c>
      <c r="K1320" s="91">
        <v>1.2536972865968401</v>
      </c>
      <c r="L1320" s="91">
        <v>0.19496062971221001</v>
      </c>
      <c r="M1320" s="91">
        <v>9.1434235081999396E-2</v>
      </c>
      <c r="N1320" s="91">
        <v>38.865476544684697</v>
      </c>
      <c r="O1320" s="91">
        <v>0.392263224601134</v>
      </c>
      <c r="P1320" s="91">
        <v>2.0440924133110498</v>
      </c>
      <c r="Q1320" s="91">
        <v>9.42357271215645E-2</v>
      </c>
      <c r="R1320" s="91">
        <v>1.3920293149952701</v>
      </c>
      <c r="S1320" s="91">
        <v>8.0885783674085907</v>
      </c>
      <c r="T1320" s="91">
        <v>28.5261690251224</v>
      </c>
      <c r="U1320" s="91">
        <v>10.6484369552598</v>
      </c>
      <c r="V1320" s="91">
        <v>0</v>
      </c>
      <c r="W1320" s="91">
        <v>2.3100188062624399E-2</v>
      </c>
      <c r="X1320" s="91">
        <v>0</v>
      </c>
      <c r="Y1320" s="91">
        <v>0.66628566345113305</v>
      </c>
      <c r="Z1320" s="91">
        <v>0</v>
      </c>
      <c r="AA1320" s="88" t="s">
        <v>3382</v>
      </c>
      <c r="AB1320" s="88" t="s">
        <v>3084</v>
      </c>
      <c r="AC1320" s="88" t="s">
        <v>2413</v>
      </c>
      <c r="AD1320" s="162" t="s">
        <v>2413</v>
      </c>
      <c r="AE1320" s="87">
        <v>46019</v>
      </c>
      <c r="AF1320" s="89" t="s">
        <v>3383</v>
      </c>
      <c r="AG1320" t="str">
        <f>VLOOKUP(OfficeForms.Table[[#This Row],[Nama Proyek]],'Nama Proyek'!$D$2:$G$29,4,0)</f>
        <v>-7.72647690,113.63515320</v>
      </c>
      <c r="AH1320" s="5"/>
      <c r="AI1320" s="5"/>
      <c r="AJ1320" s="5"/>
      <c r="AK1320" s="5"/>
    </row>
    <row r="1321" spans="1:37">
      <c r="A1321" s="50">
        <v>235</v>
      </c>
      <c r="B1321" s="109">
        <v>46027.347847222198</v>
      </c>
      <c r="C1321" s="85">
        <v>46027.352291666699</v>
      </c>
      <c r="D1321" s="64" t="s">
        <v>2580</v>
      </c>
      <c r="E1321" s="64" t="s">
        <v>57</v>
      </c>
      <c r="F1321" s="5" t="s">
        <v>57</v>
      </c>
      <c r="G1321" s="64" t="s">
        <v>1484</v>
      </c>
      <c r="H1321" s="99">
        <v>46022</v>
      </c>
      <c r="I1321" s="91">
        <v>95.87</v>
      </c>
      <c r="J1321" s="91">
        <v>82.808999999999997</v>
      </c>
      <c r="K1321" s="91">
        <v>1.4450000000000001</v>
      </c>
      <c r="L1321" s="91">
        <v>4.4560000000000004</v>
      </c>
      <c r="M1321" s="91">
        <v>35.738999999999997</v>
      </c>
      <c r="N1321" s="91"/>
      <c r="O1321" s="91">
        <v>1.4179999999999999</v>
      </c>
      <c r="P1321" s="91">
        <v>5.3920000000000003</v>
      </c>
      <c r="Q1321" s="91">
        <v>45.48</v>
      </c>
      <c r="R1321" s="91"/>
      <c r="S1321" s="91">
        <v>1.9390000000000001</v>
      </c>
      <c r="T1321" s="91"/>
      <c r="U1321" s="91"/>
      <c r="V1321" s="91"/>
      <c r="W1321" s="91"/>
      <c r="X1321" s="91"/>
      <c r="Y1321" s="91"/>
      <c r="Z1321" s="91"/>
      <c r="AA1321" s="88" t="s">
        <v>3384</v>
      </c>
      <c r="AB1321" s="88" t="s">
        <v>3385</v>
      </c>
      <c r="AC1321" s="88" t="s">
        <v>3386</v>
      </c>
      <c r="AD1321" s="162" t="s">
        <v>3386</v>
      </c>
      <c r="AE1321" s="87">
        <v>46022</v>
      </c>
      <c r="AF1321" s="89" t="s">
        <v>3387</v>
      </c>
      <c r="AG1321" t="str">
        <f>VLOOKUP(OfficeForms.Table[[#This Row],[Nama Proyek]],'Nama Proyek'!$D$2:$G$29,4,0)</f>
        <v>-8.01003300,110.33312900</v>
      </c>
      <c r="AH1321" s="5"/>
      <c r="AI1321" s="5"/>
      <c r="AJ1321" s="5"/>
      <c r="AK1321" s="5"/>
    </row>
    <row r="1322" spans="1:37" ht="259.5">
      <c r="A1322" s="50">
        <v>236</v>
      </c>
      <c r="B1322" s="109">
        <v>46027.395972222199</v>
      </c>
      <c r="C1322" s="85">
        <v>46027.405162037001</v>
      </c>
      <c r="D1322" s="64" t="s">
        <v>3051</v>
      </c>
      <c r="E1322" s="64" t="s">
        <v>3052</v>
      </c>
      <c r="F1322" s="5" t="s">
        <v>3052</v>
      </c>
      <c r="G1322" s="64" t="s">
        <v>2267</v>
      </c>
      <c r="H1322" s="99">
        <v>46019</v>
      </c>
      <c r="I1322" s="91">
        <v>78.144999999999996</v>
      </c>
      <c r="J1322" s="91">
        <v>92.22</v>
      </c>
      <c r="K1322" s="91">
        <v>0</v>
      </c>
      <c r="L1322" s="91">
        <v>0</v>
      </c>
      <c r="M1322" s="91">
        <v>0</v>
      </c>
      <c r="N1322" s="91">
        <v>0.26200000000000001</v>
      </c>
      <c r="O1322" s="91">
        <v>0</v>
      </c>
      <c r="P1322" s="91">
        <v>3.4000000000000002E-2</v>
      </c>
      <c r="Q1322" s="91">
        <v>1E-3</v>
      </c>
      <c r="R1322" s="91">
        <v>1.2999999999999999E-2</v>
      </c>
      <c r="S1322" s="91">
        <v>5.2999999999999999E-2</v>
      </c>
      <c r="T1322" s="91">
        <v>0.312</v>
      </c>
      <c r="U1322" s="91">
        <v>0</v>
      </c>
      <c r="V1322" s="91">
        <v>2.8000000000000001E-2</v>
      </c>
      <c r="W1322" s="91">
        <v>3.0000000000000001E-3</v>
      </c>
      <c r="X1322" s="91">
        <v>0</v>
      </c>
      <c r="Y1322" s="91">
        <v>0</v>
      </c>
      <c r="Z1322" s="91">
        <v>0</v>
      </c>
      <c r="AA1322" s="88" t="s">
        <v>3388</v>
      </c>
      <c r="AB1322" s="88" t="s">
        <v>3389</v>
      </c>
      <c r="AC1322" s="88" t="s">
        <v>3390</v>
      </c>
      <c r="AD1322" s="162" t="s">
        <v>2297</v>
      </c>
      <c r="AE1322" s="87">
        <v>46019</v>
      </c>
      <c r="AF1322" s="89" t="s">
        <v>3391</v>
      </c>
      <c r="AG1322" t="e">
        <f>VLOOKUP(OfficeForms.Table[[#This Row],[Nama Proyek]],'Nama Proyek'!$D$2:$G$29,4,0)</f>
        <v>#N/A</v>
      </c>
      <c r="AH1322" s="5"/>
      <c r="AI1322" s="5"/>
      <c r="AJ1322" s="5"/>
      <c r="AK1322" s="5"/>
    </row>
    <row r="1323" spans="1:37">
      <c r="A1323" s="50">
        <v>237</v>
      </c>
      <c r="B1323" s="109">
        <v>46027.583784722199</v>
      </c>
      <c r="C1323" s="85">
        <v>46027.585833333302</v>
      </c>
      <c r="D1323" s="64" t="s">
        <v>2525</v>
      </c>
      <c r="E1323" s="64" t="s">
        <v>47</v>
      </c>
      <c r="F1323" s="5" t="s">
        <v>214</v>
      </c>
      <c r="G1323" s="64" t="s">
        <v>2734</v>
      </c>
      <c r="H1323" s="99">
        <v>46047</v>
      </c>
      <c r="I1323" s="91">
        <v>61.893000000000001</v>
      </c>
      <c r="J1323" s="91">
        <v>67.91</v>
      </c>
      <c r="K1323" s="91">
        <v>1.84</v>
      </c>
      <c r="L1323" s="91">
        <v>0.21099999999999999</v>
      </c>
      <c r="M1323" s="91">
        <v>2.5000000000000001E-2</v>
      </c>
      <c r="N1323" s="91">
        <v>9.8439999999999994</v>
      </c>
      <c r="O1323" s="91">
        <v>1.1559999999999999</v>
      </c>
      <c r="P1323" s="91">
        <v>8.4000000000000005E-2</v>
      </c>
      <c r="Q1323" s="91">
        <v>1.2999999999999999E-2</v>
      </c>
      <c r="R1323" s="91">
        <v>0.14299999999999999</v>
      </c>
      <c r="S1323" s="91">
        <v>0.16500000000000001</v>
      </c>
      <c r="T1323" s="91">
        <v>37.872</v>
      </c>
      <c r="U1323" s="91"/>
      <c r="V1323" s="91"/>
      <c r="W1323" s="91"/>
      <c r="X1323" s="91"/>
      <c r="Y1323" s="91">
        <v>0.187</v>
      </c>
      <c r="Z1323" s="91"/>
      <c r="AA1323" s="88"/>
      <c r="AB1323" s="88"/>
      <c r="AC1323" s="88" t="s">
        <v>3392</v>
      </c>
      <c r="AD1323" s="162"/>
      <c r="AE1323" s="87"/>
      <c r="AF1323" s="89"/>
      <c r="AG1323" t="e">
        <f>VLOOKUP(OfficeForms.Table[[#This Row],[Nama Proyek]],'Nama Proyek'!$D$2:$G$29,4,0)</f>
        <v>#N/A</v>
      </c>
      <c r="AH1323" s="5"/>
      <c r="AI1323" s="5"/>
      <c r="AJ1323" s="5"/>
      <c r="AK1323" s="5"/>
    </row>
    <row r="1324" spans="1:37" ht="259.5">
      <c r="A1324" s="50">
        <v>238</v>
      </c>
      <c r="B1324" s="109">
        <v>46048.692303240699</v>
      </c>
      <c r="C1324" s="85">
        <v>46048.6958564815</v>
      </c>
      <c r="D1324" s="64" t="s">
        <v>2546</v>
      </c>
      <c r="E1324" s="64" t="s">
        <v>85</v>
      </c>
      <c r="F1324" s="5" t="s">
        <v>85</v>
      </c>
      <c r="G1324" s="64" t="s">
        <v>2336</v>
      </c>
      <c r="H1324" s="99">
        <v>46048</v>
      </c>
      <c r="I1324" s="91">
        <v>62.951000000000001</v>
      </c>
      <c r="J1324" s="91">
        <v>68.073999999999998</v>
      </c>
      <c r="K1324" s="91">
        <v>2.5979999999999999</v>
      </c>
      <c r="L1324" s="91">
        <v>0.17</v>
      </c>
      <c r="M1324" s="91">
        <v>3.0000000000000001E-3</v>
      </c>
      <c r="N1324" s="91">
        <v>22.74</v>
      </c>
      <c r="O1324" s="91">
        <v>0.107</v>
      </c>
      <c r="P1324" s="91">
        <v>0</v>
      </c>
      <c r="Q1324" s="91">
        <v>0</v>
      </c>
      <c r="R1324" s="91">
        <v>0</v>
      </c>
      <c r="S1324" s="91">
        <v>0</v>
      </c>
      <c r="T1324" s="91">
        <v>37.142000000000003</v>
      </c>
      <c r="U1324" s="91">
        <v>0</v>
      </c>
      <c r="V1324" s="91">
        <v>0.13300000000000001</v>
      </c>
      <c r="W1324" s="91">
        <v>2.1000000000000001E-2</v>
      </c>
      <c r="X1324" s="91">
        <v>0</v>
      </c>
      <c r="Y1324" s="91">
        <v>3.7999999999999999E-2</v>
      </c>
      <c r="Z1324" s="91">
        <v>0</v>
      </c>
      <c r="AA1324" s="88" t="s">
        <v>3393</v>
      </c>
      <c r="AB1324" s="88" t="s">
        <v>3394</v>
      </c>
      <c r="AC1324" s="88" t="s">
        <v>3395</v>
      </c>
      <c r="AD1324" s="162" t="s">
        <v>3395</v>
      </c>
      <c r="AE1324" s="87">
        <v>46048</v>
      </c>
      <c r="AF1324" s="89" t="s">
        <v>3396</v>
      </c>
      <c r="AG1324" t="e">
        <f>VLOOKUP(OfficeForms.Table[[#This Row],[Nama Proyek]],'Nama Proyek'!$D$2:$G$29,4,0)</f>
        <v>#N/A</v>
      </c>
      <c r="AH1324" s="5"/>
      <c r="AI1324" s="5"/>
      <c r="AJ1324" s="5"/>
      <c r="AK1324" s="5"/>
    </row>
    <row r="1325" spans="1:37" ht="76.5">
      <c r="A1325" s="50">
        <v>239</v>
      </c>
      <c r="B1325" s="109">
        <v>46049.973159722198</v>
      </c>
      <c r="C1325" s="85">
        <v>46049.976435185199</v>
      </c>
      <c r="D1325" s="64" t="s">
        <v>2525</v>
      </c>
      <c r="E1325" s="64" t="s">
        <v>47</v>
      </c>
      <c r="F1325" s="5" t="s">
        <v>47</v>
      </c>
      <c r="G1325" s="64" t="s">
        <v>2734</v>
      </c>
      <c r="H1325" s="99">
        <v>46047</v>
      </c>
      <c r="I1325" s="91">
        <v>65.376999999999995</v>
      </c>
      <c r="J1325" s="91">
        <v>69.959999999999994</v>
      </c>
      <c r="K1325" s="91">
        <v>1.93</v>
      </c>
      <c r="L1325" s="91">
        <v>0.28999999999999998</v>
      </c>
      <c r="M1325" s="91">
        <v>4.2000000000000003E-2</v>
      </c>
      <c r="N1325" s="91">
        <v>12.324</v>
      </c>
      <c r="O1325" s="91">
        <v>1.296</v>
      </c>
      <c r="P1325" s="91">
        <v>0.14899999999999999</v>
      </c>
      <c r="Q1325" s="91">
        <v>1.2999999999999999E-2</v>
      </c>
      <c r="R1325" s="91">
        <v>0.14299999999999999</v>
      </c>
      <c r="S1325" s="91">
        <v>0.17599999999999999</v>
      </c>
      <c r="T1325" s="91">
        <v>44.36</v>
      </c>
      <c r="U1325" s="91"/>
      <c r="V1325" s="91"/>
      <c r="W1325" s="91">
        <v>6.0000000000000001E-3</v>
      </c>
      <c r="X1325" s="91"/>
      <c r="Y1325" s="91">
        <v>0.187</v>
      </c>
      <c r="Z1325" s="91"/>
      <c r="AA1325" s="88" t="s">
        <v>3397</v>
      </c>
      <c r="AB1325" s="88" t="s">
        <v>3398</v>
      </c>
      <c r="AC1325" s="88" t="s">
        <v>3399</v>
      </c>
      <c r="AD1325" s="162"/>
      <c r="AE1325" s="87">
        <v>46047</v>
      </c>
      <c r="AF1325" s="89" t="s">
        <v>3400</v>
      </c>
      <c r="AG1325" t="e">
        <f>VLOOKUP(OfficeForms.Table[[#This Row],[Nama Proyek]],'Nama Proyek'!$D$2:$G$29,4,0)</f>
        <v>#N/A</v>
      </c>
      <c r="AH1325" s="5"/>
      <c r="AI1325" s="5"/>
      <c r="AJ1325" s="5"/>
      <c r="AK1325" s="5"/>
    </row>
    <row r="1326" spans="1:37">
      <c r="A1326" s="50">
        <v>240</v>
      </c>
      <c r="B1326" s="109">
        <v>46050.852881944404</v>
      </c>
      <c r="C1326" s="85">
        <v>46050.902719907397</v>
      </c>
      <c r="D1326" s="64" t="s">
        <v>2509</v>
      </c>
      <c r="E1326" s="64" t="s">
        <v>687</v>
      </c>
      <c r="F1326" s="5" t="s">
        <v>687</v>
      </c>
      <c r="G1326" s="64" t="s">
        <v>3199</v>
      </c>
      <c r="H1326" s="99">
        <v>46023</v>
      </c>
      <c r="I1326" s="91">
        <v>100</v>
      </c>
      <c r="J1326" s="91">
        <v>100</v>
      </c>
      <c r="K1326" s="91"/>
      <c r="L1326" s="91"/>
      <c r="M1326" s="91"/>
      <c r="N1326" s="91"/>
      <c r="O1326" s="91"/>
      <c r="P1326" s="91"/>
      <c r="Q1326" s="91"/>
      <c r="R1326" s="91"/>
      <c r="S1326" s="91"/>
      <c r="T1326" s="91"/>
      <c r="U1326" s="91"/>
      <c r="V1326" s="91"/>
      <c r="W1326" s="91"/>
      <c r="X1326" s="91"/>
      <c r="Y1326" s="91"/>
      <c r="Z1326" s="91"/>
      <c r="AA1326" s="88" t="s">
        <v>3401</v>
      </c>
      <c r="AB1326" s="88" t="s">
        <v>3401</v>
      </c>
      <c r="AC1326" s="88" t="s">
        <v>3402</v>
      </c>
      <c r="AD1326" s="162" t="s">
        <v>3402</v>
      </c>
      <c r="AE1326" s="87">
        <v>46023</v>
      </c>
      <c r="AF1326" s="89" t="s">
        <v>3403</v>
      </c>
      <c r="AG1326" t="e">
        <f>VLOOKUP(OfficeForms.Table[[#This Row],[Nama Proyek]],'Nama Proyek'!$D$2:$G$29,4,0)</f>
        <v>#N/A</v>
      </c>
      <c r="AH1326" s="5"/>
      <c r="AI1326" s="5"/>
      <c r="AJ1326" s="5"/>
      <c r="AK1326" s="5"/>
    </row>
    <row r="1327" spans="1:37" ht="45.75">
      <c r="A1327" s="50">
        <v>241</v>
      </c>
      <c r="B1327" s="109">
        <v>46052.909270833297</v>
      </c>
      <c r="C1327" s="85">
        <v>46052.914097222201</v>
      </c>
      <c r="D1327" s="64" t="s">
        <v>2600</v>
      </c>
      <c r="E1327" s="64" t="s">
        <v>855</v>
      </c>
      <c r="F1327" s="5" t="s">
        <v>855</v>
      </c>
      <c r="G1327" s="64" t="s">
        <v>2601</v>
      </c>
      <c r="H1327" s="99">
        <v>46047</v>
      </c>
      <c r="I1327" s="91">
        <v>82.195999999999998</v>
      </c>
      <c r="J1327" s="91">
        <v>80.614999999999995</v>
      </c>
      <c r="K1327" s="91">
        <v>0.81299999999999994</v>
      </c>
      <c r="L1327" s="91">
        <v>0.253</v>
      </c>
      <c r="M1327" s="91">
        <v>3.9889999999999999</v>
      </c>
      <c r="N1327" s="91"/>
      <c r="O1327" s="91">
        <v>0.08</v>
      </c>
      <c r="P1327" s="91">
        <v>0.92500000000000004</v>
      </c>
      <c r="Q1327" s="91">
        <v>75.924999999999997</v>
      </c>
      <c r="R1327" s="91"/>
      <c r="S1327" s="91">
        <v>0.21199999999999999</v>
      </c>
      <c r="T1327" s="91"/>
      <c r="U1327" s="91"/>
      <c r="V1327" s="91"/>
      <c r="W1327" s="91"/>
      <c r="X1327" s="91"/>
      <c r="Y1327" s="91"/>
      <c r="Z1327" s="91"/>
      <c r="AA1327" s="88" t="s">
        <v>3404</v>
      </c>
      <c r="AB1327" s="88" t="s">
        <v>3405</v>
      </c>
      <c r="AC1327" s="88" t="s">
        <v>3406</v>
      </c>
      <c r="AD1327" s="162" t="s">
        <v>3407</v>
      </c>
      <c r="AE1327" s="87">
        <v>46047</v>
      </c>
      <c r="AF1327" s="89" t="s">
        <v>3408</v>
      </c>
      <c r="AG1327" t="str">
        <f>VLOOKUP(OfficeForms.Table[[#This Row],[Nama Proyek]],'Nama Proyek'!$D$2:$G$29,4,0)</f>
        <v>-1.13731907,116.79020552</v>
      </c>
      <c r="AH1327" s="5"/>
      <c r="AI1327" s="5"/>
      <c r="AJ1327" s="5"/>
      <c r="AK1327" s="5"/>
    </row>
    <row r="1328" spans="1:37" ht="305.25">
      <c r="A1328" s="50">
        <v>242</v>
      </c>
      <c r="B1328" s="109">
        <v>46054.023229166698</v>
      </c>
      <c r="C1328" s="85">
        <v>46054.030856481499</v>
      </c>
      <c r="D1328" s="64" t="s">
        <v>3051</v>
      </c>
      <c r="E1328" s="64" t="s">
        <v>3052</v>
      </c>
      <c r="F1328" s="5" t="s">
        <v>3052</v>
      </c>
      <c r="G1328" s="64" t="s">
        <v>2267</v>
      </c>
      <c r="H1328" s="99">
        <v>46047</v>
      </c>
      <c r="I1328" s="91">
        <v>79.257999999999996</v>
      </c>
      <c r="J1328" s="91">
        <v>85.17</v>
      </c>
      <c r="K1328" s="91">
        <v>1.92</v>
      </c>
      <c r="L1328" s="91">
        <v>0.251</v>
      </c>
      <c r="M1328" s="91">
        <v>3.5000000000000003E-2</v>
      </c>
      <c r="N1328" s="91">
        <v>14.321999999999999</v>
      </c>
      <c r="O1328" s="91">
        <v>1.387</v>
      </c>
      <c r="P1328" s="91">
        <v>0.441</v>
      </c>
      <c r="Q1328" s="91">
        <v>0.03</v>
      </c>
      <c r="R1328" s="91">
        <v>0.33600000000000002</v>
      </c>
      <c r="S1328" s="91">
        <v>1.6020000000000001</v>
      </c>
      <c r="T1328" s="91">
        <v>46.884999999999998</v>
      </c>
      <c r="U1328" s="91">
        <v>0.41899999999999998</v>
      </c>
      <c r="V1328" s="91">
        <v>0.56899999999999995</v>
      </c>
      <c r="W1328" s="91">
        <v>3.5000000000000003E-2</v>
      </c>
      <c r="X1328" s="91">
        <v>0</v>
      </c>
      <c r="Y1328" s="91">
        <v>0.23200000000000001</v>
      </c>
      <c r="Z1328" s="91">
        <v>0</v>
      </c>
      <c r="AA1328" s="88" t="s">
        <v>3409</v>
      </c>
      <c r="AB1328" s="88" t="s">
        <v>3410</v>
      </c>
      <c r="AC1328" s="88" t="s">
        <v>3411</v>
      </c>
      <c r="AD1328" s="162" t="s">
        <v>2297</v>
      </c>
      <c r="AE1328" s="87">
        <v>46047</v>
      </c>
      <c r="AF1328" s="89" t="s">
        <v>3412</v>
      </c>
      <c r="AG1328" t="e">
        <f>VLOOKUP(OfficeForms.Table[[#This Row],[Nama Proyek]],'Nama Proyek'!$D$2:$G$29,4,0)</f>
        <v>#N/A</v>
      </c>
      <c r="AH1328" s="5"/>
      <c r="AI1328" s="5"/>
      <c r="AJ1328" s="5"/>
      <c r="AK1328" s="5"/>
    </row>
    <row r="1329" spans="1:37" ht="167.25">
      <c r="A1329" s="50">
        <v>243</v>
      </c>
      <c r="B1329" s="109">
        <v>46054.465266203697</v>
      </c>
      <c r="C1329" s="85">
        <v>46054.471412036997</v>
      </c>
      <c r="D1329" s="64" t="s">
        <v>2718</v>
      </c>
      <c r="E1329" s="64" t="s">
        <v>82</v>
      </c>
      <c r="F1329" s="5" t="s">
        <v>82</v>
      </c>
      <c r="G1329" s="64" t="s">
        <v>1317</v>
      </c>
      <c r="H1329" s="99">
        <v>46053</v>
      </c>
      <c r="I1329" s="91">
        <v>93.329518068407793</v>
      </c>
      <c r="J1329" s="91">
        <v>96.873289273523596</v>
      </c>
      <c r="K1329" s="91">
        <v>1.30039103981588</v>
      </c>
      <c r="L1329" s="91">
        <v>0.19496062971221001</v>
      </c>
      <c r="M1329" s="91">
        <v>9.1434235081999396E-2</v>
      </c>
      <c r="N1329" s="91">
        <v>38.1334975258805</v>
      </c>
      <c r="O1329" s="91">
        <v>0.392263224601134</v>
      </c>
      <c r="P1329" s="91">
        <v>2.0355435947597802</v>
      </c>
      <c r="Q1329" s="91">
        <v>9.4235727121564403E-2</v>
      </c>
      <c r="R1329" s="91">
        <v>1.42955012897179</v>
      </c>
      <c r="S1329" s="91">
        <v>8.6523333548638099</v>
      </c>
      <c r="T1329" s="91">
        <v>28.5987451681465</v>
      </c>
      <c r="U1329" s="91">
        <v>0</v>
      </c>
      <c r="V1329" s="91">
        <v>11.6717898334906</v>
      </c>
      <c r="W1329" s="91">
        <v>6.8487942511010702E-2</v>
      </c>
      <c r="X1329" s="91">
        <v>0</v>
      </c>
      <c r="Y1329" s="91">
        <v>0.66628566345113305</v>
      </c>
      <c r="Z1329" s="91">
        <v>0</v>
      </c>
      <c r="AA1329" s="88" t="s">
        <v>3413</v>
      </c>
      <c r="AB1329" s="88" t="s">
        <v>3084</v>
      </c>
      <c r="AC1329" s="88" t="s">
        <v>2413</v>
      </c>
      <c r="AD1329" s="162" t="s">
        <v>2413</v>
      </c>
      <c r="AE1329" s="87">
        <v>46053</v>
      </c>
      <c r="AF1329" s="89" t="s">
        <v>3414</v>
      </c>
      <c r="AG1329" t="str">
        <f>VLOOKUP(OfficeForms.Table[[#This Row],[Nama Proyek]],'Nama Proyek'!$D$2:$G$29,4,0)</f>
        <v>-7.72647690,113.63515320</v>
      </c>
      <c r="AH1329" s="5"/>
      <c r="AI1329" s="5"/>
      <c r="AJ1329" s="5"/>
      <c r="AK1329" s="5"/>
    </row>
    <row r="1330" spans="1:37" hidden="1">
      <c r="A1330" s="50">
        <v>244</v>
      </c>
      <c r="B1330" s="109">
        <v>46055.416967592602</v>
      </c>
      <c r="C1330" s="85">
        <v>46055.453784722202</v>
      </c>
      <c r="D1330" s="64" t="s">
        <v>3415</v>
      </c>
      <c r="E1330" s="64" t="s">
        <v>3416</v>
      </c>
      <c r="F1330" s="5" t="s">
        <v>3417</v>
      </c>
      <c r="G1330" s="64" t="s">
        <v>3418</v>
      </c>
      <c r="H1330" s="99">
        <v>46054</v>
      </c>
      <c r="I1330" s="91">
        <v>2.5499999999999998</v>
      </c>
      <c r="J1330" s="91">
        <v>1.486</v>
      </c>
      <c r="K1330" s="91"/>
      <c r="L1330" s="91"/>
      <c r="M1330" s="91"/>
      <c r="N1330" s="91"/>
      <c r="O1330" s="91"/>
      <c r="P1330" s="91"/>
      <c r="Q1330" s="91"/>
      <c r="R1330" s="91"/>
      <c r="S1330" s="91"/>
      <c r="T1330" s="91"/>
      <c r="U1330" s="91"/>
      <c r="V1330" s="91"/>
      <c r="W1330" s="91"/>
      <c r="X1330" s="91"/>
      <c r="Y1330" s="91"/>
      <c r="Z1330" s="91"/>
      <c r="AA1330" s="88" t="s">
        <v>3419</v>
      </c>
      <c r="AB1330" s="88" t="s">
        <v>3420</v>
      </c>
      <c r="AC1330" s="88" t="s">
        <v>3421</v>
      </c>
      <c r="AD1330" s="162" t="s">
        <v>2297</v>
      </c>
      <c r="AE1330" s="87">
        <v>46052</v>
      </c>
      <c r="AF1330" s="89" t="s">
        <v>3422</v>
      </c>
      <c r="AG1330" t="e">
        <f>VLOOKUP(OfficeForms.Table[[#This Row],[Nama Proyek]],'Nama Proyek'!$D$2:$G$29,4,0)</f>
        <v>#N/A</v>
      </c>
      <c r="AH1330" s="5"/>
      <c r="AI1330" s="5"/>
      <c r="AJ1330" s="5"/>
      <c r="AK1330" s="5"/>
    </row>
    <row r="1331" spans="1:37" ht="30.75">
      <c r="A1331" s="50">
        <v>245</v>
      </c>
      <c r="B1331" s="109">
        <v>46055.499768518501</v>
      </c>
      <c r="C1331" s="85">
        <v>46055.501793981501</v>
      </c>
      <c r="D1331" s="64" t="s">
        <v>2580</v>
      </c>
      <c r="E1331" s="64" t="s">
        <v>57</v>
      </c>
      <c r="F1331" s="5" t="s">
        <v>57</v>
      </c>
      <c r="G1331" s="64" t="s">
        <v>1484</v>
      </c>
      <c r="H1331" s="99">
        <v>46053</v>
      </c>
      <c r="I1331" s="91">
        <v>96.48</v>
      </c>
      <c r="J1331" s="91">
        <v>84.656000000000006</v>
      </c>
      <c r="K1331" s="91">
        <v>1.48</v>
      </c>
      <c r="L1331" s="91">
        <v>4.4560000000000004</v>
      </c>
      <c r="M1331" s="91">
        <v>36.006999999999998</v>
      </c>
      <c r="N1331" s="91"/>
      <c r="O1331" s="91">
        <v>1.4410000000000001</v>
      </c>
      <c r="P1331" s="91">
        <v>5.3920000000000003</v>
      </c>
      <c r="Q1331" s="91">
        <v>45.625</v>
      </c>
      <c r="R1331" s="91"/>
      <c r="S1331" s="91">
        <v>2.0299999999999998</v>
      </c>
      <c r="T1331" s="91">
        <v>4.8000000000000001E-2</v>
      </c>
      <c r="U1331" s="91"/>
      <c r="V1331" s="91"/>
      <c r="W1331" s="91"/>
      <c r="X1331" s="91"/>
      <c r="Y1331" s="91"/>
      <c r="Z1331" s="91"/>
      <c r="AA1331" s="88" t="s">
        <v>3423</v>
      </c>
      <c r="AB1331" s="88" t="s">
        <v>3423</v>
      </c>
      <c r="AC1331" s="88" t="s">
        <v>3424</v>
      </c>
      <c r="AD1331" s="162" t="s">
        <v>3424</v>
      </c>
      <c r="AE1331" s="87">
        <v>46053</v>
      </c>
      <c r="AF1331" s="89" t="s">
        <v>3425</v>
      </c>
      <c r="AG1331" t="str">
        <f>VLOOKUP(OfficeForms.Table[[#This Row],[Nama Proyek]],'Nama Proyek'!$D$2:$G$29,4,0)</f>
        <v>-8.01003300,110.33312900</v>
      </c>
      <c r="AH1331" s="5"/>
      <c r="AI1331" s="5"/>
      <c r="AJ1331" s="5"/>
      <c r="AK1331" s="5"/>
    </row>
    <row r="1332" spans="1:37">
      <c r="A1332" s="50">
        <v>246</v>
      </c>
      <c r="B1332" s="109">
        <v>46055.587939814803</v>
      </c>
      <c r="C1332" s="85">
        <v>46055.593958333302</v>
      </c>
      <c r="D1332" s="216" t="s">
        <v>2585</v>
      </c>
      <c r="E1332" s="216" t="s">
        <v>2586</v>
      </c>
      <c r="F1332" s="5" t="s">
        <v>1479</v>
      </c>
      <c r="G1332" s="216" t="s">
        <v>1480</v>
      </c>
      <c r="H1332" s="217">
        <v>46047</v>
      </c>
      <c r="I1332" s="218">
        <v>95.756</v>
      </c>
      <c r="J1332" s="218">
        <v>94.843000000000004</v>
      </c>
      <c r="K1332" s="218"/>
      <c r="L1332" s="218"/>
      <c r="M1332" s="218"/>
      <c r="N1332" s="218"/>
      <c r="O1332" s="218"/>
      <c r="P1332" s="218"/>
      <c r="Q1332" s="218"/>
      <c r="R1332" s="218"/>
      <c r="S1332" s="218"/>
      <c r="T1332" s="218"/>
      <c r="U1332" s="218"/>
      <c r="V1332" s="218"/>
      <c r="W1332" s="218"/>
      <c r="X1332" s="218"/>
      <c r="Y1332" s="218"/>
      <c r="Z1332" s="218"/>
      <c r="AA1332" s="88" t="s">
        <v>3189</v>
      </c>
      <c r="AB1332" s="88" t="s">
        <v>3190</v>
      </c>
      <c r="AC1332" s="88" t="s">
        <v>3191</v>
      </c>
      <c r="AD1332" s="162"/>
      <c r="AE1332" s="220"/>
      <c r="AF1332" s="223"/>
      <c r="AG1332" t="str">
        <f>VLOOKUP(OfficeForms.Table[[#This Row],[Nama Proyek]],'Nama Proyek'!$D$2:$G$29,4,0)</f>
        <v>-6.23191260,107.90813480</v>
      </c>
      <c r="AH1332" s="5"/>
      <c r="AI1332" s="5"/>
      <c r="AJ1332" s="5"/>
      <c r="AK1332" s="5"/>
    </row>
    <row r="1333" spans="1:37">
      <c r="A1333" s="50"/>
      <c r="B1333" s="109"/>
      <c r="C1333" s="85"/>
      <c r="D1333" s="64"/>
      <c r="E1333" s="64"/>
      <c r="F1333" s="5"/>
      <c r="G1333" s="64"/>
      <c r="H1333" s="99"/>
      <c r="I1333" s="91"/>
      <c r="J1333" s="91"/>
      <c r="K1333" s="91"/>
      <c r="L1333" s="91"/>
      <c r="M1333" s="91"/>
      <c r="N1333" s="91"/>
      <c r="O1333" s="91"/>
      <c r="P1333" s="91"/>
      <c r="Q1333" s="91"/>
      <c r="R1333" s="91"/>
      <c r="S1333" s="91"/>
      <c r="T1333" s="91"/>
      <c r="U1333" s="91"/>
      <c r="V1333" s="91"/>
      <c r="W1333" s="91"/>
      <c r="X1333" s="91"/>
      <c r="Y1333" s="91"/>
      <c r="Z1333" s="91"/>
      <c r="AA1333" s="88"/>
      <c r="AB1333" s="88"/>
      <c r="AC1333" s="88"/>
      <c r="AD1333" s="88"/>
      <c r="AE1333" s="87"/>
      <c r="AF1333" s="89"/>
      <c r="AH1333" s="5"/>
      <c r="AI1333" s="5"/>
      <c r="AJ1333" s="5"/>
      <c r="AK1333" s="5" t="s">
        <v>3426</v>
      </c>
    </row>
    <row r="1334" spans="1:37">
      <c r="B1334" s="109"/>
      <c r="C1334" s="85"/>
      <c r="D1334" s="53"/>
      <c r="E1334" s="53"/>
      <c r="F1334" s="53"/>
      <c r="G1334" s="185"/>
      <c r="H1334" s="139"/>
      <c r="I1334" s="140"/>
      <c r="J1334" s="140"/>
      <c r="K1334" s="140"/>
      <c r="L1334" s="140"/>
      <c r="M1334" s="140"/>
      <c r="N1334" s="140"/>
      <c r="O1334" s="140"/>
      <c r="P1334" s="140"/>
      <c r="Q1334" s="140"/>
      <c r="R1334" s="140"/>
      <c r="S1334" s="140"/>
      <c r="T1334" s="140"/>
      <c r="U1334" s="140"/>
      <c r="V1334" s="140"/>
      <c r="W1334" s="140"/>
      <c r="X1334" s="140"/>
      <c r="Y1334" s="140"/>
      <c r="Z1334" s="140"/>
      <c r="AA1334" s="53"/>
      <c r="AB1334" s="53"/>
      <c r="AC1334" s="53"/>
      <c r="AD1334" s="53"/>
      <c r="AE1334" s="141"/>
      <c r="AF1334" s="5"/>
      <c r="AG1334" t="e">
        <f>VLOOKUP(OfficeForms.Table[[#This Row],[Nama Proyek]],'Nama Proyek'!$D$2:$G$29,4,0)</f>
        <v>#N/A</v>
      </c>
      <c r="AH1334" s="5"/>
      <c r="AI1334" s="5"/>
      <c r="AJ1334" s="5"/>
      <c r="AK1334" s="5"/>
    </row>
    <row r="1335" spans="1:37">
      <c r="A1335" s="50"/>
      <c r="B1335" s="109"/>
      <c r="C1335" s="85"/>
      <c r="D1335" s="64"/>
      <c r="E1335" s="64"/>
      <c r="F1335" s="5"/>
      <c r="G1335" s="86"/>
      <c r="H1335" s="100"/>
      <c r="I1335" s="91"/>
      <c r="J1335" s="91"/>
      <c r="K1335" s="91"/>
      <c r="L1335" s="91"/>
      <c r="M1335" s="91"/>
      <c r="N1335" s="91"/>
      <c r="O1335" s="91"/>
      <c r="P1335" s="91"/>
      <c r="Q1335" s="91"/>
      <c r="R1335" s="91"/>
      <c r="S1335" s="91"/>
      <c r="T1335" s="91"/>
      <c r="U1335" s="91"/>
      <c r="V1335" s="91"/>
      <c r="W1335" s="91"/>
      <c r="X1335" s="91"/>
      <c r="Y1335" s="91"/>
      <c r="Z1335" s="91"/>
      <c r="AA1335" s="64"/>
      <c r="AB1335" s="64"/>
      <c r="AC1335" s="64"/>
      <c r="AD1335" s="64"/>
      <c r="AE1335" s="87"/>
      <c r="AF1335" s="64"/>
      <c r="AG1335" t="e">
        <f>VLOOKUP(OfficeForms.Table[[#This Row],[Nama Proyek]],'Nama Proyek'!$D$2:$G$40,4,0)</f>
        <v>#N/A</v>
      </c>
      <c r="AH1335" s="5"/>
      <c r="AI1335" s="5"/>
      <c r="AJ1335" s="5"/>
      <c r="AK1335" s="5" t="s">
        <v>3427</v>
      </c>
    </row>
    <row r="1336" spans="1:37" ht="76.5">
      <c r="A1336" s="50">
        <v>247</v>
      </c>
      <c r="B1336" s="109">
        <v>46080.5309837963</v>
      </c>
      <c r="C1336" s="85">
        <v>46080.534502314797</v>
      </c>
      <c r="D1336" s="64" t="s">
        <v>2525</v>
      </c>
      <c r="E1336" s="64" t="s">
        <v>47</v>
      </c>
      <c r="F1336" s="5" t="s">
        <v>47</v>
      </c>
      <c r="G1336" s="86" t="s">
        <v>2734</v>
      </c>
      <c r="H1336" s="100">
        <v>46078</v>
      </c>
      <c r="I1336" s="91">
        <v>68.474999999999994</v>
      </c>
      <c r="J1336" s="91">
        <v>74.216999999999999</v>
      </c>
      <c r="K1336" s="91">
        <v>1.9510000000000001</v>
      </c>
      <c r="L1336" s="91">
        <v>0.29099999999999998</v>
      </c>
      <c r="M1336" s="91">
        <v>4.4999999999999998E-2</v>
      </c>
      <c r="N1336" s="91">
        <v>12.920999999999999</v>
      </c>
      <c r="O1336" s="91">
        <v>1.2989999999999999</v>
      </c>
      <c r="P1336" s="91">
        <v>0.20300000000000001</v>
      </c>
      <c r="Q1336" s="91">
        <v>1.4E-2</v>
      </c>
      <c r="R1336" s="91">
        <v>0.158</v>
      </c>
      <c r="S1336" s="91">
        <v>0.19500000000000001</v>
      </c>
      <c r="T1336" s="91">
        <v>47.220999999999997</v>
      </c>
      <c r="U1336" s="91"/>
      <c r="V1336" s="91"/>
      <c r="W1336" s="91"/>
      <c r="X1336" s="91"/>
      <c r="Y1336" s="91">
        <v>0.187</v>
      </c>
      <c r="Z1336" s="91"/>
      <c r="AA1336" s="225" t="s">
        <v>3428</v>
      </c>
      <c r="AB1336" s="64" t="s">
        <v>3429</v>
      </c>
      <c r="AC1336" s="225" t="s">
        <v>3430</v>
      </c>
      <c r="AD1336" s="64"/>
      <c r="AE1336" s="87">
        <v>46078</v>
      </c>
      <c r="AF1336" s="89" t="s">
        <v>3400</v>
      </c>
      <c r="AG1336" t="e">
        <f>VLOOKUP(OfficeForms.Table[[#This Row],[Nama Proyek]],'Nama Proyek'!$D$2:$G$29,4,0)</f>
        <v>#N/A</v>
      </c>
      <c r="AH1336" s="5"/>
      <c r="AI1336" s="5"/>
      <c r="AJ1336" s="5"/>
      <c r="AK1336" s="5"/>
    </row>
    <row r="1337" spans="1:37" ht="244.5">
      <c r="A1337" s="50">
        <v>248</v>
      </c>
      <c r="B1337" s="109">
        <v>46080.601724537002</v>
      </c>
      <c r="C1337" s="85">
        <v>46080.604965277802</v>
      </c>
      <c r="D1337" s="64" t="s">
        <v>2546</v>
      </c>
      <c r="E1337" s="64" t="s">
        <v>85</v>
      </c>
      <c r="F1337" s="5" t="s">
        <v>85</v>
      </c>
      <c r="G1337" s="86" t="s">
        <v>2336</v>
      </c>
      <c r="H1337" s="100">
        <v>46075</v>
      </c>
      <c r="I1337" s="91">
        <v>63.11</v>
      </c>
      <c r="J1337" s="91">
        <v>69.093999999999994</v>
      </c>
      <c r="K1337" s="91">
        <v>2.601</v>
      </c>
      <c r="L1337" s="91">
        <v>0.17</v>
      </c>
      <c r="M1337" s="91">
        <v>3.0000000000000001E-3</v>
      </c>
      <c r="N1337" s="91">
        <v>22.827999999999999</v>
      </c>
      <c r="O1337" s="91">
        <v>0.107</v>
      </c>
      <c r="P1337" s="91">
        <v>0</v>
      </c>
      <c r="Q1337" s="91">
        <v>0</v>
      </c>
      <c r="R1337" s="91">
        <v>0</v>
      </c>
      <c r="S1337" s="91">
        <v>0</v>
      </c>
      <c r="T1337" s="91">
        <v>37.21</v>
      </c>
      <c r="U1337" s="91">
        <v>0</v>
      </c>
      <c r="V1337" s="91">
        <v>0.13300000000000001</v>
      </c>
      <c r="W1337" s="91">
        <v>2.1000000000000001E-2</v>
      </c>
      <c r="X1337" s="91">
        <v>0</v>
      </c>
      <c r="Y1337" s="91">
        <v>3.7999999999999999E-2</v>
      </c>
      <c r="Z1337" s="91">
        <v>0</v>
      </c>
      <c r="AA1337" s="225" t="s">
        <v>3431</v>
      </c>
      <c r="AB1337" s="64" t="s">
        <v>3432</v>
      </c>
      <c r="AC1337" s="64" t="s">
        <v>3433</v>
      </c>
      <c r="AD1337" s="225" t="s">
        <v>3433</v>
      </c>
      <c r="AE1337" s="87">
        <v>46080</v>
      </c>
      <c r="AF1337" s="89" t="s">
        <v>3434</v>
      </c>
      <c r="AG1337" t="e">
        <f>VLOOKUP(OfficeForms.Table[[#This Row],[Nama Proyek]],'Nama Proyek'!$D$2:$G$29,4,0)</f>
        <v>#N/A</v>
      </c>
      <c r="AH1337" s="5"/>
      <c r="AI1337" s="5"/>
      <c r="AJ1337" s="5"/>
      <c r="AK1337" s="5"/>
    </row>
    <row r="1338" spans="1:37" ht="152.25">
      <c r="A1338" s="50">
        <v>249</v>
      </c>
      <c r="B1338" s="109">
        <v>46083.371516203697</v>
      </c>
      <c r="C1338" s="85">
        <v>46083.380162037</v>
      </c>
      <c r="D1338" s="64" t="s">
        <v>2718</v>
      </c>
      <c r="E1338" s="64" t="s">
        <v>82</v>
      </c>
      <c r="F1338" s="5" t="s">
        <v>82</v>
      </c>
      <c r="G1338" s="86" t="s">
        <v>1317</v>
      </c>
      <c r="H1338" s="100">
        <v>46081</v>
      </c>
      <c r="I1338" s="91">
        <v>93.839834701820706</v>
      </c>
      <c r="J1338" s="91">
        <v>98.750564216894901</v>
      </c>
      <c r="K1338" s="91">
        <v>1.30064185890274</v>
      </c>
      <c r="L1338" s="91">
        <v>0.19496062971221001</v>
      </c>
      <c r="M1338" s="91">
        <v>9.1434235081999396E-2</v>
      </c>
      <c r="N1338" s="91">
        <v>38.1334975258805</v>
      </c>
      <c r="O1338" s="91">
        <v>0.392263224601134</v>
      </c>
      <c r="P1338" s="91">
        <v>2.0355435947597802</v>
      </c>
      <c r="Q1338" s="91">
        <v>9.4235727121564403E-2</v>
      </c>
      <c r="R1338" s="91">
        <v>1.42955012897179</v>
      </c>
      <c r="S1338" s="91">
        <v>8.7088611920203594</v>
      </c>
      <c r="T1338" s="91">
        <v>28.660439350259001</v>
      </c>
      <c r="U1338" s="91">
        <v>0</v>
      </c>
      <c r="V1338" s="91">
        <v>12.0176747083206</v>
      </c>
      <c r="W1338" s="91">
        <v>0.114446862737939</v>
      </c>
      <c r="X1338" s="91">
        <v>0</v>
      </c>
      <c r="Y1338" s="91">
        <v>0.66628566345113305</v>
      </c>
      <c r="Z1338" s="91">
        <v>0</v>
      </c>
      <c r="AA1338" s="225" t="s">
        <v>3435</v>
      </c>
      <c r="AB1338" s="64" t="s">
        <v>3084</v>
      </c>
      <c r="AC1338" s="225" t="s">
        <v>3084</v>
      </c>
      <c r="AD1338" s="225" t="s">
        <v>2413</v>
      </c>
      <c r="AE1338" s="87">
        <v>46081</v>
      </c>
      <c r="AF1338" s="89" t="s">
        <v>3436</v>
      </c>
      <c r="AG1338" t="str">
        <f>VLOOKUP(OfficeForms.Table[[#This Row],[Nama Proyek]],'Nama Proyek'!$D$2:$G$29,4,0)</f>
        <v>-7.72647690,113.63515320</v>
      </c>
      <c r="AH1338" s="5"/>
      <c r="AI1338" s="5"/>
      <c r="AJ1338" s="5"/>
      <c r="AK1338" s="5"/>
    </row>
    <row r="1339" spans="1:37">
      <c r="A1339" s="50">
        <v>250</v>
      </c>
      <c r="B1339" s="109">
        <v>46083.379467592596</v>
      </c>
      <c r="C1339" s="85">
        <v>46083.385150463</v>
      </c>
      <c r="D1339" s="64" t="s">
        <v>2585</v>
      </c>
      <c r="E1339" s="64" t="s">
        <v>2586</v>
      </c>
      <c r="F1339" s="5" t="s">
        <v>1479</v>
      </c>
      <c r="G1339" s="86" t="s">
        <v>1480</v>
      </c>
      <c r="H1339" s="100">
        <v>46075</v>
      </c>
      <c r="I1339" s="91">
        <v>95.99</v>
      </c>
      <c r="J1339" s="91">
        <v>95.471999999999994</v>
      </c>
      <c r="K1339" s="91"/>
      <c r="L1339" s="91"/>
      <c r="M1339" s="91"/>
      <c r="N1339" s="91"/>
      <c r="O1339" s="91"/>
      <c r="P1339" s="91"/>
      <c r="Q1339" s="91"/>
      <c r="R1339" s="91"/>
      <c r="S1339" s="91"/>
      <c r="T1339" s="91"/>
      <c r="U1339" s="91"/>
      <c r="V1339" s="91"/>
      <c r="W1339" s="91"/>
      <c r="X1339" s="91"/>
      <c r="Y1339" s="91"/>
      <c r="Z1339" s="91"/>
      <c r="AA1339" s="225" t="s">
        <v>3189</v>
      </c>
      <c r="AB1339" s="64" t="s">
        <v>3190</v>
      </c>
      <c r="AC1339" s="64"/>
      <c r="AD1339" s="225"/>
      <c r="AE1339" s="87"/>
      <c r="AF1339" s="89"/>
      <c r="AG1339" t="str">
        <f>VLOOKUP(OfficeForms.Table[[#This Row],[Nama Proyek]],'Nama Proyek'!$D$2:$G$29,4,0)</f>
        <v>-6.23191260,107.90813480</v>
      </c>
      <c r="AH1339" s="5"/>
      <c r="AI1339" s="5"/>
      <c r="AJ1339" s="5"/>
      <c r="AK1339" s="5"/>
    </row>
    <row r="1340" spans="1:37">
      <c r="A1340" s="50">
        <v>251</v>
      </c>
      <c r="B1340" s="109">
        <v>46083.381747685198</v>
      </c>
      <c r="C1340" s="85">
        <v>46083.660277777803</v>
      </c>
      <c r="D1340" s="64" t="s">
        <v>2600</v>
      </c>
      <c r="E1340" s="64" t="s">
        <v>855</v>
      </c>
      <c r="F1340" s="5" t="s">
        <v>855</v>
      </c>
      <c r="G1340" s="86" t="s">
        <v>2601</v>
      </c>
      <c r="H1340" s="100">
        <v>46078</v>
      </c>
      <c r="I1340" s="91">
        <v>84.793999999999997</v>
      </c>
      <c r="J1340" s="91">
        <v>82.21</v>
      </c>
      <c r="K1340" s="91">
        <v>0.81299999999999994</v>
      </c>
      <c r="L1340" s="91">
        <v>0.253</v>
      </c>
      <c r="M1340" s="91">
        <v>4.0890000000000004</v>
      </c>
      <c r="N1340" s="91"/>
      <c r="O1340" s="91">
        <v>0.08</v>
      </c>
      <c r="P1340" s="91">
        <v>1.2250000000000001</v>
      </c>
      <c r="Q1340" s="91">
        <v>78.123000000000005</v>
      </c>
      <c r="R1340" s="91"/>
      <c r="S1340" s="91">
        <v>0.21199999999999999</v>
      </c>
      <c r="T1340" s="91"/>
      <c r="U1340" s="91"/>
      <c r="V1340" s="91"/>
      <c r="W1340" s="91"/>
      <c r="X1340" s="91"/>
      <c r="Y1340" s="91"/>
      <c r="Z1340" s="91"/>
      <c r="AA1340" s="225" t="s">
        <v>3437</v>
      </c>
      <c r="AB1340" s="64" t="s">
        <v>3438</v>
      </c>
      <c r="AC1340" s="64" t="s">
        <v>3439</v>
      </c>
      <c r="AD1340" s="225" t="s">
        <v>3440</v>
      </c>
      <c r="AE1340" s="87">
        <v>46078</v>
      </c>
      <c r="AF1340" s="89" t="s">
        <v>3441</v>
      </c>
      <c r="AG1340" t="str">
        <f>VLOOKUP(OfficeForms.Table[[#This Row],[Nama Proyek]],'Nama Proyek'!$D$2:$G$29,4,0)</f>
        <v>-1.13731907,116.79020552</v>
      </c>
      <c r="AH1340" s="5"/>
      <c r="AI1340" s="5"/>
      <c r="AJ1340" s="5"/>
      <c r="AK1340" s="5"/>
    </row>
    <row r="1341" spans="1:37" ht="275.25">
      <c r="A1341" s="226">
        <v>252</v>
      </c>
      <c r="B1341" s="109">
        <v>46083.9862615741</v>
      </c>
      <c r="C1341" s="85">
        <v>46083.993750000001</v>
      </c>
      <c r="D1341" s="64" t="s">
        <v>3051</v>
      </c>
      <c r="E1341" s="64" t="s">
        <v>3052</v>
      </c>
      <c r="F1341" s="5" t="s">
        <v>3052</v>
      </c>
      <c r="G1341" s="86" t="s">
        <v>2267</v>
      </c>
      <c r="H1341" s="100">
        <v>46081</v>
      </c>
      <c r="I1341" s="91">
        <v>81.676000000000002</v>
      </c>
      <c r="J1341" s="91">
        <v>90.82</v>
      </c>
      <c r="K1341" s="91">
        <v>0</v>
      </c>
      <c r="L1341" s="91">
        <v>1.4999999999999999E-2</v>
      </c>
      <c r="M1341" s="91">
        <v>0</v>
      </c>
      <c r="N1341" s="91">
        <v>0.373</v>
      </c>
      <c r="O1341" s="91">
        <v>0</v>
      </c>
      <c r="P1341" s="91">
        <v>0.06</v>
      </c>
      <c r="Q1341" s="91">
        <v>1E-3</v>
      </c>
      <c r="R1341" s="91">
        <v>1.2E-2</v>
      </c>
      <c r="S1341" s="91">
        <v>0.504</v>
      </c>
      <c r="T1341" s="91">
        <v>0.129</v>
      </c>
      <c r="U1341" s="91">
        <v>3.7999999999999999E-2</v>
      </c>
      <c r="V1341" s="91">
        <v>0.124</v>
      </c>
      <c r="W1341" s="91">
        <v>1E-3</v>
      </c>
      <c r="X1341" s="91">
        <v>0</v>
      </c>
      <c r="Y1341" s="91">
        <v>0</v>
      </c>
      <c r="Z1341" s="91">
        <v>0</v>
      </c>
      <c r="AA1341" s="225" t="s">
        <v>3442</v>
      </c>
      <c r="AB1341" s="64" t="s">
        <v>3443</v>
      </c>
      <c r="AC1341" s="225" t="s">
        <v>3444</v>
      </c>
      <c r="AD1341" s="228" t="s">
        <v>2297</v>
      </c>
      <c r="AE1341" s="87">
        <v>46081</v>
      </c>
      <c r="AF1341" s="89" t="s">
        <v>3445</v>
      </c>
      <c r="AG1341" s="227" t="e">
        <f>VLOOKUP(OfficeForms.Table[[#This Row],[Nama Proyek]],'Nama Proyek'!$D$2:$G$29,4,0)</f>
        <v>#N/A</v>
      </c>
      <c r="AH1341" s="5"/>
      <c r="AI1341" s="5"/>
      <c r="AJ1341" s="5"/>
      <c r="AK1341" s="5"/>
    </row>
    <row r="1342" spans="1:37">
      <c r="A1342" s="50"/>
      <c r="B1342" s="109"/>
      <c r="C1342" s="85"/>
      <c r="D1342" s="64"/>
      <c r="E1342" s="64"/>
      <c r="F1342" s="5"/>
      <c r="G1342" s="64"/>
      <c r="H1342" s="91"/>
      <c r="J1342" s="91"/>
      <c r="K1342" s="91"/>
      <c r="L1342" s="91"/>
      <c r="M1342" s="91"/>
      <c r="N1342" s="91"/>
      <c r="O1342" s="91"/>
      <c r="P1342" s="91"/>
      <c r="Q1342" s="91"/>
      <c r="R1342" s="91"/>
      <c r="S1342" s="91"/>
      <c r="T1342" s="91"/>
      <c r="U1342" s="91"/>
      <c r="V1342" s="91"/>
      <c r="W1342" s="91"/>
      <c r="X1342" s="91"/>
      <c r="Y1342" s="91"/>
      <c r="Z1342" s="91"/>
      <c r="AA1342" s="88"/>
      <c r="AB1342" s="88"/>
      <c r="AC1342" s="88"/>
      <c r="AD1342" s="88"/>
      <c r="AE1342" s="87"/>
      <c r="AF1342" s="133"/>
      <c r="AH1342" s="5"/>
      <c r="AI1342" s="5"/>
      <c r="AJ1342" s="5"/>
      <c r="AK1342" s="5"/>
    </row>
    <row r="1343" spans="1:37">
      <c r="B1343" s="65"/>
      <c r="C1343" s="27"/>
      <c r="D1343" s="5"/>
      <c r="E1343" s="5"/>
      <c r="F1343" s="5"/>
      <c r="G1343" s="5"/>
      <c r="AA1343" s="5"/>
      <c r="AB1343" s="5"/>
      <c r="AC1343" s="5"/>
      <c r="AD1343" s="5"/>
      <c r="AE1343" s="1"/>
      <c r="AF1343" s="5"/>
      <c r="AH1343" s="5"/>
      <c r="AI1343" s="5"/>
      <c r="AJ1343" s="5"/>
    </row>
    <row r="1344" spans="1:37">
      <c r="B1344" s="65"/>
      <c r="C1344" s="27"/>
      <c r="D1344" s="5"/>
      <c r="E1344" s="5"/>
      <c r="F1344" s="5"/>
      <c r="G1344" s="5"/>
      <c r="AA1344" s="5"/>
      <c r="AB1344" s="5"/>
      <c r="AC1344" s="5"/>
      <c r="AD1344" s="5"/>
      <c r="AE1344" s="1"/>
      <c r="AF1344" s="5"/>
      <c r="AH1344" s="5"/>
      <c r="AI1344" s="5"/>
      <c r="AJ1344" s="5"/>
    </row>
    <row r="1345" spans="2:36">
      <c r="B1345" s="65"/>
      <c r="C1345" s="27"/>
      <c r="D1345" s="5"/>
      <c r="E1345" s="5"/>
      <c r="F1345" s="5"/>
      <c r="G1345" s="5"/>
      <c r="AA1345" s="5"/>
      <c r="AB1345" s="5"/>
      <c r="AC1345" s="5"/>
      <c r="AD1345" s="5"/>
      <c r="AE1345" s="1"/>
      <c r="AF1345" s="5"/>
      <c r="AH1345" s="5"/>
      <c r="AI1345" s="5"/>
      <c r="AJ1345" s="5"/>
    </row>
    <row r="1346" spans="2:36">
      <c r="B1346" s="65"/>
      <c r="C1346" s="27"/>
      <c r="D1346" s="5"/>
      <c r="E1346" s="5"/>
      <c r="F1346" s="5"/>
      <c r="G1346" s="5"/>
      <c r="AA1346" s="5"/>
      <c r="AB1346" s="5"/>
      <c r="AC1346" s="5"/>
      <c r="AD1346" s="5"/>
      <c r="AE1346" s="1"/>
      <c r="AF1346" s="5"/>
      <c r="AH1346" s="5"/>
      <c r="AI1346" s="5"/>
      <c r="AJ1346" s="5"/>
    </row>
    <row r="1347" spans="2:36">
      <c r="B1347" s="65"/>
      <c r="C1347" s="27"/>
      <c r="D1347" s="5"/>
      <c r="E1347" s="5"/>
      <c r="F1347" s="5"/>
      <c r="G1347" s="5"/>
      <c r="AA1347" s="5"/>
      <c r="AB1347" s="5"/>
      <c r="AC1347" s="5"/>
      <c r="AD1347" s="5"/>
      <c r="AE1347" s="1"/>
      <c r="AF1347" s="5"/>
      <c r="AH1347" s="5"/>
      <c r="AI1347" s="5"/>
      <c r="AJ1347" s="5"/>
    </row>
    <row r="1348" spans="2:36">
      <c r="B1348" s="65"/>
      <c r="C1348" s="27"/>
      <c r="D1348" s="5"/>
      <c r="E1348" s="5"/>
      <c r="F1348" s="5"/>
      <c r="G1348" s="5"/>
      <c r="AA1348" s="5"/>
      <c r="AB1348" s="5"/>
      <c r="AC1348" s="5"/>
      <c r="AD1348" s="5"/>
      <c r="AE1348" s="1"/>
      <c r="AF1348" s="5"/>
      <c r="AH1348" s="5"/>
      <c r="AI1348" s="5"/>
      <c r="AJ1348" s="5"/>
    </row>
    <row r="1349" spans="2:36">
      <c r="B1349" s="65"/>
      <c r="C1349" s="27"/>
      <c r="D1349" s="5"/>
      <c r="E1349" s="5"/>
      <c r="F1349" s="5"/>
      <c r="G1349" s="5"/>
      <c r="AA1349" s="5"/>
      <c r="AB1349" s="5"/>
      <c r="AC1349" s="5"/>
      <c r="AD1349" s="5"/>
      <c r="AE1349" s="1"/>
      <c r="AF1349" s="5"/>
      <c r="AH1349" s="5"/>
      <c r="AI1349" s="5"/>
      <c r="AJ1349" s="5"/>
    </row>
    <row r="1350" spans="2:36">
      <c r="B1350" s="65"/>
      <c r="C1350" s="27"/>
      <c r="D1350" s="5"/>
      <c r="E1350" s="5"/>
      <c r="F1350" s="5"/>
      <c r="G1350" s="5"/>
      <c r="AA1350" s="5"/>
      <c r="AB1350" s="5"/>
      <c r="AC1350" s="5"/>
      <c r="AD1350" s="5"/>
      <c r="AE1350" s="1"/>
      <c r="AF1350" s="5"/>
      <c r="AH1350" s="5"/>
      <c r="AI1350" s="5"/>
      <c r="AJ1350" s="5"/>
    </row>
    <row r="1351" spans="2:36">
      <c r="B1351" s="65"/>
      <c r="C1351" s="27"/>
      <c r="D1351" s="5"/>
      <c r="E1351" s="5"/>
      <c r="F1351" s="5"/>
      <c r="G1351" s="5"/>
      <c r="AA1351" s="5"/>
      <c r="AB1351" s="5"/>
      <c r="AC1351" s="5"/>
      <c r="AD1351" s="5"/>
      <c r="AE1351" s="1"/>
      <c r="AF1351" s="5"/>
      <c r="AH1351" s="5"/>
      <c r="AI1351" s="5"/>
      <c r="AJ1351" s="5"/>
    </row>
    <row r="1352" spans="2:36">
      <c r="B1352" s="65"/>
      <c r="C1352" s="27"/>
      <c r="D1352" s="5"/>
      <c r="E1352" s="5"/>
      <c r="F1352" s="5"/>
      <c r="G1352" s="5"/>
      <c r="AA1352" s="5"/>
      <c r="AB1352" s="5"/>
      <c r="AC1352" s="5"/>
      <c r="AD1352" s="5"/>
      <c r="AE1352" s="1"/>
      <c r="AF1352" s="5"/>
      <c r="AH1352" s="5"/>
      <c r="AI1352" s="5"/>
      <c r="AJ1352" s="5"/>
    </row>
    <row r="1353" spans="2:36">
      <c r="B1353" s="65"/>
      <c r="C1353" s="27"/>
      <c r="D1353" s="5"/>
      <c r="E1353" s="5"/>
      <c r="F1353" s="5"/>
      <c r="G1353" s="5"/>
      <c r="AA1353" s="5"/>
      <c r="AB1353" s="5"/>
      <c r="AC1353" s="5"/>
      <c r="AD1353" s="5"/>
      <c r="AE1353" s="1"/>
      <c r="AF1353" s="5"/>
      <c r="AH1353" s="5"/>
      <c r="AI1353" s="5"/>
      <c r="AJ1353" s="5"/>
    </row>
    <row r="1354" spans="2:36">
      <c r="B1354" s="65"/>
      <c r="C1354" s="27"/>
      <c r="D1354" s="5"/>
      <c r="E1354" s="5"/>
      <c r="F1354" s="5"/>
      <c r="G1354" s="5"/>
      <c r="AA1354" s="5"/>
      <c r="AB1354" s="5"/>
      <c r="AC1354" s="5"/>
      <c r="AD1354" s="5"/>
      <c r="AE1354" s="1"/>
      <c r="AF1354" s="5"/>
      <c r="AH1354" s="5"/>
      <c r="AI1354" s="5"/>
      <c r="AJ1354" s="5"/>
    </row>
    <row r="1355" spans="2:36">
      <c r="B1355" s="65"/>
      <c r="C1355" s="27"/>
      <c r="D1355" s="5"/>
      <c r="E1355" s="5"/>
      <c r="F1355" s="5"/>
      <c r="G1355" s="5"/>
      <c r="AA1355" s="5"/>
      <c r="AB1355" s="5"/>
      <c r="AC1355" s="5"/>
      <c r="AD1355" s="5"/>
      <c r="AE1355" s="1"/>
      <c r="AF1355" s="5"/>
      <c r="AH1355" s="5"/>
      <c r="AI1355" s="5"/>
      <c r="AJ1355" s="5"/>
    </row>
    <row r="1356" spans="2:36">
      <c r="B1356" s="65"/>
      <c r="C1356" s="27"/>
      <c r="D1356" s="5"/>
      <c r="E1356" s="5"/>
      <c r="F1356" s="5"/>
      <c r="G1356" s="5"/>
      <c r="AA1356" s="5"/>
      <c r="AB1356" s="5"/>
      <c r="AC1356" s="5"/>
      <c r="AD1356" s="5"/>
      <c r="AE1356" s="1"/>
      <c r="AF1356" s="5"/>
      <c r="AH1356" s="5"/>
      <c r="AI1356" s="5"/>
      <c r="AJ1356" s="5"/>
    </row>
    <row r="1357" spans="2:36">
      <c r="B1357" s="65"/>
      <c r="C1357" s="27"/>
      <c r="D1357" s="5"/>
      <c r="E1357" s="5"/>
      <c r="F1357" s="5"/>
      <c r="G1357" s="5"/>
      <c r="AA1357" s="5"/>
      <c r="AB1357" s="5"/>
      <c r="AC1357" s="5"/>
      <c r="AD1357" s="5"/>
      <c r="AE1357" s="1"/>
      <c r="AF1357" s="5"/>
      <c r="AH1357" s="5"/>
      <c r="AI1357" s="5"/>
      <c r="AJ1357" s="5"/>
    </row>
    <row r="1358" spans="2:36">
      <c r="B1358" s="65"/>
      <c r="C1358" s="27"/>
      <c r="D1358" s="5"/>
      <c r="E1358" s="5"/>
      <c r="F1358" s="5"/>
      <c r="G1358" s="5"/>
      <c r="AA1358" s="5"/>
      <c r="AB1358" s="5"/>
      <c r="AC1358" s="5"/>
      <c r="AD1358" s="5"/>
      <c r="AE1358" s="1"/>
      <c r="AF1358" s="5"/>
      <c r="AH1358" s="5"/>
      <c r="AI1358" s="5"/>
      <c r="AJ1358" s="5"/>
    </row>
    <row r="1359" spans="2:36">
      <c r="B1359" s="65"/>
      <c r="C1359" s="27"/>
      <c r="D1359" s="5"/>
      <c r="E1359" s="5"/>
      <c r="F1359" s="5"/>
      <c r="G1359" s="5"/>
      <c r="AA1359" s="5"/>
      <c r="AB1359" s="5"/>
      <c r="AC1359" s="5"/>
      <c r="AD1359" s="5"/>
      <c r="AE1359" s="1"/>
      <c r="AF1359" s="5"/>
      <c r="AH1359" s="5"/>
      <c r="AI1359" s="5"/>
      <c r="AJ1359" s="5"/>
    </row>
    <row r="1360" spans="2:36">
      <c r="B1360" s="65"/>
      <c r="C1360" s="27"/>
      <c r="D1360" s="5"/>
      <c r="E1360" s="5"/>
      <c r="F1360" s="5"/>
      <c r="G1360" s="5"/>
      <c r="AA1360" s="5"/>
      <c r="AB1360" s="5"/>
      <c r="AC1360" s="5"/>
      <c r="AD1360" s="5"/>
      <c r="AE1360" s="1"/>
      <c r="AF1360" s="5"/>
      <c r="AH1360" s="5"/>
      <c r="AI1360" s="5"/>
      <c r="AJ1360" s="5"/>
    </row>
    <row r="1361" spans="2:36">
      <c r="B1361" s="65"/>
      <c r="C1361" s="27"/>
      <c r="D1361" s="5"/>
      <c r="E1361" s="5"/>
      <c r="F1361" s="5"/>
      <c r="G1361" s="5"/>
      <c r="AA1361" s="5"/>
      <c r="AB1361" s="5"/>
      <c r="AC1361" s="5"/>
      <c r="AD1361" s="5"/>
      <c r="AE1361" s="1"/>
      <c r="AF1361" s="5"/>
      <c r="AH1361" s="5"/>
      <c r="AI1361" s="5"/>
      <c r="AJ1361" s="5"/>
    </row>
    <row r="1362" spans="2:36">
      <c r="B1362" s="65"/>
      <c r="C1362" s="27"/>
      <c r="D1362" s="5"/>
      <c r="E1362" s="5"/>
      <c r="F1362" s="5"/>
      <c r="G1362" s="5"/>
      <c r="AA1362" s="5"/>
      <c r="AB1362" s="5"/>
      <c r="AC1362" s="5"/>
      <c r="AD1362" s="5"/>
      <c r="AE1362" s="1"/>
      <c r="AF1362" s="5"/>
      <c r="AH1362" s="5"/>
      <c r="AI1362" s="5"/>
      <c r="AJ1362" s="5"/>
    </row>
    <row r="1363" spans="2:36">
      <c r="B1363" s="65"/>
      <c r="C1363" s="27"/>
      <c r="D1363" s="5"/>
      <c r="E1363" s="5"/>
      <c r="F1363" s="5"/>
      <c r="G1363" s="5"/>
      <c r="AA1363" s="5"/>
      <c r="AB1363" s="5"/>
      <c r="AC1363" s="5"/>
      <c r="AD1363" s="5"/>
      <c r="AE1363" s="1"/>
      <c r="AF1363" s="5"/>
      <c r="AH1363" s="5"/>
      <c r="AI1363" s="5"/>
      <c r="AJ1363" s="5"/>
    </row>
    <row r="1364" spans="2:36">
      <c r="B1364" s="65"/>
      <c r="C1364" s="27"/>
      <c r="D1364" s="5"/>
      <c r="E1364" s="5"/>
      <c r="F1364" s="5"/>
      <c r="G1364" s="5"/>
      <c r="AA1364" s="5"/>
      <c r="AB1364" s="5"/>
      <c r="AC1364" s="5"/>
      <c r="AD1364" s="5"/>
      <c r="AE1364" s="1"/>
      <c r="AF1364" s="5"/>
      <c r="AH1364" s="5"/>
      <c r="AI1364" s="5"/>
      <c r="AJ1364" s="5"/>
    </row>
    <row r="1365" spans="2:36">
      <c r="B1365" s="65"/>
      <c r="C1365" s="27"/>
      <c r="D1365" s="5"/>
      <c r="E1365" s="5"/>
      <c r="F1365" s="5"/>
      <c r="G1365" s="5"/>
      <c r="AA1365" s="5"/>
      <c r="AB1365" s="5"/>
      <c r="AC1365" s="5"/>
      <c r="AD1365" s="5"/>
      <c r="AE1365" s="1"/>
      <c r="AF1365" s="5"/>
      <c r="AH1365" s="5"/>
      <c r="AI1365" s="5"/>
      <c r="AJ1365" s="5"/>
    </row>
    <row r="1366" spans="2:36">
      <c r="B1366" s="65"/>
      <c r="C1366" s="27"/>
      <c r="D1366" s="5"/>
      <c r="E1366" s="5"/>
      <c r="F1366" s="5"/>
      <c r="G1366" s="5"/>
      <c r="AA1366" s="5"/>
      <c r="AB1366" s="5"/>
      <c r="AC1366" s="5"/>
      <c r="AD1366" s="5"/>
      <c r="AE1366" s="1"/>
      <c r="AF1366" s="5"/>
      <c r="AH1366" s="5"/>
      <c r="AI1366" s="5"/>
      <c r="AJ1366" s="5"/>
    </row>
    <row r="1367" spans="2:36">
      <c r="B1367" s="65"/>
      <c r="C1367" s="27"/>
      <c r="D1367" s="5"/>
      <c r="E1367" s="5"/>
      <c r="F1367" s="5"/>
      <c r="G1367" s="5"/>
      <c r="AA1367" s="5"/>
      <c r="AB1367" s="5"/>
      <c r="AC1367" s="5"/>
      <c r="AD1367" s="5"/>
      <c r="AE1367" s="1"/>
      <c r="AF1367" s="5"/>
      <c r="AH1367" s="5"/>
      <c r="AI1367" s="5"/>
      <c r="AJ1367" s="5"/>
    </row>
    <row r="1368" spans="2:36">
      <c r="B1368" s="65"/>
      <c r="C1368" s="27"/>
      <c r="D1368" s="5"/>
      <c r="E1368" s="5"/>
      <c r="F1368" s="5"/>
      <c r="G1368" s="5"/>
      <c r="AA1368" s="5"/>
      <c r="AB1368" s="5"/>
      <c r="AC1368" s="5"/>
      <c r="AD1368" s="5"/>
      <c r="AE1368" s="1"/>
      <c r="AF1368" s="5"/>
      <c r="AH1368" s="5"/>
      <c r="AI1368" s="5"/>
      <c r="AJ1368" s="5"/>
    </row>
    <row r="1369" spans="2:36">
      <c r="B1369" s="65"/>
      <c r="C1369" s="27"/>
      <c r="D1369" s="5"/>
      <c r="E1369" s="5"/>
      <c r="F1369" s="5"/>
      <c r="G1369" s="5"/>
      <c r="AA1369" s="5"/>
      <c r="AB1369" s="5"/>
      <c r="AC1369" s="5"/>
      <c r="AD1369" s="5"/>
      <c r="AE1369" s="1"/>
      <c r="AF1369" s="5"/>
      <c r="AH1369" s="5"/>
      <c r="AI1369" s="5"/>
      <c r="AJ1369" s="5"/>
    </row>
    <row r="1370" spans="2:36">
      <c r="B1370" s="65"/>
      <c r="C1370" s="27"/>
      <c r="D1370" s="5"/>
      <c r="E1370" s="5"/>
      <c r="F1370" s="5"/>
      <c r="G1370" s="5"/>
      <c r="AA1370" s="5"/>
      <c r="AB1370" s="5"/>
      <c r="AC1370" s="5"/>
      <c r="AD1370" s="5"/>
      <c r="AE1370" s="1"/>
      <c r="AF1370" s="5"/>
      <c r="AH1370" s="5"/>
      <c r="AI1370" s="5"/>
      <c r="AJ1370" s="5"/>
    </row>
    <row r="1371" spans="2:36">
      <c r="B1371" s="65"/>
      <c r="C1371" s="27"/>
      <c r="D1371" s="5"/>
      <c r="E1371" s="5"/>
      <c r="F1371" s="5"/>
      <c r="G1371" s="5"/>
      <c r="AA1371" s="5"/>
      <c r="AB1371" s="5"/>
      <c r="AC1371" s="5"/>
      <c r="AD1371" s="5"/>
      <c r="AE1371" s="1"/>
      <c r="AF1371" s="5"/>
      <c r="AH1371" s="5"/>
      <c r="AI1371" s="5"/>
      <c r="AJ1371" s="5"/>
    </row>
    <row r="1372" spans="2:36">
      <c r="B1372" s="65"/>
      <c r="C1372" s="27"/>
      <c r="D1372" s="5"/>
      <c r="E1372" s="5"/>
      <c r="F1372" s="5"/>
      <c r="G1372" s="5"/>
      <c r="AA1372" s="5"/>
      <c r="AB1372" s="5"/>
      <c r="AC1372" s="5"/>
      <c r="AD1372" s="5"/>
      <c r="AE1372" s="1"/>
      <c r="AF1372" s="5"/>
      <c r="AH1372" s="5"/>
      <c r="AI1372" s="5"/>
      <c r="AJ1372" s="5"/>
    </row>
    <row r="1373" spans="2:36">
      <c r="B1373" s="65"/>
      <c r="C1373" s="27"/>
      <c r="D1373" s="5"/>
      <c r="E1373" s="5"/>
      <c r="F1373" s="5"/>
      <c r="G1373" s="5"/>
      <c r="AA1373" s="5"/>
      <c r="AB1373" s="5"/>
      <c r="AC1373" s="5"/>
      <c r="AD1373" s="5"/>
      <c r="AE1373" s="1"/>
      <c r="AF1373" s="5"/>
      <c r="AH1373" s="5"/>
      <c r="AI1373" s="5"/>
      <c r="AJ1373" s="5"/>
    </row>
    <row r="1374" spans="2:36">
      <c r="B1374" s="65"/>
      <c r="C1374" s="27"/>
      <c r="D1374" s="5"/>
      <c r="E1374" s="5"/>
      <c r="F1374" s="5"/>
      <c r="G1374" s="5"/>
      <c r="AA1374" s="5"/>
      <c r="AB1374" s="5"/>
      <c r="AC1374" s="5"/>
      <c r="AD1374" s="5"/>
      <c r="AE1374" s="1"/>
      <c r="AF1374" s="5"/>
      <c r="AH1374" s="5"/>
      <c r="AI1374" s="5"/>
      <c r="AJ1374" s="5"/>
    </row>
    <row r="1375" spans="2:36">
      <c r="B1375" s="65"/>
      <c r="C1375" s="27"/>
      <c r="D1375" s="5"/>
      <c r="E1375" s="5"/>
      <c r="F1375" s="5"/>
      <c r="G1375" s="5"/>
      <c r="AA1375" s="5"/>
      <c r="AB1375" s="5"/>
      <c r="AC1375" s="5"/>
      <c r="AD1375" s="5"/>
      <c r="AE1375" s="1"/>
      <c r="AF1375" s="5"/>
      <c r="AH1375" s="5"/>
      <c r="AI1375" s="5"/>
      <c r="AJ1375" s="5"/>
    </row>
    <row r="1376" spans="2:36">
      <c r="B1376" s="65"/>
      <c r="C1376" s="27"/>
      <c r="D1376" s="5"/>
      <c r="E1376" s="5"/>
      <c r="F1376" s="5"/>
      <c r="G1376" s="5"/>
      <c r="AA1376" s="5"/>
      <c r="AB1376" s="5"/>
      <c r="AC1376" s="5"/>
      <c r="AD1376" s="5"/>
      <c r="AE1376" s="1"/>
      <c r="AF1376" s="5"/>
      <c r="AH1376" s="5"/>
      <c r="AI1376" s="5"/>
      <c r="AJ1376" s="5"/>
    </row>
    <row r="1377" spans="2:36">
      <c r="B1377" s="65"/>
      <c r="C1377" s="27"/>
      <c r="D1377" s="5"/>
      <c r="E1377" s="5"/>
      <c r="F1377" s="5"/>
      <c r="G1377" s="5"/>
      <c r="AA1377" s="5"/>
      <c r="AB1377" s="5"/>
      <c r="AC1377" s="5"/>
      <c r="AD1377" s="5"/>
      <c r="AE1377" s="1"/>
      <c r="AF1377" s="5"/>
      <c r="AH1377" s="5"/>
      <c r="AI1377" s="5"/>
      <c r="AJ1377" s="5"/>
    </row>
    <row r="1378" spans="2:36">
      <c r="B1378" s="65"/>
      <c r="C1378" s="27"/>
      <c r="D1378" s="5"/>
      <c r="E1378" s="5"/>
      <c r="F1378" s="5"/>
      <c r="G1378" s="5"/>
      <c r="AA1378" s="5"/>
      <c r="AB1378" s="5"/>
      <c r="AC1378" s="5"/>
      <c r="AD1378" s="5"/>
      <c r="AE1378" s="1"/>
      <c r="AF1378" s="5"/>
      <c r="AH1378" s="5"/>
      <c r="AI1378" s="5"/>
      <c r="AJ1378" s="5"/>
    </row>
    <row r="1379" spans="2:36">
      <c r="B1379" s="65"/>
      <c r="C1379" s="27"/>
      <c r="D1379" s="5"/>
      <c r="E1379" s="5"/>
      <c r="F1379" s="5"/>
      <c r="G1379" s="5"/>
      <c r="AA1379" s="5"/>
      <c r="AB1379" s="5"/>
      <c r="AC1379" s="5"/>
      <c r="AD1379" s="5"/>
      <c r="AE1379" s="1"/>
      <c r="AF1379" s="5"/>
      <c r="AH1379" s="5"/>
      <c r="AI1379" s="5"/>
      <c r="AJ1379" s="5"/>
    </row>
    <row r="1380" spans="2:36">
      <c r="B1380" s="65"/>
      <c r="C1380" s="27"/>
      <c r="D1380" s="5"/>
      <c r="E1380" s="5"/>
      <c r="F1380" s="5"/>
      <c r="G1380" s="5"/>
      <c r="AA1380" s="5"/>
      <c r="AB1380" s="5"/>
      <c r="AC1380" s="5"/>
      <c r="AD1380" s="5"/>
      <c r="AE1380" s="1"/>
      <c r="AF1380" s="5"/>
      <c r="AH1380" s="5"/>
      <c r="AI1380" s="5"/>
      <c r="AJ1380" s="5"/>
    </row>
    <row r="1381" spans="2:36">
      <c r="B1381" s="65"/>
      <c r="C1381" s="27"/>
      <c r="D1381" s="5"/>
      <c r="E1381" s="5"/>
      <c r="F1381" s="5"/>
      <c r="G1381" s="5"/>
      <c r="AA1381" s="5"/>
      <c r="AB1381" s="5"/>
      <c r="AC1381" s="5"/>
      <c r="AD1381" s="5"/>
      <c r="AE1381" s="1"/>
      <c r="AF1381" s="5"/>
      <c r="AH1381" s="5"/>
      <c r="AI1381" s="5"/>
      <c r="AJ1381" s="5"/>
    </row>
    <row r="1382" spans="2:36">
      <c r="B1382" s="65"/>
      <c r="C1382" s="27"/>
      <c r="D1382" s="5"/>
      <c r="E1382" s="5"/>
      <c r="F1382" s="5"/>
      <c r="G1382" s="5"/>
      <c r="AA1382" s="5"/>
      <c r="AB1382" s="5"/>
      <c r="AC1382" s="5"/>
      <c r="AD1382" s="5"/>
      <c r="AE1382" s="1"/>
      <c r="AF1382" s="5"/>
      <c r="AH1382" s="5"/>
      <c r="AI1382" s="5"/>
      <c r="AJ1382" s="5"/>
    </row>
    <row r="1383" spans="2:36">
      <c r="B1383" s="65"/>
      <c r="C1383" s="27"/>
      <c r="D1383" s="5"/>
      <c r="E1383" s="5"/>
      <c r="F1383" s="5"/>
      <c r="G1383" s="5"/>
      <c r="AA1383" s="5"/>
      <c r="AB1383" s="5"/>
      <c r="AC1383" s="5"/>
      <c r="AD1383" s="5"/>
      <c r="AE1383" s="1"/>
      <c r="AF1383" s="5"/>
      <c r="AH1383" s="5"/>
      <c r="AI1383" s="5"/>
      <c r="AJ1383" s="5"/>
    </row>
    <row r="1384" spans="2:36">
      <c r="B1384" s="65"/>
      <c r="C1384" s="27"/>
      <c r="D1384" s="5"/>
      <c r="E1384" s="5"/>
      <c r="F1384" s="5"/>
      <c r="G1384" s="5"/>
      <c r="AA1384" s="5"/>
      <c r="AB1384" s="5"/>
      <c r="AC1384" s="5"/>
      <c r="AD1384" s="5"/>
      <c r="AE1384" s="1"/>
      <c r="AF1384" s="5"/>
      <c r="AH1384" s="5"/>
      <c r="AI1384" s="5"/>
      <c r="AJ1384" s="5"/>
    </row>
    <row r="1385" spans="2:36">
      <c r="B1385" s="65"/>
      <c r="C1385" s="27"/>
      <c r="D1385" s="5"/>
      <c r="E1385" s="5"/>
      <c r="F1385" s="5"/>
      <c r="G1385" s="5"/>
      <c r="AA1385" s="5"/>
      <c r="AB1385" s="5"/>
      <c r="AC1385" s="5"/>
      <c r="AD1385" s="5"/>
      <c r="AE1385" s="1"/>
      <c r="AF1385" s="5"/>
      <c r="AH1385" s="5"/>
      <c r="AI1385" s="5"/>
      <c r="AJ1385" s="5"/>
    </row>
    <row r="1386" spans="2:36">
      <c r="B1386" s="65"/>
      <c r="C1386" s="27"/>
      <c r="D1386" s="5"/>
      <c r="E1386" s="5"/>
      <c r="F1386" s="5"/>
      <c r="G1386" s="5"/>
      <c r="AA1386" s="5"/>
      <c r="AB1386" s="5"/>
      <c r="AC1386" s="5"/>
      <c r="AD1386" s="5"/>
      <c r="AE1386" s="1"/>
      <c r="AF1386" s="5"/>
      <c r="AH1386" s="5"/>
      <c r="AI1386" s="5"/>
      <c r="AJ1386" s="5"/>
    </row>
    <row r="1387" spans="2:36">
      <c r="B1387" s="65"/>
      <c r="C1387" s="27"/>
      <c r="D1387" s="5"/>
      <c r="E1387" s="5"/>
      <c r="F1387" s="5"/>
      <c r="G1387" s="5"/>
      <c r="AA1387" s="5"/>
      <c r="AB1387" s="5"/>
      <c r="AC1387" s="5"/>
      <c r="AD1387" s="5"/>
      <c r="AE1387" s="1"/>
      <c r="AF1387" s="5"/>
      <c r="AH1387" s="5"/>
      <c r="AI1387" s="5"/>
      <c r="AJ1387" s="5"/>
    </row>
    <row r="1388" spans="2:36">
      <c r="B1388" s="65"/>
      <c r="C1388" s="27"/>
      <c r="D1388" s="5"/>
      <c r="E1388" s="5"/>
      <c r="F1388" s="5"/>
      <c r="G1388" s="5"/>
      <c r="AA1388" s="5"/>
      <c r="AB1388" s="5"/>
      <c r="AC1388" s="5"/>
      <c r="AD1388" s="5"/>
      <c r="AE1388" s="1"/>
      <c r="AF1388" s="5"/>
      <c r="AH1388" s="5"/>
      <c r="AI1388" s="5"/>
      <c r="AJ1388" s="5"/>
    </row>
    <row r="1389" spans="2:36">
      <c r="B1389" s="65"/>
      <c r="C1389" s="27"/>
      <c r="D1389" s="5"/>
      <c r="E1389" s="5"/>
      <c r="F1389" s="5"/>
      <c r="G1389" s="5"/>
      <c r="AA1389" s="5"/>
      <c r="AB1389" s="5"/>
      <c r="AC1389" s="5"/>
      <c r="AD1389" s="5"/>
      <c r="AE1389" s="1"/>
      <c r="AF1389" s="5"/>
      <c r="AH1389" s="5"/>
      <c r="AI1389" s="5"/>
      <c r="AJ1389" s="5"/>
    </row>
    <row r="1390" spans="2:36">
      <c r="B1390" s="65"/>
      <c r="C1390" s="27"/>
      <c r="D1390" s="5"/>
      <c r="E1390" s="5"/>
      <c r="F1390" s="5"/>
      <c r="G1390" s="5"/>
      <c r="AA1390" s="5"/>
      <c r="AB1390" s="5"/>
      <c r="AC1390" s="5"/>
      <c r="AD1390" s="5"/>
      <c r="AE1390" s="1"/>
      <c r="AF1390" s="5"/>
      <c r="AH1390" s="5"/>
      <c r="AI1390" s="5"/>
      <c r="AJ1390" s="5"/>
    </row>
  </sheetData>
  <phoneticPr fontId="7" type="noConversion"/>
  <hyperlinks>
    <hyperlink ref="AC1062" r:id="rId1" xr:uid="{989E69FD-DA24-4588-B2E3-B7C3276C6841}"/>
    <hyperlink ref="AA1095" r:id="rId2" xr:uid="{02B3793B-8041-421B-89BA-D6B334683FD4}"/>
    <hyperlink ref="AC1095" r:id="rId3" xr:uid="{6F39EB89-3618-4BE8-8E5D-E6455692E7FD}"/>
    <hyperlink ref="AD1095" r:id="rId4" xr:uid="{05E6BE4C-8172-4436-924A-9A15F48BB8ED}"/>
    <hyperlink ref="AB1095" r:id="rId5" xr:uid="{67E68FA5-3DCE-4BE6-A8B3-D7480605B886}"/>
    <hyperlink ref="AA1094" r:id="rId6" display="https://ptwaskita-my.sharepoint.com/:v:/g/personal/andri_j_waskita_co_id/EQWhTNHVymRHhwsloBAo2s4Bj0EvBQqm3h-J9Ce_mnmbKQ?nav=eyJyZWZlcnJhbEluZm8iOnsicmVmZXJyYWxBcHAiOiJPbmVEcml2ZUZvckJ1c2luZXNzIiwicmVmZXJyYWxBcHBQbGF0Zm9ybSI6IldlYiIsInJlZmVycmFsTW9kZSI6InZpZXciLCJyZWZlcnJhbFZpZXciOiJNeUZpbGVzTGlua0NvcHkifX0&amp;e=KrEpb3" xr:uid="{56A5376D-4C85-4917-BAA0-3A0466EBAE58}"/>
    <hyperlink ref="AC1094" r:id="rId7" xr:uid="{9D7CD55B-D928-442B-8ADA-C7B66F85E1BC}"/>
    <hyperlink ref="AC1092" r:id="rId8" xr:uid="{42AED017-0626-49D6-B4BA-A850F1D0E195}"/>
    <hyperlink ref="AA1092" r:id="rId9" xr:uid="{622A3550-7811-4BE5-BD3B-4026710E6500}"/>
    <hyperlink ref="AB1092" r:id="rId10" xr:uid="{04EEBFA2-D2D0-45CC-B58B-D48B923FC662}"/>
    <hyperlink ref="AD1092" r:id="rId11" xr:uid="{D15761A6-F2D2-4056-A6E2-DC07CBBD368D}"/>
    <hyperlink ref="AC1091" r:id="rId12" xr:uid="{45B6C58E-61B8-465D-97E5-06CC9A72A228}"/>
    <hyperlink ref="AA1091" r:id="rId13" xr:uid="{D8438CA0-F586-4F51-856F-90BD70A0BAF7}"/>
    <hyperlink ref="AC1097" r:id="rId14" xr:uid="{7E97C451-C3C6-484C-8969-96A39B9F8728}"/>
    <hyperlink ref="AA1101" r:id="rId15" xr:uid="{3B9BC195-4D56-46CD-9E59-0F850112A7EB}"/>
    <hyperlink ref="AB1101" r:id="rId16" xr:uid="{1906B7D4-F7B6-4E73-8E95-92536F3229A3}"/>
    <hyperlink ref="AC1098" r:id="rId17" xr:uid="{BBAB010E-A225-4679-B4C9-25E98F356D3D}"/>
    <hyperlink ref="AA1098" r:id="rId18" xr:uid="{224116A1-54E0-4997-BDEF-A7CC29523E16}"/>
    <hyperlink ref="AC1100" r:id="rId19" xr:uid="{C90FEF27-F8B7-40C1-BB43-A00903A6227F}"/>
    <hyperlink ref="AA1105" r:id="rId20" display="https://ptwaskita-my.sharepoint.com/personal/fahmi_waskita_co_id/_layouts/15/stream.aspx?id=%2Fpersonal%2Ffahmi%5Fwaskita%5Fco%5Fid%2FDocuments%2FBIM%20%2D%20INFRA%202%2FProject%2FWKINF2%20%2D%20Pematangan%20Lahan%20KITB%20Batang%2F1%2E%20WIP%2FReality%20Modeling%2F202405%20%2D%20Mei%2024%2FDokumentasi%2FVideo%2FPematangan%20Lahan%20KITB%20%2D%20Drone%20M%2D29%2024%20Mei%202024%2ERakor%2Emp4&amp;nav=eyJyZWZlcnJhbEluZm8iOnsicmVmZXJyYWxBcHAiOiJTdHJlYW1XZWJBcHAiLCJyZWZlcnJhbFZpZXciOiJTaGFyZURpYWxvZy1MaW5rIiwicmVmZXJyYWxBcHBQbGF0Zm9ybSI6IldlYiIsInJlZmVycmFsTW9kZSI6InZpZXcifX0&amp;ga=1&amp;referrer=StreamWebApp%2EWeb&amp;referrerScenario=AddressBarCopied%2Eview%2Eff31a2e6%2D8d1d%2D4ee6%2D961d%2Dea5dfebf7a40" xr:uid="{134FA862-134A-4964-91E2-CF282CF7FAFC}"/>
    <hyperlink ref="AA1104" r:id="rId21" xr:uid="{34A991CC-FDFB-4EC9-AFEE-AA3A18C46003}"/>
    <hyperlink ref="AC1104" r:id="rId22" xr:uid="{2D393CA5-C719-47BD-ABBE-1928AE2DA429}"/>
    <hyperlink ref="AB1104" r:id="rId23" xr:uid="{3345401D-D0C2-459D-B605-1790335A0DCD}"/>
    <hyperlink ref="AA1099" r:id="rId24" xr:uid="{74D0CC8A-0274-42E8-81AD-5E830E06EE06}"/>
    <hyperlink ref="AC1099" r:id="rId25" xr:uid="{390254FB-2A86-409E-8A3E-CE948B3A7B1D}"/>
    <hyperlink ref="AB1099" r:id="rId26" xr:uid="{CB46825C-2A55-47F8-89DA-43DFDF1BDCCB}"/>
    <hyperlink ref="AD1099" r:id="rId27" xr:uid="{71A836DC-E82F-4101-9718-B8172EEBAF4F}"/>
    <hyperlink ref="AC1103" r:id="rId28" xr:uid="{2C0CEE4F-B4B1-49C9-860E-8FE8DA574BC9}"/>
    <hyperlink ref="AA1103" r:id="rId29" xr:uid="{1659C2A2-FC9A-4E59-A60E-0C7E724274E1}"/>
    <hyperlink ref="AB1103" r:id="rId30" xr:uid="{5DAB6AE5-71B4-4D49-B617-F1E1F25EC376}"/>
    <hyperlink ref="AD1103" r:id="rId31" xr:uid="{37DCF5B7-14C5-4341-BF43-211FB84C92C5}"/>
    <hyperlink ref="AC1106" r:id="rId32" xr:uid="{3413BE14-FB8F-4446-B3D6-40916AA616A6}"/>
    <hyperlink ref="AA1106" r:id="rId33" xr:uid="{031C4B8D-7519-46E5-9894-435BEECE18F0}"/>
    <hyperlink ref="AA646" r:id="rId34" xr:uid="{5DDFE8C9-CA6B-48F6-AFBC-62D940A7CA47}"/>
    <hyperlink ref="AC646" r:id="rId35" xr:uid="{5ACEEAA8-E56E-47A4-BF06-F8C5262C9281}"/>
    <hyperlink ref="AD646" r:id="rId36" xr:uid="{7EAB1B6C-598F-483C-8ACC-C807FECC366E}"/>
    <hyperlink ref="AB646" r:id="rId37" xr:uid="{1F629353-6DE3-4029-811D-5EF4C46A809B}"/>
    <hyperlink ref="AC283" r:id="rId38" xr:uid="{568C0FD8-959B-4AE6-ADC6-DB38860FBEA2}"/>
    <hyperlink ref="AB284" r:id="rId39" xr:uid="{0BD8CC99-A129-4739-967E-45631D083419}"/>
    <hyperlink ref="AA360" r:id="rId40" xr:uid="{401556B0-5578-4D3B-87EF-26990AF2A2E2}"/>
    <hyperlink ref="AA305" r:id="rId41" xr:uid="{45915B8D-B107-49BF-B351-E7109C055B82}"/>
    <hyperlink ref="AA250" r:id="rId42" xr:uid="{F2D7A0F8-D37A-4835-86AC-DC2B4C5CF564}"/>
    <hyperlink ref="AA472" r:id="rId43" xr:uid="{68F4E0F0-0680-4B2A-A0F0-A3402EDED6A4}"/>
    <hyperlink ref="AA678" r:id="rId44" xr:uid="{A5AFA5F1-4111-4B89-B77E-0EBC95FB87D6}"/>
    <hyperlink ref="AD1115" r:id="rId45" xr:uid="{AE156ED1-15DE-44A5-A3E4-2EABD7889AA9}"/>
    <hyperlink ref="AD1113" r:id="rId46" xr:uid="{2CF8F050-416C-4290-B917-EDA7C84105B3}"/>
    <hyperlink ref="AD1109" r:id="rId47" display="https://ptwaskita-my.sharepoint.com/personal/fahmi_waskita_co_id/_layouts/15/onedrive.aspx?ga=1&amp;id=%2Fpersonal%2Ffahmi%5Fwaskita%5Fco%5Fid%2FDocuments%2FBIM%20%2D%20INFRA%202%2FProject%2FWKINF2%20%2D%20%20Jalan%20Tol%20Akses%20Patimban%20Paket%202%2F3%2E%20PUBLISHED" xr:uid="{5A3F012F-0D77-4E7E-AF20-B9917D35BB03}"/>
    <hyperlink ref="AA1117" r:id="rId48" xr:uid="{7F66A329-0E3C-45DF-9BBB-C0D6101FF064}"/>
    <hyperlink ref="AA1116" r:id="rId49" xr:uid="{E5CE4E14-7FEB-4A2D-A594-77F747D92F83}"/>
    <hyperlink ref="AB1116" r:id="rId50" xr:uid="{F64D3EA4-2637-44B1-8E76-A9773ADD3044}"/>
    <hyperlink ref="AC1116" r:id="rId51" xr:uid="{C288F7F2-989E-41EA-9F25-E734AC4343B3}"/>
    <hyperlink ref="AA1108" r:id="rId52" xr:uid="{D23621CB-4A6C-4B77-995A-C76AA3AE5298}"/>
    <hyperlink ref="AB1122" r:id="rId53" xr:uid="{79F2F95B-02B2-49D6-AD02-257BC630A140}"/>
    <hyperlink ref="AB1127" r:id="rId54" xr:uid="{934793A7-8DA5-431C-B77F-70FC53D3A0DE}"/>
    <hyperlink ref="AB1071" r:id="rId55" xr:uid="{04A59130-A74A-4F82-B1C6-0CB9B8722DD6}"/>
    <hyperlink ref="AB1123" r:id="rId56" xr:uid="{01A222B5-E298-40C2-A90F-DB77D0BB3C53}"/>
    <hyperlink ref="AA1124" r:id="rId57" xr:uid="{3517A1B0-4217-4973-834C-B57D579BCAC0}"/>
    <hyperlink ref="AB1121" r:id="rId58" xr:uid="{EDD5AF2C-3736-4C99-A27A-FAEA518EAE1D}"/>
    <hyperlink ref="AB1034" r:id="rId59" xr:uid="{594C3474-9763-4C60-AC38-2B981F7D581E}"/>
    <hyperlink ref="AB1045" r:id="rId60" xr:uid="{F92963BF-ABA0-468F-827E-046FCF6312CF}"/>
    <hyperlink ref="AB1086" r:id="rId61" xr:uid="{C2F4B1E9-D79B-4F90-B6C0-B01C71FC237A}"/>
    <hyperlink ref="AB1106" r:id="rId62" xr:uid="{2E885B04-D23A-42DB-9B59-E623417F9BE7}"/>
    <hyperlink ref="AB1120" r:id="rId63" xr:uid="{A4C21D75-1714-4738-AD63-14534CDB1531}"/>
    <hyperlink ref="AA740" r:id="rId64" xr:uid="{37EAD09C-6A88-4E12-BC70-F797D978A387}"/>
    <hyperlink ref="AB1119" r:id="rId65" display="https://ptwaskita-my.sharepoint.com/personal/fahmi_waskita_co_id/_layouts/15/onedrive.aspx?ga=1&amp;id=%2Fpersonal%2Ffahmi%5Fwaskita%5Fco%5Fid%2FDocuments%2FBIM%20%2D%20INFRA%202%2FProject%2FWKINF2%20%2D%20%20Jalan%20Tol%20Akses%20Patimban%20Paket%202%2F3%2E%20PUBLISHED" xr:uid="{DCFC15F6-7644-4583-9266-FA163AA39FC1}"/>
    <hyperlink ref="AB1113" r:id="rId66" xr:uid="{7B14CF8F-B99A-464C-B011-76A52B234222}"/>
    <hyperlink ref="AB971" r:id="rId67" xr:uid="{FF929B68-95F8-471C-A825-4A188A084C3C}"/>
    <hyperlink ref="AB911" r:id="rId68" xr:uid="{B2D77AA5-21DD-47F5-B8CB-53EE1E095636}"/>
    <hyperlink ref="AB841" r:id="rId69" xr:uid="{2C92D47A-B3A2-466E-986B-AA8B43425961}"/>
    <hyperlink ref="AB768" r:id="rId70" xr:uid="{4F347170-F38C-4F1B-80E2-C05AD533C9BE}"/>
    <hyperlink ref="AB1112" r:id="rId71" xr:uid="{9084278F-815D-41DA-9200-034780C6B11B}"/>
    <hyperlink ref="AB1118" r:id="rId72" xr:uid="{4A4CE534-7F5F-4208-9E42-FBFE7E8C8926}"/>
    <hyperlink ref="AB743" r:id="rId73" xr:uid="{CBEB01A3-0780-4F48-B98D-537ED2CE6DF7}"/>
    <hyperlink ref="AB131" r:id="rId74" xr:uid="{19E98A41-91AF-4F59-AF32-47DC1050C0B9}"/>
    <hyperlink ref="AA126" r:id="rId75" xr:uid="{861B08EE-AF67-4BA6-B9A5-10ADDE174541}"/>
    <hyperlink ref="AA1107" r:id="rId76" xr:uid="{F783BBC5-8F47-4144-8CFB-BDB57F557168}"/>
    <hyperlink ref="AB1130" r:id="rId77" xr:uid="{FB4CB934-5604-4928-9F4F-CD85D891136A}"/>
    <hyperlink ref="AB888" r:id="rId78" xr:uid="{52D344F0-3D0D-4557-908F-CF7E3327AF9D}"/>
    <hyperlink ref="AB871" r:id="rId79" xr:uid="{EF9D3A55-8232-47A9-8E60-CCD878DBCDD5}"/>
    <hyperlink ref="AB1076" r:id="rId80" xr:uid="{365B7895-1CC0-4F75-8F51-5B28EC33ED22}"/>
    <hyperlink ref="AA1056" r:id="rId81" xr:uid="{F8C35EB9-20EA-4ECB-B442-686B2C505F89}"/>
    <hyperlink ref="AB1023" r:id="rId82" xr:uid="{B55C1DFF-EAF0-4D7A-9440-E7009BA79D38}"/>
    <hyperlink ref="AA1057" r:id="rId83" xr:uid="{24E464B8-6344-46BE-B48B-DFD619A1301A}"/>
    <hyperlink ref="AB205" r:id="rId84" xr:uid="{52E21F5A-E554-45CD-B594-629215B0BF80}"/>
    <hyperlink ref="AB39" r:id="rId85" xr:uid="{9FAD1D22-5466-49C7-A2BD-CEC6870D0F4B}"/>
    <hyperlink ref="AB1068" r:id="rId86" xr:uid="{158F93DF-0D2A-4D18-ADBE-974F6E3E048B}"/>
    <hyperlink ref="AC545" r:id="rId87" xr:uid="{E6C0CBB0-9C4B-4146-B7CE-155583F1FBF9}"/>
    <hyperlink ref="AC205" r:id="rId88" xr:uid="{AF995A54-DBAD-4634-9C46-55D2FA3F2207}"/>
    <hyperlink ref="AA381" r:id="rId89" xr:uid="{CE128D16-168A-47AF-A77D-2D200ECA1C4C}"/>
    <hyperlink ref="AA422" r:id="rId90" xr:uid="{B69348FD-A888-417A-8F1C-03DD83389384}"/>
    <hyperlink ref="AB526" r:id="rId91" xr:uid="{61F6F114-60EE-4D41-BFA6-255C5C6D3C20}"/>
    <hyperlink ref="AB647" r:id="rId92" xr:uid="{23EFCF44-B3DF-4C06-A7C4-A57E5BE0D64F}"/>
    <hyperlink ref="AA647" r:id="rId93" xr:uid="{970576A5-AD77-4981-8457-BB2C7B8B0F46}"/>
    <hyperlink ref="AA1147" r:id="rId94" xr:uid="{61F7859D-31B8-41F9-A093-F1947FB79A80}"/>
    <hyperlink ref="AB1147" r:id="rId95" xr:uid="{A096F974-9951-44FA-8EBA-2273F6120FE7}"/>
    <hyperlink ref="AA1110" r:id="rId96" xr:uid="{DEB1F4E2-4A5E-49BC-B5DB-8BF91842CE9F}"/>
    <hyperlink ref="AC1141" r:id="rId97" xr:uid="{6590CD73-05A6-4C07-AFFA-7B1A88534B16}"/>
    <hyperlink ref="AC1138" r:id="rId98" xr:uid="{3E4D88D7-5FEF-438C-9A55-B36F67E243D9}"/>
    <hyperlink ref="AA1129" r:id="rId99" xr:uid="{216A24E3-F31A-45EC-A41D-41624AE1D40A}"/>
    <hyperlink ref="AB1164" r:id="rId100" xr:uid="{90673A7E-3E02-4AEC-A3D6-D8EFF612B7D9}"/>
    <hyperlink ref="AC1164" r:id="rId101" xr:uid="{205DA9C9-0655-406A-A235-26646E3A7CAF}"/>
    <hyperlink ref="D1160" r:id="rId102" xr:uid="{47094868-5E2C-4075-A398-2A17D1074527}"/>
    <hyperlink ref="D1157" r:id="rId103" xr:uid="{0889ED1C-2F92-4599-B806-B6C4EE7C3BDC}"/>
    <hyperlink ref="D1150" r:id="rId104" xr:uid="{B85D5452-8CD2-4419-8178-97B431B7700B}"/>
    <hyperlink ref="D1158" r:id="rId105" xr:uid="{FE41027D-2B04-422F-B608-7EEA2454597D}"/>
    <hyperlink ref="D1163" r:id="rId106" xr:uid="{0DE3D6BD-C8FD-4258-8773-D3D64DCC0C9F}"/>
    <hyperlink ref="D1139" r:id="rId107" xr:uid="{711B26EA-DAF5-4D8D-806E-43D6C9104DA3}"/>
    <hyperlink ref="D1147" r:id="rId108" xr:uid="{1E26986C-478A-4C06-B0BC-FB09EEB4BDAB}"/>
    <hyperlink ref="D1134" r:id="rId109" xr:uid="{45E9F712-9AB7-4E08-82C2-6172CE7B181A}"/>
    <hyperlink ref="D1141" r:id="rId110" xr:uid="{BCF217B0-A1DC-4BEB-BFCF-F6E450DEFD0D}"/>
    <hyperlink ref="D1146" r:id="rId111" xr:uid="{A11876D2-9701-4B1D-8E1F-E578C9C689D3}"/>
    <hyperlink ref="D1133" r:id="rId112" xr:uid="{FAB7055D-5989-492B-B674-02E5FD3C8023}"/>
    <hyperlink ref="D1142" r:id="rId113" xr:uid="{A317B232-CC95-4492-8D4C-30DA2B1EBD4B}"/>
    <hyperlink ref="D1152" r:id="rId114" xr:uid="{808C40C7-8D52-42A8-A057-9A091D2B178A}"/>
    <hyperlink ref="D1154" r:id="rId115" xr:uid="{4A6D3526-0E43-4B26-8FE2-058A30EB516F}"/>
    <hyperlink ref="AA1166" r:id="rId116" xr:uid="{5B0E237B-71CA-4893-89D9-55F663C8FD3D}"/>
    <hyperlink ref="AB1168" r:id="rId117" xr:uid="{F91A71E6-AB49-43C6-B685-330605D218D3}"/>
    <hyperlink ref="AC1166" r:id="rId118" xr:uid="{94968B6D-3918-4CE2-AAE3-78BFBE36AEB5}"/>
    <hyperlink ref="AA1096" r:id="rId119" xr:uid="{283D1C29-7BB1-49BF-8AA0-1020F1B9822A}"/>
    <hyperlink ref="AA1175" r:id="rId120" xr:uid="{0C298C6A-D547-450A-B4F1-1031ED6FF69D}"/>
    <hyperlink ref="AA1087" r:id="rId121" xr:uid="{76B50293-1899-4DA7-B31A-3CFBD6F2DF96}"/>
    <hyperlink ref="AA743" r:id="rId122" xr:uid="{A8C7ED22-2DE2-4977-BCAC-600ADC99D97F}"/>
    <hyperlink ref="AA1177" r:id="rId123" xr:uid="{3CB67D50-167F-4A97-8BE6-DE9D3761F347}"/>
    <hyperlink ref="AC1177" r:id="rId124" xr:uid="{5E82428A-0F4C-49E0-97AB-3E055C868D7B}"/>
    <hyperlink ref="AD1177" r:id="rId125" display="'https://ptwaskita-my.sharepoint.com/:f:/g/personal/kretek_girijati_waskita_co_id/EqgYa5zBUu5CvCETGG0fD-4Ba-g-gU77-TyMYjw3zaU37g?e=pigdlA" xr:uid="{51AAEFCA-CE9B-4F4C-BD7A-3070E25B670D}"/>
    <hyperlink ref="AC1151" r:id="rId126" xr:uid="{07D200F2-4235-4F52-B96C-D35762E67EB3}"/>
    <hyperlink ref="AD1151" r:id="rId127" xr:uid="{E022891D-4CB9-42C4-A19A-07EADACB07E5}"/>
    <hyperlink ref="AA1151" r:id="rId128" xr:uid="{C7175A9C-8E8B-4EF4-B5F1-E9FD4E76D19A}"/>
    <hyperlink ref="AB1151" r:id="rId129" xr:uid="{4AC8D618-8DEF-458A-BBA6-85604AD6F52E}"/>
    <hyperlink ref="AD1169" r:id="rId130" display="'https://drive.google.com/drive/folders/1HKw_v4GO_zyBAtr89QhRhA-5HJmMtApX?usp=drive_link" xr:uid="{B307B362-0C75-4BCD-B993-66A9C895A0F9}"/>
    <hyperlink ref="AC1169" r:id="rId131" xr:uid="{C0CB4AE0-6A6F-4533-8778-6579003DA115}"/>
    <hyperlink ref="AC1182" r:id="rId132" xr:uid="{7FEE3CAE-1BA5-4458-96E8-26ECFA6812E8}"/>
    <hyperlink ref="AC1181" r:id="rId133" xr:uid="{14E3D80D-E6E9-4F89-A3C1-5CD9926DE47B}"/>
    <hyperlink ref="AA1181" r:id="rId134" xr:uid="{727BC5D1-DBB6-4B1F-9248-1DF7BED109FE}"/>
    <hyperlink ref="AC1163" r:id="rId135" xr:uid="{47CE4BD0-1BAA-4CA4-9D26-2314755E9A75}"/>
    <hyperlink ref="AD1163" r:id="rId136" xr:uid="{07606119-E936-4EAA-A005-711C1BAFD423}"/>
    <hyperlink ref="AC1188" r:id="rId137" display="'https://ptwaskita-my.sharepoint.com/:f:/g/personal/fahmi_waskita_co_id/EmED5FWhQZ5BtHJKmzEvZOgBbN7WTGPPKrIXjUt_0vL7Ag?e=PpyRvo" xr:uid="{584C5FFA-7E5A-4EA8-BBEE-EA07A6E20C53}"/>
    <hyperlink ref="AC1208" r:id="rId138" display="'https://drive.google.com/drive/folders/1ZhCnOkxZyy1YQ5K70rI6Ccyx60F0XNPJ?usp=sharing" xr:uid="{9E5A1961-26D1-4AA1-B92A-330070867E07}"/>
    <hyperlink ref="AC1206" r:id="rId139" display="'https://ptwaskita-my.sharepoint.com/:f:/g/personal/fahmi_waskita_co_id/Et8DNPwN3RFNn6FKrR0ZWHsBBtGGKhBZ2Vymi2BiNgGAWQ?e=Q2h3VI" xr:uid="{B2265327-CA40-4D1A-A7C9-CF4CAA922CF9}"/>
    <hyperlink ref="AA1208" r:id="rId140" xr:uid="{397B659A-CA2A-4415-8B77-28EEA5DE7820}"/>
    <hyperlink ref="AA1207" r:id="rId141" xr:uid="{43EDDACA-5119-4634-A785-4BC313D8A0E0}"/>
    <hyperlink ref="AC1212" r:id="rId142" display="'https://ptwaskita-my.sharepoint.com/:i:/g/personal/dhani_ramdhani_waskita_co_id/Ef3Gih1py19El_4ztI9tx34BhSWbpQKtfW0qKR8lPpUUbw?e=jpZWND" xr:uid="{03396EE6-03E0-461F-A56C-0B5B8CD120F4}"/>
    <hyperlink ref="AC1198" r:id="rId143" display="'https://drive.google.com/drive/folders/1ZhCnOkxZyy1YQ5K70rI6Ccyx60F0XNPJ?usp=sharing" xr:uid="{16CBC297-D0CB-4892-844C-90A802050DA3}"/>
    <hyperlink ref="AC632" r:id="rId144" xr:uid="{21E4C16D-83F0-41E6-AC04-0584BE515134}"/>
    <hyperlink ref="AC1149" r:id="rId145" xr:uid="{8980AD22-C103-4E70-B5F2-31C488DA22DD}"/>
    <hyperlink ref="AC1127" r:id="rId146" xr:uid="{531749B2-3CF7-4AD0-ACE0-032C0761935C}"/>
    <hyperlink ref="AA1206" r:id="rId147" display="https://ptwaskita-my.sharepoint.com/:v:/g/personal/ganis_satria_waskita_co_id/ERXAYfPiI7dGguugDZUwSSUBlius54mqFxvNTJ3jGM5F2w?nav=eyJyZWZlcnJhbEluZm8iOnsicmVmZXJyYWxBcHAiOiJPbmVEcml2ZUZvckJ1c2luZXNzIiwicmVmZXJyYWxBcHBQbGF0Zm9ybSI6IldlYiIsInJlZmVycmFsTW9kZSI6InZpZXciLCJyZWZlcnJhbFZpZXciOiJNeUZpbGVzTGlua0NvcHkifX0&amp;e=75nJAZ" xr:uid="{4123C686-CBFE-4637-A0E0-A15922106C2B}"/>
    <hyperlink ref="AC1216" r:id="rId148" display="'https://1drv.ms/f/s!AoHR8xIL4xo9oBEQ15BeucvvXMSd?e=hGXvJm" xr:uid="{487943E0-300C-471A-A88C-27280EF55D6E}"/>
    <hyperlink ref="AC1229" r:id="rId149" xr:uid="{D59734CA-3058-48AC-AD34-FC42D724327E}"/>
    <hyperlink ref="AC1180" r:id="rId150" xr:uid="{9D29CF65-0555-400B-826A-7CB76BB356CA}"/>
    <hyperlink ref="AC1239" r:id="rId151" xr:uid="{B6338B25-5044-4704-8820-FB05A385E304}"/>
    <hyperlink ref="AC1240" r:id="rId152" xr:uid="{7A037460-15FC-4CBE-87B2-3BA38C29DCFC}"/>
    <hyperlink ref="AC645" r:id="rId153" xr:uid="{BA6EE57B-CE5E-41A6-932B-C08436796A91}"/>
    <hyperlink ref="AB1239" r:id="rId154" xr:uid="{4BC3A57E-F639-41CA-B89F-FAE9E14AD62F}"/>
    <hyperlink ref="AB1206" r:id="rId155" xr:uid="{D69CEC26-A9D2-4B54-A7F3-EC525E352DEC}"/>
    <hyperlink ref="AA1262" r:id="rId156" display="https://ptwaskita-my.sharepoint.com/:v:/g/personal/basuki_rahmat_waskita_co_id/ERKVhi6OijFLuGtP4htjfOcBl7wTEtJsy4DUlG8gVmv0lg?nav=eyJyZWZlcnJhbEluZm8iOnsicmVmZXJyYWxBcHAiOiJPbmVEcml2ZUZvckJ1c2luZXNzIiwicmVmZXJyYWxBcHBQbGF0Zm9ybSI6IldlYiIsInJlZmVycmFsTW9kZSI6InZpZXciLCJyZWZlcnJhbFZpZXciOiJNeUZpbGVzTGlua0NvcHkifX0&amp;e=OJYpNS" xr:uid="{1DE060B0-3934-4339-A753-24EC657E088A}"/>
    <hyperlink ref="AB1262" r:id="rId157" xr:uid="{098A99EA-F225-433D-B098-4B276FDB2148}"/>
    <hyperlink ref="AC1262" r:id="rId158" xr:uid="{1C7CB435-32DF-4307-BD74-3522C0A6B6A4}"/>
    <hyperlink ref="AC1263" r:id="rId159" xr:uid="{CCE06145-F926-48CA-905C-DCAC9950E355}"/>
    <hyperlink ref="AA1263" r:id="rId160" xr:uid="{E45CCA39-9B9A-4DDB-8B3E-E6BDAE61799E}"/>
    <hyperlink ref="AD1263" r:id="rId161" xr:uid="{92477206-DC24-418A-A685-3F4218F88910}"/>
    <hyperlink ref="AA1267" r:id="rId162" xr:uid="{5D2FB406-74DF-4335-9E03-40B9B182BA8F}"/>
    <hyperlink ref="AD1267" r:id="rId163" display="https://ptwaskita-my.sharepoint.com/personal/fahmi_waskita_co_id/_layouts/15/onedrive.aspx?csf=1&amp;web=1&amp;e=hUflvD&amp;CID=3a5f9cf3%2D0b69%2D46b4%2D962e%2D74d852bb0306&amp;id=%2Fpersonal%2Ffahmi%5Fwaskita%5Fco%5Fid%2FDocuments%2FBIM%20%2D%20INFRA%202%2FProject%2FWKINF2%20%2D%201323020%20Jalan%20Tol%20Probowangi%2F1%2E%20WIP%2FGIS%2F13%2E%20Update%20Orthophoto&amp;FolderCTID=0x0120008AE2C3201DBDD44A93E08450C0DB2828&amp;view=0" xr:uid="{FCFC2B11-829C-46B5-A47D-CF8317ADFCB2}"/>
    <hyperlink ref="AD1264" r:id="rId164" display="https://ptwaskita-my.sharepoint.com/shared?id=%2Fpersonal%2Ffahmi%5Fwaskita%5Fco%5Fid%2FDocuments%2FBIM%20%2D%20INFRA%202%2FProject%2FWKINF2%20%2D%201324001%20Jalan%20Tol%20Akses%20Patimban%20Paket%202%2F2%2E%20SHARED%20%28NEW%29%2F02%2E%20Reality%20Modeling%2F19%2E%20Juli%202025&amp;listurl=%2Fpersonal%2Ffahmi%5Fwaskita%5Fco%5Fid%2FDocuments" xr:uid="{2B453630-B6EB-49B7-8B93-4BD4C059DF2C}"/>
    <hyperlink ref="AA1264" r:id="rId165" display="https://ptwaskita-my.sharepoint.com/shared?id=%2Fpersonal%2Ffahmi%5Fwaskita%5Fco%5Fid%2FDocuments%2FBIM%20%2D%20INFRA%202%2FProject%2FWKINF2%20%2D%201324001%20Jalan%20Tol%20Akses%20Patimban%20Paket%202%2F3%2E%20PUBLISHED&amp;listurl=%2Fpersonal%2Ffahmi%5Fwaskita%5Fco%5Fid%2FDocuments" xr:uid="{04A2F8AA-7F50-4CE9-81C6-70F0D6792AA2}"/>
    <hyperlink ref="AA1272" r:id="rId166" display="https://ptwaskita-my.sharepoint.com/:v:/g/personal/rio_david_waskita_co_id/EVK5Qr7GIYVJnfUjMBeK7nMBTNZ3QzWwEDYL8UQ-jZVleg?nav=eyJyZWZlcnJhbEluZm8iOnsicmVmZXJyYWxBcHAiOiJPbmVEcml2ZUZvckJ1c2luZXNzIiwicmVmZXJyYWxBcHBQbGF0Zm9ybSI6IldlYiIsInJlZmVycmFsTW9kZSI6InZpZXciLCJyZWZlcnJhbFZpZXciOiJNeUZpbGVzTGlua0NvcHkifX0&amp;e=5k0qUE" xr:uid="{1133609B-6998-41E9-9428-F212B95AC68E}"/>
    <hyperlink ref="AC1272" r:id="rId167" xr:uid="{7146F52E-02C7-43A7-96F8-EF2662EF8113}"/>
    <hyperlink ref="AC1269" r:id="rId168" xr:uid="{1B5B4DC4-1A1C-46E5-B62C-7B774B7F3EE3}"/>
    <hyperlink ref="AC1273" r:id="rId169" xr:uid="{9C4CD96C-A1C2-4486-B904-7DB8876D4BB9}"/>
    <hyperlink ref="AC1274" r:id="rId170" xr:uid="{3F3C46D1-36BA-401D-978F-3C95A744B2A6}"/>
    <hyperlink ref="AD1273" r:id="rId171" display="'https://ptwaskita-my.sharepoint.com/:f:/g/personal/fahmi_waskita_co_id/EtSAN_QLwG1LlhRJ1c6n4-QBtf4yIiEjOVMxoNKqfz-waw?e=4tyuKG" xr:uid="{C332E51E-426F-4C50-A3B0-D367834B1CF9}"/>
    <hyperlink ref="AA1273" r:id="rId172" xr:uid="{E75F3468-988C-458D-804C-B465B165439A}"/>
    <hyperlink ref="AA1269" r:id="rId173" xr:uid="{9A6832E9-1615-4838-81B4-B53010643B97}"/>
    <hyperlink ref="AB1275" r:id="rId174" xr:uid="{A6DFFD5B-A1CD-4F8C-82A8-1BEAE87A197C}"/>
    <hyperlink ref="AC1275" r:id="rId175" xr:uid="{74309844-7827-44AC-830E-4E337900410A}"/>
    <hyperlink ref="AD1274" r:id="rId176" xr:uid="{EAE83D32-2033-4448-A15A-CC076304F169}"/>
    <hyperlink ref="AC1277" r:id="rId177" xr:uid="{C3EAFDB2-1AA6-49D0-B59E-24FADD40FD16}"/>
    <hyperlink ref="AC1276" r:id="rId178" xr:uid="{D80CCFD7-8F92-44C7-8134-1904E60999D5}"/>
    <hyperlink ref="AC1279" r:id="rId179" xr:uid="{B9D86A19-051F-4B28-A5E7-BFB1EEE14BD7}"/>
    <hyperlink ref="AC1280" r:id="rId180" xr:uid="{B807A98E-8D00-4947-B0BC-86CBCAD61762}"/>
    <hyperlink ref="AC1281" r:id="rId181" xr:uid="{492756DD-EE72-4279-94E8-9CB118B49D19}"/>
    <hyperlink ref="AC1278" r:id="rId182" xr:uid="{9BF1CC3C-2537-4B64-B681-85C66EC096C9}"/>
    <hyperlink ref="AA1275" r:id="rId183" display="https://ptwaskita-my.sharepoint.com/:v:/g/personal/rio_david_waskita_co_id/ER4SRc71QsZJpGutmLVZQX0BpJfMpbenZGTb2I7PrLkRYA?nav=eyJyZWZlcnJhbEluZm8iOnsicmVmZXJyYWxBcHAiOiJPbmVEcml2ZUZvckJ1c2luZXNzIiwicmVmZXJyYWxBcHBQbGF0Zm9ybSI6IldlYiIsInJlZmVycmFsTW9kZSI6InZpZXciLCJyZWZlcnJhbFZpZXciOiJNeUZpbGVzTGlua0NvcHkifX0&amp;e=x2aml1" xr:uid="{4753A474-FD67-4F88-91E0-C5641B8E5807}"/>
    <hyperlink ref="AD1276" r:id="rId184" display="'https://ptwaskita-my.sharepoint.com/:f:/g/personal/basuki_rahmat_waskita_co_id/Ejap-OChktRBt0LaLnVvhjYBWTPIG32RAddMckXzMSWt5g?e=7mHt0Z" xr:uid="{92559F4A-4FA6-4919-B273-4FB5D84B2990}"/>
    <hyperlink ref="AD1277" r:id="rId185" display="'https://drive.google.com/drive/folders/1TBl8sKe5NvqoO4tFBcjMS6UJU16VAYjp?usp=sharing" xr:uid="{34ECA85A-CF3F-4A71-859E-B9DAD581D655}"/>
    <hyperlink ref="AA1277" r:id="rId186" xr:uid="{60E946BB-A915-4D48-A482-5C63E9887A7F}"/>
    <hyperlink ref="AD1279" r:id="rId187" display="'https://ptwaskita-my.sharepoint.com/:f:/g/personal/kretek_girijati_waskita_co_id/EhvVu_IzjHVKtyvK0c-RgoYBAZIUi99Kz1N67Edgpoto0A?e=iC6KoN" xr:uid="{51D7649B-CFE3-46D9-B574-39057DECC8B4}"/>
    <hyperlink ref="AA1279" r:id="rId188" xr:uid="{19B287CF-62AA-4DA5-8C7A-35F51E20483F}"/>
    <hyperlink ref="AD1281" r:id="rId189" display="'https://ptwaskita-my.sharepoint.com/:f:/r/personal/fahmi_waskita_co_id/Documents/BIM%20-%20INFRA%202/Project/WKINF2%20-%201323020%20Jalan%20Tol%20Probowangi/1.%20WIP/GIS/13.%20Update%20Orthophoto?csf=1&amp;web=1&amp;e=hUflvD" xr:uid="{C1670A73-170F-40D9-96AF-3173C6A3D8C7}"/>
    <hyperlink ref="AA1281" r:id="rId190" xr:uid="{CD0B635B-0FFA-4E53-A9D3-2734A992EAB1}"/>
    <hyperlink ref="AA1276" r:id="rId191" xr:uid="{4B94075B-16F2-4D3C-8A2B-46ECA92DBE77}"/>
    <hyperlink ref="AB1277" r:id="rId192" xr:uid="{5D453A44-9028-4F58-8A9F-F11FF71DE05D}"/>
    <hyperlink ref="AA1280" r:id="rId193" xr:uid="{369EF609-14E0-452E-9309-517CC106C496}"/>
    <hyperlink ref="AB1280" r:id="rId194" xr:uid="{7022ABDA-5F03-4689-877D-05A9BEF080BB}"/>
    <hyperlink ref="AD1280" r:id="rId195" display="'https://ptwaskita-my.sharepoint.com/:u:/g/personal/rezky_yudhaseno_waskita_co_id/EcDPQa_2wgJKgAnOaqpYackBHC1knNPpzs0RFpHl6wVTCQ?e=OWoEzt" xr:uid="{484A2EDC-641D-4D55-B7F6-00ECC37FD6CB}"/>
    <hyperlink ref="AA1284" r:id="rId196" xr:uid="{CCAB4AFF-67F7-4081-89A3-68BE44F9BC5A}"/>
    <hyperlink ref="AB1284" r:id="rId197" xr:uid="{2AE219AD-A686-4FB7-9F1E-CA5FC453A249}"/>
    <hyperlink ref="AD1284" r:id="rId198" display="'https://ptwaskita-my.sharepoint.com/:f:/g/personal/fahmi_waskita_co_id/Ejd6gCZyyGhBkuX8brR-eLABb7Iwpu1tJiECLNH3aHe54g?e=MGgc5g" xr:uid="{5AD1738C-4604-4178-B456-072148203E91}"/>
    <hyperlink ref="AC1283" r:id="rId199" xr:uid="{0FE97A28-C917-4535-8639-EC8DE7619720}"/>
    <hyperlink ref="AA1285" r:id="rId200" xr:uid="{0871D570-8CDD-405C-A527-689512028D3D}"/>
    <hyperlink ref="AB1285" r:id="rId201" xr:uid="{7AE1D8EA-938B-40D0-8C44-FA1763D599F6}"/>
    <hyperlink ref="AC1285" r:id="rId202" xr:uid="{DCA64958-ACD5-4142-A4C3-11F089332705}"/>
    <hyperlink ref="AD1285" r:id="rId203" display="'https://drive.google.com/file/d/15s67DDSQt8FTk2x7_l1w8HckYeDEjvEo/view?usp=sharing" xr:uid="{FF302B27-2776-42F3-8835-C9A38E7670FE}"/>
    <hyperlink ref="AC1286" r:id="rId204" xr:uid="{22A752F8-FFC3-42FD-A561-A02B90B6FF93}"/>
    <hyperlink ref="AD1283" r:id="rId205" display="'https://ptwaskita-my.sharepoint.com/:f:/g/personal/basuki_rahmat_waskita_co_id/Eh2RmmEe759IgalMA3t2jMYB8so3jiOdnkn5HciMJ2v_Yg?e=goxXTg" xr:uid="{65688534-5F8F-4C3B-B68F-F7F4C88C3AC7}"/>
    <hyperlink ref="AA1283" r:id="rId206" xr:uid="{8033F385-6833-41B8-ACA1-717C0E50A5B0}"/>
    <hyperlink ref="AD1287" r:id="rId207" display="'https://ptwaskita-my.sharepoint.com/:f:/g/personal/kretek_girijati_waskita_co_id/EhvVu_IzjHVKtyvK0c-RgoYBAZIUi99Kz1N67Edgpoto0A?e=2ZBa0A" xr:uid="{35E53772-F14A-4329-8656-3A431F3B7120}"/>
    <hyperlink ref="AA1287" r:id="rId208" xr:uid="{40558936-BFAE-4D9E-9BDE-156957D6625A}"/>
    <hyperlink ref="AD1288" r:id="rId209" display="'https://ptwaskita-my.sharepoint.com/:f:/r/personal/fahmi_waskita_co_id/Documents/BIM%20-%20INFRA%202/Project/WKINF2%20-%201323020%20Jalan%20Tol%20Probowangi/1.%20WIP/GIS/13.%20Update%20Orthophoto?csf=1&amp;web=1&amp;e=hUflvD" xr:uid="{71AF4272-FA7A-45E0-8205-66235F500EF1}"/>
    <hyperlink ref="AA1288" r:id="rId210" xr:uid="{8C193D58-5C33-4A3A-AF49-9F232380B43A}"/>
    <hyperlink ref="AA1289" r:id="rId211" xr:uid="{AF06AFBD-EBF7-409F-823D-DF8F1F4E2C1C}"/>
    <hyperlink ref="AD1289" r:id="rId212" display="'https://wkgeosurvey.com/map/project/702/" xr:uid="{56EBB629-FA9D-4652-894B-A10A21373B23}"/>
    <hyperlink ref="AD1282" r:id="rId213" display="'https://ptwaskita-my.sharepoint.com/:f:/g/personal/fahmi_waskita_co_id/EkzBmqN4xjxPnS0MLtkVsHsBzAg3cCnoIXMD_33hBPkrpA?e=9yK7bV" xr:uid="{AC9123C5-36B8-4869-897A-65A2C515A9AF}"/>
    <hyperlink ref="AA1282" r:id="rId214" xr:uid="{F5F62E8A-B946-42FC-BC87-B77BF5419E04}"/>
    <hyperlink ref="AC1291" r:id="rId215" xr:uid="{77C53888-A694-4015-B0AF-292FBB0AC7AA}"/>
    <hyperlink ref="AC1288" r:id="rId216" xr:uid="{44B07EBD-9B0E-4225-AF8B-67130FDD036F}"/>
    <hyperlink ref="AC1287" r:id="rId217" xr:uid="{2BC0D08F-462D-41C5-BD30-8B950CDAF956}"/>
    <hyperlink ref="AC1282" r:id="rId218" xr:uid="{C9A5CCB6-3C62-477A-A3C8-7E8E04874FB0}"/>
    <hyperlink ref="AC1289" r:id="rId219" xr:uid="{690BAAC9-FD2E-4FAE-83CA-700B0C7B6BD2}"/>
    <hyperlink ref="AC1284" r:id="rId220" xr:uid="{F5F756BE-202C-402B-8B7E-6923DDCF2B20}"/>
    <hyperlink ref="AA1291" r:id="rId221" xr:uid="{48AEC26B-AB27-4E66-9B22-9464F5EA2B96}"/>
    <hyperlink ref="AA1286" r:id="rId222" display="https://ptwaskita-my.sharepoint.com/:v:/g/personal/lot2blitar_waskita_co_id/EUxJNyFsdrpOrMYQI16uxyMBiQv0vsHgsfnrCcVOTpKlFQ?nav=eyJyZWZlcnJhbEluZm8iOnsicmVmZXJyYWxBcHAiOiJPbmVEcml2ZUZvckJ1c2luZXNzIiwicmVmZXJyYWxBcHBQbGF0Zm9ybSI6IldlYiIsInJlZmVycmFsTW9kZSI6InZpZXciLCJyZWZlcnJhbFZpZXciOiJNeUZpbGVzTGlua0NvcHkifX0&amp;e=8PYC3A" xr:uid="{B7224D92-A622-4107-A2D2-836D25948805}"/>
    <hyperlink ref="AA1071" r:id="rId223" display="https://ptwaskita-my.sharepoint.com/:v:/g/personal/dhani_ramdhani_waskita_co_id/EZmHMLQR8hxIryLhqxgi_B4BfYlG0mryTN9kwKZ0wMK1oA?nav=eyJyZWZlcnJhbEluZm8iOnsicmVmZXJyYWxBcHAiOiJPbmVEcml2ZUZvckJ1c2luZXNzIiwicmVmZXJyYWxBcHBQbGF0Zm9ybSI6IldlYiIsInJlZmVycmFsTW9kZSI6InZpZXciLCJyZWZlcnJhbFZpZXciOiJNeUZpbGVzTGlua0NvcHkifX0&amp;e=5m1evD" xr:uid="{14669831-2B30-42F0-83D4-DE99B5245E01}"/>
    <hyperlink ref="AA685" r:id="rId224" xr:uid="{9C3686B5-BD26-4A4D-ACE3-E3D3F0C6CE74}"/>
    <hyperlink ref="AD1292" r:id="rId225" display="'https://ptwaskita-my.sharepoint.com/:f:/g/personal/fahmi_waskita_co_id/Ejd6gCZyyGhBkuX8brR-eLABb7Iwpu1tJiECLNH3aHe54g?e=HGAXwS" xr:uid="{1A036C49-43D4-47C9-AAA9-AD08CB0A432F}"/>
    <hyperlink ref="AA1292" r:id="rId226" xr:uid="{879565DC-6D82-469F-91C8-9C97EEEFA5E2}"/>
    <hyperlink ref="AD1293" r:id="rId227" display="'https://ptwaskita-my.sharepoint.com/:f:/g/personal/fahmi_waskita_co_id/EpnWwCzvvjNPt1u0UTzNZkUBST3OK8KFqSJ_LFS92UHtmA?e=JcEXnJ" xr:uid="{C64CFD1F-C3DC-4878-BD95-157BDA285C8E}"/>
    <hyperlink ref="AA1293" r:id="rId228" display="https://ptwaskita-my.sharepoint.com/:v:/g/personal/fahmi_waskita_co_id/EbTuXY9IdmJKoWgfFJMDqQUB7kLtITF3YSKxmDoo4qi-ig?nav=eyJyZWZlcnJhbEluZm8iOnsicmVmZXJyYWxBcHAiOiJPbmVEcml2ZUZvckJ1c2luZXNzIiwicmVmZXJyYWxBcHBQbGF0Zm9ybSI6IldlYiIsInJlZmVycmFsTW9kZSI6InZpZXciLCJyZWZlcnJhbFZpZXciOiJNeUZpbGVzTGlua0NvcHkifX0&amp;e=vmpuUh" xr:uid="{DBB9458E-9C56-4C2C-B120-8748BE69C88C}"/>
    <hyperlink ref="AA1295" r:id="rId229" xr:uid="{0380BA90-5723-4FD6-83B6-803A0122A598}"/>
    <hyperlink ref="AD1295" r:id="rId230" display="'https://ptwaskita-my.sharepoint.com/:f:/r/personal/fahmi_waskita_co_id/Documents/BIM%20-%20INFRA%202/Project/WKINF2%20-%201323020%20Jalan%20Tol%20Probowangi/1.%20WIP/GIS/13.%20Update%20Orthophoto?csf=1&amp;web=1&amp;e=hUflvD" xr:uid="{30A56A2F-9F7B-407A-85DF-987F359A8F49}"/>
    <hyperlink ref="AA1294" r:id="rId231" xr:uid="{8728CD77-C387-4C13-AF84-112184BEE612}"/>
    <hyperlink ref="AD1296" r:id="rId232" display="'https://wkgeosurvey.com/map/project/739/" xr:uid="{A0BD22A4-1C1C-49D0-A97F-355727B0B79C}"/>
    <hyperlink ref="AA1296" r:id="rId233" display="https://ptwaskita-my.sharepoint.com/:v:/g/personal/rio_david_waskita_co_id/EZboiHZE9ExNooS97IRIgZwBnu9fRRbrFRHejT0XRN8u6w?nav=eyJyZWZlcnJhbEluZm8iOnsicmVmZXJyYWxBcHAiOiJPbmVEcml2ZUZvckJ1c2luZXNzIiwicmVmZXJyYWxBcHBQbGF0Zm9ybSI6IldlYiIsInJlZmVycmFsTW9kZSI6InZpZXciLCJyZWZlcnJhbFZpZXciOiJNeUZpbGVzTGlua0NvcHkifX0&amp;e=NZ1G9Z" xr:uid="{376243BF-18C5-4A3A-9FE5-5259E908DE1F}"/>
    <hyperlink ref="AB1294" r:id="rId234" xr:uid="{EA2DCFF0-3450-4955-94AA-D1A22D0C5B7D}"/>
    <hyperlink ref="AC1294" r:id="rId235" xr:uid="{590C0661-97F4-4E2F-97E5-4F0E70C52156}"/>
    <hyperlink ref="AD1294" r:id="rId236" xr:uid="{1381C9C8-E68A-4380-900C-7A4F729215CA}"/>
    <hyperlink ref="AA1301" r:id="rId237" xr:uid="{5F9D746F-13B6-4498-96BB-8C2CD63ED6D1}"/>
    <hyperlink ref="AA1299" r:id="rId238" display="https://ptwaskita-my.sharepoint.com/:v:/g/personal/lot2blitar_waskita_co_id/Ef8pZklHNlNMpSEKk5Nz9f4Bfd-xfnT_KDjW1SsaGzZLmg?nav=eyJyZWZlcnJhbEluZm8iOnsicmVmZXJyYWxBcHAiOiJPbmVEcml2ZUZvckJ1c2luZXNzIiwicmVmZXJyYWxBcHBQbGF0Zm9ybSI6IldlYiIsInJlZmVycmFsTW9kZSI6InZpZXciLCJyZWZlcnJhbFZpZXciOiJNeUZpbGVzTGlua0NvcHkifX0&amp;e=KP70m8" xr:uid="{FB01AD47-C5F9-4A4D-8B6C-C23077E11B34}"/>
    <hyperlink ref="AA1297" r:id="rId239" xr:uid="{1B896958-EC40-4628-A2BC-776F9B26DE2D}"/>
    <hyperlink ref="AA1302" r:id="rId240" xr:uid="{B509EAFE-4FA6-4308-A80A-C5CB3DC748EF}"/>
    <hyperlink ref="AC1211" r:id="rId241" display="'https://ptwaskita-my.sharepoint.com/:f:/g/personal/basuki_rahmat_waskita_co_id/Eo0RL2m9v2tHt1Avldq2hdMBWraVMf8dtimMdphhGfbIXg?e=fiyFFu" xr:uid="{50E92F30-EA8A-4852-A3AB-40CAA1AAEA06}"/>
    <hyperlink ref="AC1225" r:id="rId242" xr:uid="{14E91620-40CC-457D-AADF-624F2DA8374E}"/>
    <hyperlink ref="AC1297" r:id="rId243" xr:uid="{4C736AA4-F818-4CB5-B47A-E20FD656BB4C}"/>
    <hyperlink ref="AC1245" r:id="rId244" xr:uid="{35DC2ECC-6894-4DD8-A0FE-21CEC1B12A4F}"/>
    <hyperlink ref="AC1248" r:id="rId245" xr:uid="{F1F3EDEC-4F0A-469D-8745-57A7C201D3B5}"/>
    <hyperlink ref="AC1266" r:id="rId246" xr:uid="{7AC4938B-D54B-4B45-92B9-77E624874457}"/>
    <hyperlink ref="AC1219" r:id="rId247" xr:uid="{0F401A6B-A788-48AF-854B-B7555169D0CE}"/>
    <hyperlink ref="AC1204" r:id="rId248" display="'https://drive.google.com/drive/folders/1J2HBSVlOrSI6Si8PC0TYR78-ND0xq5dE?usp=drive_link" xr:uid="{DC21E127-9844-4C8A-B418-79A5DAF63D71}"/>
    <hyperlink ref="AC1292" r:id="rId249" xr:uid="{4D4B0062-5B80-4BD3-B734-28AF5F62CB0B}"/>
    <hyperlink ref="AC1293" r:id="rId250" xr:uid="{D7599B36-E822-48E6-BFD4-6070C8BC32CC}"/>
    <hyperlink ref="AC1296" r:id="rId251" xr:uid="{2CAC7F15-7191-43B2-B764-82CA81F27A6D}"/>
    <hyperlink ref="AC1302" r:id="rId252" xr:uid="{956EDB90-31FD-42A3-9D1D-760423626BB5}"/>
    <hyperlink ref="AC1299" r:id="rId253" xr:uid="{1F7F9853-B30C-4CFC-84C0-9D16DB517695}"/>
    <hyperlink ref="AC1295" r:id="rId254" xr:uid="{8D152482-1B59-4DD0-A5E6-D310B0550DA1}"/>
    <hyperlink ref="AB1301" r:id="rId255" xr:uid="{648D030A-2354-46DE-8B90-B9731AB5E9A9}"/>
    <hyperlink ref="AC1238" r:id="rId256" xr:uid="{33E59C67-0C64-4FFB-81E5-C95CC5395D53}"/>
    <hyperlink ref="AB1289" r:id="rId257" xr:uid="{CD9859B0-C46B-476D-A4C5-7EEB613A6105}"/>
    <hyperlink ref="AD1304" r:id="rId258" xr:uid="{C0710C09-49C7-43B0-B4BF-548580A6EA6D}"/>
    <hyperlink ref="AA1304" r:id="rId259" xr:uid="{EDEEF63B-D986-4AA8-927E-D18BD0A612F9}"/>
    <hyperlink ref="AC1304" r:id="rId260" xr:uid="{3FD18816-4425-4574-8B05-88CCFAF98475}"/>
    <hyperlink ref="AC1303" r:id="rId261" xr:uid="{7312ABE9-F518-49A6-8117-DC8DE1A22E84}"/>
    <hyperlink ref="AC1242" r:id="rId262" xr:uid="{3877D582-AA03-4A2E-92E8-44B5A5413EDE}"/>
    <hyperlink ref="AD1306" r:id="rId263" xr:uid="{8B9F1618-E181-473A-9C9A-D0C63CF78BB8}"/>
    <hyperlink ref="AA1306" r:id="rId264" display="https://ptwaskita-my.sharepoint.com/:v:/g/personal/fahmi_waskita_co_id/IQDNpeDSM9w3TY74yv8YAw5qAZhvGV1aRmOfL25vagF4RWo?nav=eyJyZWZlcnJhbEluZm8iOnsicmVmZXJyYWxBcHAiOiJPbmVEcml2ZUZvckJ1c2luZXNzIiwicmVmZXJyYWxBcHBQbGF0Zm9ybSI6IldlYiIsInJlZmVycmFsTW9kZSI6InZpZXciLCJyZWZlcnJhbFZpZXciOiJNeUZpbGVzTGlua0NvcHkifX0&amp;e=oGm6Ok" xr:uid="{95C74673-8B04-492D-97E6-086C55A4D8C0}"/>
    <hyperlink ref="AC1306" r:id="rId265" xr:uid="{B02C2E65-FDD2-4427-8114-08714D22913E}"/>
    <hyperlink ref="AA1303" r:id="rId266" display="https://ptwaskita-my.sharepoint.com/:v:/g/personal/lot2blitar_waskita_co_id/IQAunCVQvyA4SrCIukcHhsRHAYyRczXe7TBr_M0EY2D9DLM?nav=eyJyZWZlcnJhbEluZm8iOnsicmVmZXJyYWxBcHAiOiJPbmVEcml2ZUZvckJ1c2luZXNzIiwicmVmZXJyYWxBcHBQbGF0Zm9ybSI6IldlYiIsInJlZmVycmFsTW9kZSI6InZpZXciLCJyZWZlcnJhbFZpZXciOiJNeUZpbGVzTGlua0NvcHkifX0&amp;e=mALdCv" xr:uid="{7BC7D8A4-9CB0-42F8-AE2E-A138DF4C250A}"/>
    <hyperlink ref="AD1307" r:id="rId267" xr:uid="{AA09ACE6-5E21-4D93-BB06-ADB5F63CC9D3}"/>
    <hyperlink ref="AA1307" r:id="rId268" xr:uid="{DB61DC3B-1445-47C3-9FAE-726860ED4197}"/>
    <hyperlink ref="AC1307" r:id="rId269" xr:uid="{CA9228AE-80E8-451E-8FFC-6AB81698D833}"/>
    <hyperlink ref="AD1310" r:id="rId270" xr:uid="{0CEE7FD3-E46C-43BA-9BC5-428CDF812C9C}"/>
    <hyperlink ref="AA1310" r:id="rId271" xr:uid="{2E3A8724-F3DA-46A8-AF27-9018A21B7D7E}"/>
    <hyperlink ref="AD1309" r:id="rId272" xr:uid="{DABF0AD7-CEE9-456D-976E-F7E81706231F}"/>
    <hyperlink ref="AA1309" r:id="rId273" xr:uid="{04A64DE7-793B-4ACB-BB6A-A12BA948D357}"/>
    <hyperlink ref="AC1311" r:id="rId274" xr:uid="{77558DD6-74E2-46E5-AC65-109E30883FDD}"/>
    <hyperlink ref="AA1311" r:id="rId275" display="https://ptwaskita-my.sharepoint.com/:v:/g/personal/rio_david_waskita_co_id/IQBxw4HPtK-6SqoxOZTvOQvbASm808fpDY5ZiL5FlYHV0W4?nav=eyJyZWZlcnJhbEluZm8iOnsicmVmZXJyYWxBcHAiOiJPbmVEcml2ZUZvckJ1c2luZXNzIiwicmVmZXJyYWxBcHBQbGF0Zm9ybSI6IldlYiIsInJlZmVycmFsTW9kZSI6InZpZXciLCJyZWZlcnJhbFZpZXciOiJNeUZpbGVzTGlua0NvcHkifX0&amp;e=ZoeAui" xr:uid="{FD05FC0D-71FE-4E4D-AB48-BD1523C1EF37}"/>
    <hyperlink ref="AA1312" r:id="rId276" xr:uid="{5170B58F-027B-4CAC-9001-D2DD591D6FC4}"/>
    <hyperlink ref="AA1308" r:id="rId277" xr:uid="{A5F014AE-0607-4CD5-91BB-92F4A588271D}"/>
    <hyperlink ref="AD1303" r:id="rId278" xr:uid="{4F99E9E5-AE2A-4FBE-8DDA-BBEB6E59203E}"/>
    <hyperlink ref="AD1312" r:id="rId279" display="'https://ptwaskita-my.sharepoint.com/:f:/g/personal/fahmi_waskita_co_id/ElGAd9_R_tZDvs3VWI8j23cBNUZZuS7cjw_x-2XdpSLdxg?e=MhW06J" xr:uid="{9258B27E-1DEB-4B05-B086-0B6850A0A363}"/>
    <hyperlink ref="AC1310" r:id="rId280" xr:uid="{BBFDAB5A-FEBD-44A4-AC74-8BFA5491DC65}"/>
    <hyperlink ref="AC1308" r:id="rId281" xr:uid="{6AEF8BDD-6012-4CF2-A793-CA64380FB0FD}"/>
    <hyperlink ref="AC1309" r:id="rId282" xr:uid="{90BD104C-0DB9-4A1E-8315-CB2BDC547FFB}"/>
    <hyperlink ref="AC1313" r:id="rId283" xr:uid="{CECA1A57-5EB9-4A85-BBF2-D9B5EE0A31BB}"/>
    <hyperlink ref="AD1313" r:id="rId284" display="'https://ptwaskita-my.sharepoint.com/:f:/g/personal/fahmi_waskita_co_id/IgBjGsJV944MSbeGi3lFMQhcAf_iJdTPJ-_aEOq_hsJdHYk?e=8VdxkU" xr:uid="{2CD74029-862B-4176-A935-6D431BFB2242}"/>
    <hyperlink ref="AA1313" r:id="rId285" xr:uid="{FFD8CB95-8029-4A84-8EE5-71BEBCBF71C3}"/>
    <hyperlink ref="AD1314" r:id="rId286" display="'https://ptwaskita-my.sharepoint.com/:f:/g/personal/fahmi_waskita_co_id/IgA3eoAmcshoQZLl_G60fniwAW-yMKbtbSYhAizR92h3ueI?e=jq8rRg" xr:uid="{FA43ACF2-D3F4-4D51-A0D6-D01D2156D2E3}"/>
    <hyperlink ref="AA1314" r:id="rId287" xr:uid="{D2258BE7-F7BF-4F4B-BCF6-D8080ADC2DE1}"/>
    <hyperlink ref="AA1315" r:id="rId288" xr:uid="{CBC6C7F2-6B20-4488-A4E0-E07981CD1AC2}"/>
    <hyperlink ref="AC1315" r:id="rId289" xr:uid="{AEFA1AF7-C27F-44D6-BFDA-41B9849964C9}"/>
    <hyperlink ref="AA1316" r:id="rId290" xr:uid="{C8A41BA8-19EE-4404-A52C-B8437E2339EC}"/>
    <hyperlink ref="AA1317" r:id="rId291" xr:uid="{874BC3AE-AFE3-4DBD-A3E1-6A4BD18BD3EA}"/>
    <hyperlink ref="AA1318" r:id="rId292" display="https://ptwaskita-my.sharepoint.com/:v:/g/personal/lot2blitar_waskita_co_id/IQCMPGdkJSt4T4IFuT082Lq_ATMCMf8kOw3fNm842tsJF90?nav=eyJyZWZlcnJhbEluZm8iOnsicmVmZXJyYWxBcHAiOiJPbmVEcml2ZUZvckJ1c2luZXNzIiwicmVmZXJyYWxBcHBQbGF0Zm9ybSI6IldlYiIsInJlZmVycmFsTW9kZSI6InZpZXciLCJyZWZlcnJhbFZpZXciOiJNeUZpbGVzTGlua0NvcHkifX0&amp;e=tAymhb" xr:uid="{D486E302-CC31-4399-B192-06450E2706F9}"/>
    <hyperlink ref="AC1318" r:id="rId293" xr:uid="{B5C6CA83-55EC-448C-AF77-1C4250AB1900}"/>
    <hyperlink ref="AC1320" r:id="rId294" xr:uid="{C7AD669D-1948-4C4B-8F1D-2677F9234C38}"/>
    <hyperlink ref="AD1320" r:id="rId295" display="'https://ptwaskita-my.sharepoint.com/:f:/r/personal/fahmi_waskita_co_id/Documents/BIM%20-%20INFRA%202/Project/WKINF2%20-%201323020%20Jalan%20Tol%20Probowangi/1.%20WIP/GIS/13.%20Update%20Orthophoto?csf=1&amp;web=1&amp;e=hUflvD" xr:uid="{C40993B7-DAC3-4D16-A073-337F9D28FA1E}"/>
    <hyperlink ref="AA1320" r:id="rId296" xr:uid="{D1D883C9-B09B-43AA-B775-E235728B0ABA}"/>
    <hyperlink ref="AD1321" r:id="rId297" display="'https://ptwaskita-my.sharepoint.com/:f:/g/personal/kretek_girijati_waskita_co_id/IgD8HdP1aEKJQ58GQuEdnfwAAaU9q7BOTJ_FLBlk4bWnP1M?e=nD2Ryt" xr:uid="{34D2F74F-EC0A-4D5D-A500-3F24DEB4DE3F}"/>
    <hyperlink ref="AA1321" r:id="rId298" xr:uid="{CF4F4BA9-5660-4C55-AAA7-8ABB4F660F0E}"/>
    <hyperlink ref="AC1228" r:id="rId299" xr:uid="{D2539FDD-9176-453D-8563-EC4310C91997}"/>
    <hyperlink ref="AC1142" r:id="rId300" xr:uid="{872A08A1-5031-423D-885A-6683232550B7}"/>
    <hyperlink ref="AD1297" r:id="rId301" display="'https://ptwaskita-my.sharepoint.com/:u:/g/personal/rezky_yudhaseno_waskita_co_id/Eew390xxvkJJi76kj_q2K5QBUT4OoTtmxIcSYrtqt7qFvA?e=7JOyqt" xr:uid="{3E1D8B08-4DE6-4F69-A4FD-96D51BED710F}"/>
    <hyperlink ref="AA1322" r:id="rId302" display="https://ptwaskita-my.sharepoint.com/:v:/g/personal/rio_david_waskita_co_id/IQAeyvioE-poQ6ROcX3Hcbj7AUnmt5uODRuFTUPib86DuxQ?nav=eyJyZWZlcnJhbEluZm8iOnsicmVmZXJyYWxBcHAiOiJPbmVEcml2ZUZvckJ1c2luZXNzIiwicmVmZXJyYWxBcHBQbGF0Zm9ybSI6IldlYiIsInJlZmVycmFsTW9kZSI6InZpZXciLCJyZWZlcnJhbFZpZXciOiJNeUZpbGVzTGlua0NvcHkifX0&amp;e=VWxrGU" xr:uid="{C79CFD17-7D23-4949-9915-90F4DCF1BFD2}"/>
    <hyperlink ref="AC1322" r:id="rId303" xr:uid="{DD1E2596-840E-46B3-84A0-C4EF5A6577E5}"/>
    <hyperlink ref="AC1323" r:id="rId304" xr:uid="{73FE5F94-F39A-4096-8851-3340D32021B5}"/>
    <hyperlink ref="AA1242" r:id="rId305" display="https://ptwaskita-my.sharepoint.com/:v:/g/personal/lot2blitar_waskita_co_id/EezQyA3vXOhDsref-O1IXW8B3juR-FVY9RU7wZo0Z0xetw?nav=eyJyZWZlcnJhbEluZm8iOnsicmVmZXJyYWxBcHAiOiJPbmVEcml2ZUZvckJ1c2luZXNzIiwicmVmZXJyYWxBcHBQbGF0Zm9ybSI6IldlYiIsInJlZmVycmFsTW9kZSI6InZpZXciLCJyZWZlcnJhbFZpZXciOiJNeUZpbGVzTGlua0NvcHkifX0&amp;e=FpZ02P" xr:uid="{EC28D18E-1C48-4FCA-9EDE-484F66E258E8}"/>
    <hyperlink ref="AD1326" r:id="rId306" display="'https://ptwaskita-my.sharepoint.com/:f:/g/personal/fahmi_waskita_co_id/IgDyXYS7SAJRR5PNLQ4XtE0tAdxbalXXSflxtB7kK05plU8?e=kd4fMH" xr:uid="{1BFB5732-5FB1-4EFC-9070-A5866790FD4B}"/>
    <hyperlink ref="AA1326" r:id="rId307" xr:uid="{C902FCE5-B2EF-41C3-8556-29FA7B4BCE56}"/>
    <hyperlink ref="AD1324" r:id="rId308" display="'https://ptwaskita-my.sharepoint.com/:f:/g/personal/fahmi_waskita_co_id/IgAGQNHKHERnRpfE8NEwlLrtAW6PpyNbLAGeUmAxwKKw-Ak?e=1DH5Cu" xr:uid="{966B4A3E-A474-441B-BAC0-1A6E6FCD4DEC}"/>
    <hyperlink ref="AA1324" r:id="rId309" xr:uid="{4DB267B9-FEE4-43C7-AA4F-A2BFCEB363DB}"/>
    <hyperlink ref="AC1325" r:id="rId310" xr:uid="{A3A7EFF5-A434-4F4C-BB6B-4F73298739F7}"/>
    <hyperlink ref="AA1325" r:id="rId311" xr:uid="{BFCC800D-39B8-4FD7-BC18-164B766546C8}"/>
    <hyperlink ref="AD1329" r:id="rId312" display="'https://ptwaskita-my.sharepoint.com/:f:/r/personal/fahmi_waskita_co_id/Documents/BIM%20-%20INFRA%202/Project/WKINF2%20-%201323020%20Jalan%20Tol%20Probowangi/1.%20WIP/GIS/13.%20Update%20Orthophoto?csf=1&amp;web=1&amp;e=hUflvD" xr:uid="{562885B0-E522-4435-9795-8B2BB8A9EFC8}"/>
    <hyperlink ref="AA1329" r:id="rId313" xr:uid="{5C5EC09D-1334-42DC-8BA1-5FDA09799FE6}"/>
    <hyperlink ref="AC1328" r:id="rId314" xr:uid="{FEEC6D1D-DCAB-49B2-B656-7FD85656EE9E}"/>
    <hyperlink ref="AA1328" r:id="rId315" display="https://ptwaskita-my.sharepoint.com/:v:/g/personal/rio_david_waskita_co_id/IQD43al7ou4sQoFJ22WqZXqwAaCXnvpg46T7d7MC03Y743o?nav=eyJyZWZlcnJhbEluZm8iOnsicmVmZXJyYWxBcHAiOiJPbmVEcml2ZUZvckJ1c2luZXNzIiwicmVmZXJyYWxBcHBQbGF0Zm9ybSI6IldlYiIsInJlZmVycmFsTW9kZSI6InZpZXciLCJyZWZlcnJhbFZpZXciOiJNeUZpbGVzTGlua0NvcHkifX0&amp;e=CQ84FJ" xr:uid="{A65437D2-C975-45A2-A271-A33472589A0E}"/>
    <hyperlink ref="AD1331" r:id="rId316" display="'https://ptwaskita-my.sharepoint.com/:f:/g/personal/kretek_girijati_waskita_co_id/IgD8HdP1aEKJQ58GQuEdnfwAAaU9q7BOTJ_FLBlk4bWnP1M?e=f6n7A4" xr:uid="{A2F0BCF4-0241-4BA7-93CD-56E7FE05B249}"/>
    <hyperlink ref="AA1331" r:id="rId317" xr:uid="{3AEC9D9F-BFD5-4240-B1DB-934B59581922}"/>
    <hyperlink ref="AA1330" r:id="rId318" xr:uid="{67F1D159-E49D-49F1-A69B-601CE17B5CAF}"/>
    <hyperlink ref="AC1330" r:id="rId319" xr:uid="{99121883-1D6C-4B9C-B2E5-454C60A3DDD8}"/>
    <hyperlink ref="AC1326" r:id="rId320" xr:uid="{9030B482-D87F-45EC-A632-DEE3DC30FA6F}"/>
    <hyperlink ref="AA1327" r:id="rId321" xr:uid="{5166E56E-42A7-4D82-93EE-EE8810C7862F}"/>
    <hyperlink ref="AA1332" r:id="rId322" xr:uid="{8B0ECB31-45E3-4448-BBB1-FAD625CE3E6F}"/>
    <hyperlink ref="AC1332" r:id="rId323" xr:uid="{6C6270C3-FCF9-4EC8-86C7-D050793A8576}"/>
    <hyperlink ref="AC1336" r:id="rId324" xr:uid="{A562DE55-2382-4501-BDD3-85B661B80DA5}"/>
    <hyperlink ref="AA1336" r:id="rId325" xr:uid="{B28942DD-762C-4144-B74F-CB130D14A94C}"/>
    <hyperlink ref="AD1337" r:id="rId326" xr:uid="{219851F1-5E9F-4977-9984-0B21F82E8770}"/>
    <hyperlink ref="AA1337" r:id="rId327" xr:uid="{12BD1190-4248-41D8-A19A-44498EC4924A}"/>
    <hyperlink ref="AD1338" r:id="rId328" xr:uid="{1F8599C8-7F0E-4290-B997-8D7130509398}"/>
    <hyperlink ref="AA1338" r:id="rId329" xr:uid="{38AF6ADB-4832-4233-8ED7-6640A7ADEF17}"/>
    <hyperlink ref="AA1339" r:id="rId330" xr:uid="{7C84367A-3F7B-47CE-8AF7-F33500AD875E}"/>
    <hyperlink ref="AC1329" r:id="rId331" xr:uid="{A199FA04-B30E-4EF3-A52B-AB90E1F70082}"/>
    <hyperlink ref="AC1338" r:id="rId332" xr:uid="{2C45EDB7-441A-4E54-8014-2E373D4957A0}"/>
    <hyperlink ref="AB1020" r:id="rId333" xr:uid="{AC96AB1A-8151-45F3-9E9D-4C24DA2960F1}"/>
    <hyperlink ref="AC1341" r:id="rId334" xr:uid="{87D3B837-41F5-4284-9058-7D5F9F560BAA}"/>
    <hyperlink ref="AA1341" r:id="rId335" display="https://ptwaskita-my.sharepoint.com/:v:/g/personal/rio_david_waskita_co_id/IQCzjkm7vA0kQY7t2A-4TGzCAUjMjyHvWOj4xsfeL8Z_elM?nav=eyJyZWZlcnJhbEluZm8iOnsicmVmZXJyYWxBcHAiOiJPbmVEcml2ZUZvckJ1c2luZXNzIiwicmVmZXJyYWxBcHBQbGF0Zm9ybSI6IldlYiIsInJlZmVycmFsTW9kZSI6InZpZXciLCJyZWZlcnJhbFZpZXciOiJNeUZpbGVzTGlua0NvcHkifX0&amp;e=wncOcd" xr:uid="{98641095-AF3D-48C5-9815-7813F606FEDC}"/>
    <hyperlink ref="AA1340" r:id="rId336" xr:uid="{5F020576-6000-4F0D-975D-AC157D706BBA}"/>
  </hyperlinks>
  <pageMargins left="0.7" right="0.7" top="0.75" bottom="0.75" header="0.3" footer="0.3"/>
  <pageSetup paperSize="9" fitToHeight="0" orientation="landscape" r:id="rId337"/>
  <tableParts count="1">
    <tablePart r:id="rId33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13682-90C5-4A79-97A5-F7C456490FBD}">
  <dimension ref="A1:D280"/>
  <sheetViews>
    <sheetView topLeftCell="D80" workbookViewId="0">
      <selection activeCell="D80" sqref="D80"/>
    </sheetView>
  </sheetViews>
  <sheetFormatPr defaultRowHeight="15"/>
  <cols>
    <col min="1" max="1" width="45.85546875" customWidth="1"/>
    <col min="2" max="2" width="10.140625" customWidth="1"/>
    <col min="3" max="3" width="10.5703125" customWidth="1"/>
    <col min="4" max="4" width="10.85546875" customWidth="1"/>
  </cols>
  <sheetData>
    <row r="1" spans="1:4">
      <c r="A1" t="s">
        <v>6</v>
      </c>
      <c r="B1" t="s">
        <v>3446</v>
      </c>
      <c r="C1" t="s">
        <v>3447</v>
      </c>
      <c r="D1" t="s">
        <v>3448</v>
      </c>
    </row>
    <row r="2" spans="1:4" ht="16.5" hidden="1">
      <c r="A2" s="55" t="s">
        <v>76</v>
      </c>
      <c r="B2" s="105"/>
      <c r="C2" s="95">
        <v>0</v>
      </c>
      <c r="D2" s="95">
        <v>0</v>
      </c>
    </row>
    <row r="3" spans="1:4" ht="16.5" hidden="1">
      <c r="A3" s="55" t="s">
        <v>76</v>
      </c>
      <c r="B3" s="105"/>
      <c r="C3" s="95">
        <v>0</v>
      </c>
      <c r="D3" s="95">
        <v>0</v>
      </c>
    </row>
    <row r="4" spans="1:4" ht="16.5" hidden="1">
      <c r="A4" s="55" t="s">
        <v>76</v>
      </c>
      <c r="B4" s="105"/>
      <c r="C4" s="95">
        <v>0</v>
      </c>
      <c r="D4" s="95">
        <v>0</v>
      </c>
    </row>
    <row r="5" spans="1:4" ht="16.5" hidden="1">
      <c r="A5" s="55" t="s">
        <v>76</v>
      </c>
      <c r="B5" s="106"/>
      <c r="C5" s="96">
        <v>0</v>
      </c>
      <c r="D5" s="96">
        <v>0</v>
      </c>
    </row>
    <row r="6" spans="1:4" ht="16.5" hidden="1">
      <c r="A6" s="34" t="s">
        <v>76</v>
      </c>
      <c r="B6" s="106"/>
      <c r="C6" s="96">
        <v>0</v>
      </c>
      <c r="D6" s="96">
        <v>0</v>
      </c>
    </row>
    <row r="7" spans="1:4" ht="16.5" hidden="1">
      <c r="A7" s="55" t="s">
        <v>76</v>
      </c>
      <c r="B7" s="105"/>
      <c r="C7" s="95">
        <v>0</v>
      </c>
      <c r="D7" s="95">
        <v>0</v>
      </c>
    </row>
    <row r="8" spans="1:4" ht="16.5" hidden="1">
      <c r="A8" s="34" t="s">
        <v>76</v>
      </c>
      <c r="B8" s="106"/>
      <c r="C8" s="96">
        <v>0</v>
      </c>
      <c r="D8" s="96">
        <v>0</v>
      </c>
    </row>
    <row r="9" spans="1:4" ht="16.5" hidden="1">
      <c r="A9" s="34" t="s">
        <v>76</v>
      </c>
      <c r="B9" s="105"/>
      <c r="C9" s="95">
        <v>0</v>
      </c>
      <c r="D9" s="95">
        <v>0</v>
      </c>
    </row>
    <row r="10" spans="1:4" ht="16.5" hidden="1">
      <c r="A10" s="34" t="s">
        <v>76</v>
      </c>
      <c r="B10" s="106"/>
      <c r="C10" s="96">
        <v>0</v>
      </c>
      <c r="D10" s="96">
        <v>0</v>
      </c>
    </row>
    <row r="11" spans="1:4" ht="16.5" hidden="1">
      <c r="A11" s="55" t="s">
        <v>76</v>
      </c>
      <c r="B11" s="106"/>
      <c r="C11" s="96">
        <v>0</v>
      </c>
      <c r="D11" s="96">
        <v>0</v>
      </c>
    </row>
    <row r="12" spans="1:4" ht="16.5" hidden="1">
      <c r="A12" s="55" t="s">
        <v>76</v>
      </c>
      <c r="B12" s="105"/>
      <c r="C12" s="95">
        <v>0</v>
      </c>
      <c r="D12" s="95">
        <v>0</v>
      </c>
    </row>
    <row r="13" spans="1:4" ht="16.5" hidden="1">
      <c r="A13" s="34" t="s">
        <v>76</v>
      </c>
      <c r="B13" s="105"/>
      <c r="C13" s="95">
        <v>0</v>
      </c>
      <c r="D13" s="95">
        <v>0</v>
      </c>
    </row>
    <row r="14" spans="1:4" ht="16.5" hidden="1">
      <c r="A14" s="34" t="s">
        <v>76</v>
      </c>
      <c r="B14" s="106"/>
      <c r="C14" s="96">
        <v>0</v>
      </c>
      <c r="D14" s="96">
        <v>0</v>
      </c>
    </row>
    <row r="15" spans="1:4" ht="16.5" hidden="1">
      <c r="A15" s="55" t="s">
        <v>76</v>
      </c>
      <c r="B15" s="105"/>
      <c r="C15" s="95">
        <v>0</v>
      </c>
      <c r="D15" s="95">
        <v>0</v>
      </c>
    </row>
    <row r="16" spans="1:4" ht="16.5" hidden="1">
      <c r="A16" s="55" t="s">
        <v>76</v>
      </c>
      <c r="B16" s="105"/>
      <c r="C16" s="95">
        <v>0</v>
      </c>
      <c r="D16" s="95">
        <v>0</v>
      </c>
    </row>
    <row r="17" spans="1:4">
      <c r="A17" s="17" t="s">
        <v>2663</v>
      </c>
      <c r="B17" s="107">
        <v>45657</v>
      </c>
      <c r="C17" s="150">
        <v>91.486000000000004</v>
      </c>
      <c r="D17" s="150">
        <v>91.364999999999995</v>
      </c>
    </row>
    <row r="18" spans="1:4">
      <c r="A18" s="9" t="s">
        <v>1484</v>
      </c>
      <c r="B18" s="107">
        <v>45651</v>
      </c>
      <c r="C18" s="150">
        <v>70.960999999999999</v>
      </c>
      <c r="D18" s="150">
        <v>57.712000000000003</v>
      </c>
    </row>
    <row r="19" spans="1:4">
      <c r="A19" s="8" t="s">
        <v>1484</v>
      </c>
      <c r="B19" s="106">
        <v>45682</v>
      </c>
      <c r="C19" s="151">
        <v>74.049000000000007</v>
      </c>
      <c r="D19" s="151">
        <v>60.862000000000002</v>
      </c>
    </row>
    <row r="20" spans="1:4">
      <c r="A20" s="8" t="s">
        <v>1484</v>
      </c>
      <c r="B20" s="106">
        <v>45713</v>
      </c>
      <c r="C20" s="151">
        <v>76.06</v>
      </c>
      <c r="D20" s="151">
        <v>63.319000000000003</v>
      </c>
    </row>
    <row r="21" spans="1:4">
      <c r="A21" s="15" t="s">
        <v>1484</v>
      </c>
      <c r="B21" s="106">
        <v>45772</v>
      </c>
      <c r="C21" s="151">
        <v>82.018000000000001</v>
      </c>
      <c r="D21" s="151">
        <v>71.509</v>
      </c>
    </row>
    <row r="22" spans="1:4">
      <c r="A22" s="15" t="s">
        <v>1484</v>
      </c>
      <c r="B22" s="106">
        <v>45802</v>
      </c>
      <c r="C22" s="151">
        <v>84.647999999999996</v>
      </c>
      <c r="D22" s="151">
        <v>77.971000000000004</v>
      </c>
    </row>
    <row r="23" spans="1:4">
      <c r="A23" s="15" t="s">
        <v>1484</v>
      </c>
      <c r="B23" s="106">
        <v>45863</v>
      </c>
      <c r="C23" s="151">
        <v>91.537999999999997</v>
      </c>
      <c r="D23" s="151">
        <v>91.447999999999993</v>
      </c>
    </row>
    <row r="24" spans="1:4">
      <c r="A24" s="15" t="s">
        <v>1484</v>
      </c>
      <c r="B24" s="106">
        <v>45894</v>
      </c>
      <c r="C24" s="151">
        <v>94.02</v>
      </c>
      <c r="D24" s="151">
        <v>89.63</v>
      </c>
    </row>
    <row r="25" spans="1:4">
      <c r="A25" s="15" t="s">
        <v>1484</v>
      </c>
      <c r="B25" s="106">
        <v>45925</v>
      </c>
      <c r="C25" s="151">
        <v>95.486000000000004</v>
      </c>
      <c r="D25" s="151">
        <v>91.968999999999994</v>
      </c>
    </row>
    <row r="26" spans="1:4" hidden="1">
      <c r="A26" s="35" t="s">
        <v>1484</v>
      </c>
      <c r="B26" s="106"/>
      <c r="C26" s="96">
        <v>0</v>
      </c>
      <c r="D26" s="96">
        <v>0</v>
      </c>
    </row>
    <row r="27" spans="1:4" hidden="1">
      <c r="A27" s="35" t="s">
        <v>1484</v>
      </c>
      <c r="B27" s="106"/>
      <c r="C27" s="96">
        <v>0</v>
      </c>
      <c r="D27" s="96">
        <v>0</v>
      </c>
    </row>
    <row r="28" spans="1:4" hidden="1">
      <c r="A28" s="38" t="s">
        <v>1484</v>
      </c>
      <c r="B28" s="105"/>
      <c r="C28" s="95">
        <v>0</v>
      </c>
      <c r="D28" s="95">
        <v>0</v>
      </c>
    </row>
    <row r="29" spans="1:4" hidden="1">
      <c r="A29" s="38" t="s">
        <v>1484</v>
      </c>
      <c r="B29" s="106"/>
      <c r="C29" s="96">
        <v>0</v>
      </c>
      <c r="D29" s="96">
        <v>0</v>
      </c>
    </row>
    <row r="30" spans="1:4">
      <c r="A30" s="8" t="s">
        <v>1484</v>
      </c>
      <c r="B30" s="106">
        <v>45956</v>
      </c>
      <c r="C30" s="151">
        <v>89.867999999999995</v>
      </c>
      <c r="D30" s="151">
        <v>80.590999999999994</v>
      </c>
    </row>
    <row r="31" spans="1:4">
      <c r="A31" s="19" t="s">
        <v>472</v>
      </c>
      <c r="B31" s="105">
        <v>44833</v>
      </c>
      <c r="C31" s="151">
        <v>31.972000000000001</v>
      </c>
      <c r="D31" s="151">
        <v>19.757999999999999</v>
      </c>
    </row>
    <row r="32" spans="1:4">
      <c r="A32" s="19" t="s">
        <v>472</v>
      </c>
      <c r="B32" s="105">
        <v>44862</v>
      </c>
      <c r="C32" s="151">
        <v>39.933999999999997</v>
      </c>
      <c r="D32" s="151">
        <v>32.395000000000003</v>
      </c>
    </row>
    <row r="33" spans="1:4">
      <c r="A33" s="42" t="s">
        <v>472</v>
      </c>
      <c r="B33" s="106">
        <v>44887</v>
      </c>
      <c r="C33" s="152">
        <v>44.435000000000002</v>
      </c>
      <c r="D33" s="152">
        <v>41.701000000000001</v>
      </c>
    </row>
    <row r="34" spans="1:4">
      <c r="A34" s="42" t="s">
        <v>472</v>
      </c>
      <c r="B34" s="105">
        <v>44893</v>
      </c>
      <c r="C34" s="151">
        <v>46.982999999999997</v>
      </c>
      <c r="D34" s="151">
        <v>44.802999999999997</v>
      </c>
    </row>
    <row r="35" spans="1:4">
      <c r="A35" s="19" t="s">
        <v>472</v>
      </c>
      <c r="B35" s="106">
        <v>44925</v>
      </c>
      <c r="C35" s="152">
        <v>47.71</v>
      </c>
      <c r="D35" s="152">
        <v>60.674999999999997</v>
      </c>
    </row>
    <row r="36" spans="1:4">
      <c r="A36" s="19" t="s">
        <v>472</v>
      </c>
      <c r="B36" s="106">
        <v>44956</v>
      </c>
      <c r="C36" s="152">
        <v>48.587000000000003</v>
      </c>
      <c r="D36" s="152">
        <v>80.031000000000006</v>
      </c>
    </row>
    <row r="37" spans="1:4">
      <c r="A37" s="19" t="s">
        <v>472</v>
      </c>
      <c r="B37" s="106">
        <v>44959</v>
      </c>
      <c r="C37" s="152">
        <v>48.587000000000003</v>
      </c>
      <c r="D37" s="152">
        <v>57.69</v>
      </c>
    </row>
    <row r="38" spans="1:4">
      <c r="A38" s="19" t="s">
        <v>472</v>
      </c>
      <c r="B38" s="105">
        <v>45012</v>
      </c>
      <c r="C38" s="151">
        <v>52.673000000000002</v>
      </c>
      <c r="D38" s="151">
        <v>95.427000000000007</v>
      </c>
    </row>
    <row r="39" spans="1:4">
      <c r="A39" s="9" t="s">
        <v>1472</v>
      </c>
      <c r="B39" s="107">
        <v>45653</v>
      </c>
      <c r="C39" s="150">
        <v>100</v>
      </c>
      <c r="D39" s="150">
        <v>100</v>
      </c>
    </row>
    <row r="40" spans="1:4">
      <c r="A40" s="23" t="s">
        <v>1472</v>
      </c>
      <c r="B40" s="105">
        <v>44967</v>
      </c>
      <c r="C40" s="151">
        <v>5.6260000000000003</v>
      </c>
      <c r="D40" s="151">
        <v>5.798</v>
      </c>
    </row>
    <row r="41" spans="1:4" hidden="1">
      <c r="A41" s="32" t="s">
        <v>1472</v>
      </c>
      <c r="B41" s="106"/>
      <c r="C41" s="96">
        <v>0</v>
      </c>
      <c r="D41" s="96">
        <v>0</v>
      </c>
    </row>
    <row r="42" spans="1:4" hidden="1">
      <c r="A42" s="23" t="s">
        <v>1472</v>
      </c>
      <c r="B42" s="105"/>
      <c r="C42" s="95">
        <v>0</v>
      </c>
      <c r="D42" s="95">
        <v>0</v>
      </c>
    </row>
    <row r="43" spans="1:4" hidden="1">
      <c r="A43" s="35" t="s">
        <v>714</v>
      </c>
      <c r="B43" s="106"/>
      <c r="C43" s="96">
        <v>0</v>
      </c>
      <c r="D43" s="96">
        <v>0</v>
      </c>
    </row>
    <row r="44" spans="1:4" hidden="1">
      <c r="A44" s="38" t="s">
        <v>714</v>
      </c>
      <c r="B44" s="106"/>
      <c r="C44" s="96">
        <v>0</v>
      </c>
      <c r="D44" s="96">
        <v>0</v>
      </c>
    </row>
    <row r="45" spans="1:4" hidden="1">
      <c r="A45" s="38" t="s">
        <v>714</v>
      </c>
      <c r="B45" s="106"/>
      <c r="C45" s="96">
        <v>0</v>
      </c>
      <c r="D45" s="96">
        <v>0</v>
      </c>
    </row>
    <row r="46" spans="1:4" hidden="1">
      <c r="A46" s="38" t="s">
        <v>714</v>
      </c>
      <c r="B46" s="105"/>
      <c r="C46" s="95">
        <v>0</v>
      </c>
      <c r="D46" s="95">
        <v>0</v>
      </c>
    </row>
    <row r="47" spans="1:4">
      <c r="A47" s="38" t="s">
        <v>714</v>
      </c>
      <c r="B47" s="105">
        <v>44885</v>
      </c>
      <c r="C47" s="151">
        <v>3.9039999999999999</v>
      </c>
      <c r="D47" s="151">
        <v>6.54</v>
      </c>
    </row>
    <row r="48" spans="1:4">
      <c r="A48" s="38" t="s">
        <v>714</v>
      </c>
      <c r="B48" s="105">
        <v>44890</v>
      </c>
      <c r="C48" s="151">
        <v>4.17</v>
      </c>
      <c r="D48" s="151">
        <v>7.9119999999999999</v>
      </c>
    </row>
    <row r="49" spans="1:4">
      <c r="A49" s="38" t="s">
        <v>714</v>
      </c>
      <c r="B49" s="106">
        <v>44920</v>
      </c>
      <c r="C49" s="152">
        <v>11.744</v>
      </c>
      <c r="D49" s="152">
        <v>8.9450000000000003</v>
      </c>
    </row>
    <row r="50" spans="1:4">
      <c r="A50" s="38" t="s">
        <v>714</v>
      </c>
      <c r="B50" s="106">
        <v>44948</v>
      </c>
      <c r="C50" s="152">
        <v>13.318</v>
      </c>
      <c r="D50" s="152">
        <v>12.861000000000001</v>
      </c>
    </row>
    <row r="51" spans="1:4">
      <c r="A51" s="38" t="s">
        <v>714</v>
      </c>
      <c r="B51" s="105">
        <v>44951</v>
      </c>
      <c r="C51" s="151">
        <v>13.933</v>
      </c>
      <c r="D51" s="151">
        <v>12.861000000000001</v>
      </c>
    </row>
    <row r="52" spans="1:4">
      <c r="A52" s="38" t="s">
        <v>714</v>
      </c>
      <c r="B52" s="106">
        <v>44961</v>
      </c>
      <c r="C52" s="152">
        <v>14.085000000000001</v>
      </c>
      <c r="D52" s="152">
        <v>14.847</v>
      </c>
    </row>
    <row r="53" spans="1:4">
      <c r="A53" s="38" t="s">
        <v>714</v>
      </c>
      <c r="B53" s="105">
        <v>44976</v>
      </c>
      <c r="C53" s="151">
        <v>14.458</v>
      </c>
      <c r="D53" s="151">
        <v>17.091999999999999</v>
      </c>
    </row>
    <row r="54" spans="1:4">
      <c r="A54" s="38" t="s">
        <v>714</v>
      </c>
      <c r="B54" s="106">
        <v>45004</v>
      </c>
      <c r="C54" s="152">
        <v>18.03</v>
      </c>
      <c r="D54" s="152">
        <v>20.707000000000001</v>
      </c>
    </row>
    <row r="55" spans="1:4">
      <c r="A55" s="38" t="s">
        <v>714</v>
      </c>
      <c r="B55" s="106">
        <v>45041</v>
      </c>
      <c r="C55" s="152">
        <v>21.178999999999998</v>
      </c>
      <c r="D55" s="152">
        <v>25.369</v>
      </c>
    </row>
    <row r="56" spans="1:4">
      <c r="A56" s="38" t="s">
        <v>714</v>
      </c>
      <c r="B56" s="106">
        <v>45067</v>
      </c>
      <c r="C56" s="152">
        <v>24.55</v>
      </c>
      <c r="D56" s="152">
        <v>31.361000000000001</v>
      </c>
    </row>
    <row r="57" spans="1:4">
      <c r="A57" s="38" t="s">
        <v>714</v>
      </c>
      <c r="B57" s="105">
        <v>45092</v>
      </c>
      <c r="C57" s="151">
        <v>36.606999999999999</v>
      </c>
      <c r="D57" s="151">
        <v>40.281999999999996</v>
      </c>
    </row>
    <row r="58" spans="1:4">
      <c r="A58" s="38" t="s">
        <v>714</v>
      </c>
      <c r="B58" s="105">
        <v>45130</v>
      </c>
      <c r="C58" s="151">
        <v>47.174999999999997</v>
      </c>
      <c r="D58" s="151">
        <v>44.726999999999997</v>
      </c>
    </row>
    <row r="59" spans="1:4">
      <c r="A59" s="38" t="s">
        <v>714</v>
      </c>
      <c r="B59" s="105">
        <v>45158</v>
      </c>
      <c r="C59" s="151">
        <v>51.834000000000003</v>
      </c>
      <c r="D59" s="151">
        <v>49.267000000000003</v>
      </c>
    </row>
    <row r="60" spans="1:4">
      <c r="A60" s="38" t="s">
        <v>714</v>
      </c>
      <c r="B60" s="106">
        <v>45158</v>
      </c>
      <c r="C60" s="152">
        <v>51.834000000000003</v>
      </c>
      <c r="D60" s="152">
        <v>49.267000000000003</v>
      </c>
    </row>
    <row r="61" spans="1:4">
      <c r="A61" s="38" t="s">
        <v>714</v>
      </c>
      <c r="B61" s="106">
        <v>45186</v>
      </c>
      <c r="C61" s="152">
        <v>55.683999999999997</v>
      </c>
      <c r="D61" s="152">
        <v>55.145000000000003</v>
      </c>
    </row>
    <row r="62" spans="1:4">
      <c r="A62" s="38" t="s">
        <v>714</v>
      </c>
      <c r="B62" s="106">
        <v>45224</v>
      </c>
      <c r="C62" s="152">
        <v>56.085000000000001</v>
      </c>
      <c r="D62" s="152">
        <v>55.414999999999999</v>
      </c>
    </row>
    <row r="63" spans="1:4">
      <c r="A63" s="38" t="s">
        <v>714</v>
      </c>
      <c r="B63" s="105">
        <v>45229</v>
      </c>
      <c r="C63" s="151">
        <v>68.177999999999997</v>
      </c>
      <c r="D63" s="151">
        <v>67.944999999999993</v>
      </c>
    </row>
    <row r="64" spans="1:4" ht="16.5">
      <c r="A64" s="148" t="s">
        <v>48</v>
      </c>
      <c r="B64" s="105">
        <v>45133</v>
      </c>
      <c r="C64" s="151">
        <v>58.57</v>
      </c>
      <c r="D64" s="151">
        <v>64.64</v>
      </c>
    </row>
    <row r="65" spans="1:4" ht="16.5" hidden="1">
      <c r="A65" s="148" t="s">
        <v>48</v>
      </c>
      <c r="B65" s="105"/>
      <c r="C65" s="95">
        <v>0</v>
      </c>
      <c r="D65" s="95">
        <v>0</v>
      </c>
    </row>
    <row r="66" spans="1:4" ht="16.5" hidden="1">
      <c r="A66" s="60" t="s">
        <v>48</v>
      </c>
      <c r="B66" s="106"/>
      <c r="C66" s="96">
        <v>0</v>
      </c>
      <c r="D66" s="96">
        <v>0</v>
      </c>
    </row>
    <row r="67" spans="1:4" ht="16.5" hidden="1">
      <c r="A67" s="148" t="s">
        <v>48</v>
      </c>
      <c r="B67" s="105"/>
      <c r="C67" s="95">
        <v>0</v>
      </c>
      <c r="D67" s="95">
        <v>0</v>
      </c>
    </row>
    <row r="68" spans="1:4" ht="16.5">
      <c r="A68" s="60" t="s">
        <v>48</v>
      </c>
      <c r="B68" s="106">
        <v>45190</v>
      </c>
      <c r="C68" s="152">
        <v>80.41</v>
      </c>
      <c r="D68" s="152">
        <v>84.72</v>
      </c>
    </row>
    <row r="69" spans="1:4" ht="16.5" hidden="1">
      <c r="A69" s="60" t="s">
        <v>48</v>
      </c>
      <c r="B69" s="106"/>
      <c r="C69" s="96">
        <v>0</v>
      </c>
      <c r="D69" s="96">
        <v>0</v>
      </c>
    </row>
    <row r="70" spans="1:4" ht="16.5" hidden="1">
      <c r="A70" s="59" t="s">
        <v>48</v>
      </c>
      <c r="B70" s="106"/>
      <c r="C70" s="96">
        <v>0</v>
      </c>
      <c r="D70" s="96">
        <v>0</v>
      </c>
    </row>
    <row r="71" spans="1:4" ht="16.5" hidden="1">
      <c r="A71" s="60" t="s">
        <v>48</v>
      </c>
      <c r="B71" s="106"/>
      <c r="C71" s="96">
        <v>0</v>
      </c>
      <c r="D71" s="96">
        <v>0</v>
      </c>
    </row>
    <row r="72" spans="1:4" ht="16.5">
      <c r="A72" s="146" t="s">
        <v>48</v>
      </c>
      <c r="B72" s="105">
        <v>45224</v>
      </c>
      <c r="C72" s="151">
        <v>91.9</v>
      </c>
      <c r="D72" s="151">
        <v>96</v>
      </c>
    </row>
    <row r="73" spans="1:4">
      <c r="A73" s="42" t="s">
        <v>2484</v>
      </c>
      <c r="B73" s="108">
        <v>45653</v>
      </c>
      <c r="C73" s="153">
        <v>66.918999999999997</v>
      </c>
      <c r="D73" s="153">
        <v>25.334</v>
      </c>
    </row>
    <row r="74" spans="1:4">
      <c r="A74" s="15" t="s">
        <v>2484</v>
      </c>
      <c r="B74" s="106">
        <v>45687</v>
      </c>
      <c r="C74" s="151">
        <v>69.86</v>
      </c>
      <c r="D74" s="151">
        <v>31.545000000000002</v>
      </c>
    </row>
    <row r="75" spans="1:4">
      <c r="A75" s="15" t="s">
        <v>2484</v>
      </c>
      <c r="B75" s="106">
        <v>45715</v>
      </c>
      <c r="C75" s="151">
        <v>72.504999999999995</v>
      </c>
      <c r="D75" s="151">
        <v>35.936999999999998</v>
      </c>
    </row>
    <row r="76" spans="1:4">
      <c r="A76" s="15" t="s">
        <v>2484</v>
      </c>
      <c r="B76" s="106">
        <v>45771</v>
      </c>
      <c r="C76" s="151">
        <v>75.66</v>
      </c>
      <c r="D76" s="151">
        <v>44.917999999999999</v>
      </c>
    </row>
    <row r="77" spans="1:4">
      <c r="A77" s="15" t="s">
        <v>2484</v>
      </c>
      <c r="B77" s="106">
        <v>45799</v>
      </c>
      <c r="C77" s="151">
        <v>83.241</v>
      </c>
      <c r="D77" s="151">
        <v>48.985999999999997</v>
      </c>
    </row>
    <row r="78" spans="1:4">
      <c r="A78" s="15" t="s">
        <v>2484</v>
      </c>
      <c r="B78" s="106">
        <v>45834</v>
      </c>
      <c r="C78" s="151">
        <v>83.278999999999996</v>
      </c>
      <c r="D78" s="151">
        <v>54.393999999999998</v>
      </c>
    </row>
    <row r="79" spans="1:4">
      <c r="A79" s="15" t="s">
        <v>2484</v>
      </c>
      <c r="B79" s="106">
        <v>45862</v>
      </c>
      <c r="C79" s="151">
        <v>83.685000000000002</v>
      </c>
      <c r="D79" s="151">
        <v>59.3</v>
      </c>
    </row>
    <row r="80" spans="1:4">
      <c r="A80" s="15" t="s">
        <v>2484</v>
      </c>
      <c r="B80" s="106">
        <v>45890</v>
      </c>
      <c r="C80" s="151">
        <v>85.078000000000003</v>
      </c>
      <c r="D80" s="151">
        <v>64.076999999999998</v>
      </c>
    </row>
    <row r="81" spans="1:4">
      <c r="A81" s="15" t="s">
        <v>2484</v>
      </c>
      <c r="B81" s="101">
        <v>45925</v>
      </c>
      <c r="C81" s="151">
        <v>90.646000000000001</v>
      </c>
      <c r="D81" s="151">
        <v>69.819999999999993</v>
      </c>
    </row>
    <row r="82" spans="1:4">
      <c r="A82" s="8" t="s">
        <v>2484</v>
      </c>
      <c r="B82" s="101">
        <v>45960</v>
      </c>
      <c r="C82" s="151">
        <v>94.947999999999993</v>
      </c>
      <c r="D82" s="151">
        <v>75.667000000000002</v>
      </c>
    </row>
    <row r="83" spans="1:4">
      <c r="A83" s="19" t="s">
        <v>2290</v>
      </c>
      <c r="B83" s="112">
        <v>0</v>
      </c>
      <c r="C83" s="153">
        <v>100</v>
      </c>
      <c r="D83" s="153">
        <v>94.822999999999993</v>
      </c>
    </row>
    <row r="84" spans="1:4">
      <c r="A84" s="17" t="s">
        <v>2336</v>
      </c>
      <c r="B84" s="107">
        <v>45656</v>
      </c>
      <c r="C84" s="150">
        <v>33.094999999999999</v>
      </c>
      <c r="D84" s="150">
        <v>35.270000000000003</v>
      </c>
    </row>
    <row r="85" spans="1:4">
      <c r="A85" s="15" t="s">
        <v>2336</v>
      </c>
      <c r="B85" s="101">
        <v>45684</v>
      </c>
      <c r="C85" s="151">
        <v>36.003999999999998</v>
      </c>
      <c r="D85" s="151">
        <v>39.500999999999998</v>
      </c>
    </row>
    <row r="86" spans="1:4">
      <c r="A86" s="15" t="s">
        <v>2336</v>
      </c>
      <c r="B86" s="101">
        <v>45711</v>
      </c>
      <c r="C86" s="151">
        <v>37.94</v>
      </c>
      <c r="D86" s="151">
        <v>44.883000000000003</v>
      </c>
    </row>
    <row r="87" spans="1:4">
      <c r="A87" s="15" t="s">
        <v>2336</v>
      </c>
      <c r="B87" s="101">
        <v>45775</v>
      </c>
      <c r="C87" s="151">
        <v>42.054000000000002</v>
      </c>
      <c r="D87" s="151">
        <v>56.116999999999997</v>
      </c>
    </row>
    <row r="88" spans="1:4">
      <c r="A88" s="15" t="s">
        <v>2336</v>
      </c>
      <c r="B88" s="101">
        <v>45802</v>
      </c>
      <c r="C88" s="151">
        <v>44.523000000000003</v>
      </c>
      <c r="D88" s="151">
        <v>61.732999999999997</v>
      </c>
    </row>
    <row r="89" spans="1:4">
      <c r="A89" s="15" t="s">
        <v>2336</v>
      </c>
      <c r="B89" s="101">
        <v>45830</v>
      </c>
      <c r="C89" s="151">
        <v>47.304000000000002</v>
      </c>
      <c r="D89" s="151">
        <v>67.513000000000005</v>
      </c>
    </row>
    <row r="90" spans="1:4">
      <c r="A90" s="15" t="s">
        <v>2336</v>
      </c>
      <c r="B90" s="106">
        <v>45865</v>
      </c>
      <c r="C90" s="151">
        <v>51.204000000000001</v>
      </c>
      <c r="D90" s="151">
        <v>73.962000000000003</v>
      </c>
    </row>
    <row r="91" spans="1:4">
      <c r="A91" s="15" t="s">
        <v>2336</v>
      </c>
      <c r="B91" s="106">
        <v>45894</v>
      </c>
      <c r="C91" s="151">
        <v>54.600999999999999</v>
      </c>
      <c r="D91" s="151">
        <v>78.266999999999996</v>
      </c>
    </row>
    <row r="92" spans="1:4">
      <c r="A92" s="15" t="s">
        <v>2336</v>
      </c>
      <c r="B92" s="106">
        <v>45925</v>
      </c>
      <c r="C92" s="151">
        <v>57.228999999999999</v>
      </c>
      <c r="D92" s="151">
        <v>86.685000000000002</v>
      </c>
    </row>
    <row r="93" spans="1:4">
      <c r="A93" s="15" t="s">
        <v>2336</v>
      </c>
      <c r="B93" s="106">
        <v>45956</v>
      </c>
      <c r="C93" s="151">
        <v>58.868000000000002</v>
      </c>
      <c r="D93" s="151">
        <v>93.394000000000005</v>
      </c>
    </row>
    <row r="94" spans="1:4" hidden="1">
      <c r="A94" s="10" t="s">
        <v>989</v>
      </c>
      <c r="B94" s="102"/>
      <c r="C94" s="95">
        <v>0</v>
      </c>
      <c r="D94" s="95">
        <v>0</v>
      </c>
    </row>
    <row r="95" spans="1:4" hidden="1">
      <c r="A95" s="14" t="s">
        <v>989</v>
      </c>
      <c r="B95" s="101"/>
      <c r="C95" s="96">
        <v>0</v>
      </c>
      <c r="D95" s="96">
        <v>0</v>
      </c>
    </row>
    <row r="96" spans="1:4">
      <c r="A96" s="10" t="s">
        <v>989</v>
      </c>
      <c r="B96" s="105">
        <v>45132</v>
      </c>
      <c r="C96" s="151">
        <v>2.3450000000000002</v>
      </c>
      <c r="D96" s="151">
        <v>2.2629999999999999</v>
      </c>
    </row>
    <row r="97" spans="1:4" hidden="1">
      <c r="A97" s="14" t="s">
        <v>989</v>
      </c>
      <c r="B97" s="106"/>
      <c r="C97" s="96">
        <v>0</v>
      </c>
      <c r="D97" s="96">
        <v>0</v>
      </c>
    </row>
    <row r="98" spans="1:4">
      <c r="A98" s="10" t="s">
        <v>989</v>
      </c>
      <c r="B98" s="105">
        <v>45163</v>
      </c>
      <c r="C98" s="151">
        <v>6.5019999999999998</v>
      </c>
      <c r="D98" s="151">
        <v>6.298</v>
      </c>
    </row>
    <row r="99" spans="1:4" ht="16.5">
      <c r="A99" s="34" t="s">
        <v>989</v>
      </c>
      <c r="B99" s="106">
        <v>45200</v>
      </c>
      <c r="C99" s="152">
        <v>11.249000000000001</v>
      </c>
      <c r="D99" s="152">
        <v>12.028</v>
      </c>
    </row>
    <row r="100" spans="1:4" hidden="1">
      <c r="A100" s="14" t="s">
        <v>989</v>
      </c>
      <c r="B100" s="102"/>
      <c r="C100" s="95">
        <v>0</v>
      </c>
      <c r="D100" s="95">
        <v>0</v>
      </c>
    </row>
    <row r="101" spans="1:4" hidden="1">
      <c r="A101" s="14" t="s">
        <v>989</v>
      </c>
      <c r="B101" s="102"/>
      <c r="C101" s="95">
        <v>0</v>
      </c>
      <c r="D101" s="95">
        <v>0</v>
      </c>
    </row>
    <row r="102" spans="1:4">
      <c r="A102" s="42" t="s">
        <v>39</v>
      </c>
      <c r="B102" s="101">
        <v>44773</v>
      </c>
      <c r="C102" s="152">
        <v>83.896000000000001</v>
      </c>
      <c r="D102" s="152">
        <v>92.387</v>
      </c>
    </row>
    <row r="103" spans="1:4">
      <c r="A103" s="42" t="s">
        <v>39</v>
      </c>
      <c r="B103" s="101">
        <v>44804</v>
      </c>
      <c r="C103" s="152">
        <v>84.870999999999995</v>
      </c>
      <c r="D103" s="152">
        <v>85.504000000000005</v>
      </c>
    </row>
    <row r="104" spans="1:4">
      <c r="A104" s="42" t="s">
        <v>39</v>
      </c>
      <c r="B104" s="105">
        <v>44834</v>
      </c>
      <c r="C104" s="151">
        <v>87.596999999999994</v>
      </c>
      <c r="D104" s="151">
        <v>89.257000000000005</v>
      </c>
    </row>
    <row r="105" spans="1:4">
      <c r="A105" s="42" t="s">
        <v>39</v>
      </c>
      <c r="B105" s="101">
        <v>44893</v>
      </c>
      <c r="C105" s="152">
        <v>88.287999999999997</v>
      </c>
      <c r="D105" s="152">
        <v>88.313000000000002</v>
      </c>
    </row>
    <row r="106" spans="1:4">
      <c r="A106" s="42" t="s">
        <v>39</v>
      </c>
      <c r="B106" s="106">
        <v>44917</v>
      </c>
      <c r="C106" s="152">
        <v>89.388999999999996</v>
      </c>
      <c r="D106" s="152">
        <v>92.570999999999998</v>
      </c>
    </row>
    <row r="107" spans="1:4">
      <c r="A107" s="42" t="s">
        <v>39</v>
      </c>
      <c r="B107" s="106">
        <v>44946</v>
      </c>
      <c r="C107" s="152">
        <v>90.902000000000001</v>
      </c>
      <c r="D107" s="152">
        <v>96.861000000000004</v>
      </c>
    </row>
    <row r="108" spans="1:4">
      <c r="A108" s="42" t="s">
        <v>39</v>
      </c>
      <c r="B108" s="102">
        <v>44972</v>
      </c>
      <c r="C108" s="151">
        <v>92.135999999999996</v>
      </c>
      <c r="D108" s="151">
        <v>97.185000000000002</v>
      </c>
    </row>
    <row r="109" spans="1:4">
      <c r="A109" s="42" t="s">
        <v>39</v>
      </c>
      <c r="B109" s="105">
        <v>44990</v>
      </c>
      <c r="C109" s="151">
        <v>93.221000000000004</v>
      </c>
      <c r="D109" s="151">
        <v>100</v>
      </c>
    </row>
    <row r="110" spans="1:4">
      <c r="A110" s="42" t="s">
        <v>39</v>
      </c>
      <c r="B110" s="102">
        <v>45029</v>
      </c>
      <c r="C110" s="151">
        <v>94.317999999999998</v>
      </c>
      <c r="D110" s="151">
        <v>95.793999999999997</v>
      </c>
    </row>
    <row r="111" spans="1:4">
      <c r="A111" s="42" t="s">
        <v>39</v>
      </c>
      <c r="B111" s="101">
        <v>45060</v>
      </c>
      <c r="C111" s="152">
        <v>94.86</v>
      </c>
      <c r="D111" s="152">
        <v>98.105000000000004</v>
      </c>
    </row>
    <row r="112" spans="1:4">
      <c r="A112" s="42" t="s">
        <v>39</v>
      </c>
      <c r="B112" s="102">
        <v>45095</v>
      </c>
      <c r="C112" s="151">
        <v>95.85</v>
      </c>
      <c r="D112" s="151">
        <v>99.602000000000004</v>
      </c>
    </row>
    <row r="113" spans="1:4">
      <c r="A113" s="42" t="s">
        <v>39</v>
      </c>
      <c r="B113" s="105">
        <v>45130</v>
      </c>
      <c r="C113" s="151">
        <v>96.974000000000004</v>
      </c>
      <c r="D113" s="151">
        <v>99.730999999999995</v>
      </c>
    </row>
    <row r="114" spans="1:4">
      <c r="A114" s="42" t="s">
        <v>39</v>
      </c>
      <c r="B114" s="101">
        <v>45158</v>
      </c>
      <c r="C114" s="152">
        <v>97.537000000000006</v>
      </c>
      <c r="D114" s="152">
        <v>98.956000000000003</v>
      </c>
    </row>
    <row r="115" spans="1:4">
      <c r="A115" s="15" t="s">
        <v>2267</v>
      </c>
      <c r="B115" s="101">
        <v>45680</v>
      </c>
      <c r="C115" s="151">
        <v>14.018000000000001</v>
      </c>
      <c r="D115" s="151">
        <v>19.364000000000001</v>
      </c>
    </row>
    <row r="116" spans="1:4">
      <c r="A116" s="15" t="s">
        <v>2267</v>
      </c>
      <c r="B116" s="101">
        <v>45711</v>
      </c>
      <c r="C116" s="151">
        <v>47.47</v>
      </c>
      <c r="D116" s="151">
        <v>64.778999999999996</v>
      </c>
    </row>
    <row r="117" spans="1:4">
      <c r="A117" s="15" t="s">
        <v>2267</v>
      </c>
      <c r="B117" s="101">
        <v>45774</v>
      </c>
      <c r="C117" s="151">
        <v>61.356000000000002</v>
      </c>
      <c r="D117" s="151">
        <v>79.402000000000001</v>
      </c>
    </row>
    <row r="118" spans="1:4">
      <c r="A118" s="15" t="s">
        <v>2267</v>
      </c>
      <c r="B118" s="101">
        <v>45802</v>
      </c>
      <c r="C118" s="151">
        <v>68.45</v>
      </c>
      <c r="D118" s="151">
        <v>87.055999999999997</v>
      </c>
    </row>
    <row r="119" spans="1:4">
      <c r="A119" s="15" t="s">
        <v>2267</v>
      </c>
      <c r="B119" s="106">
        <v>45830</v>
      </c>
      <c r="C119" s="151">
        <v>73.72</v>
      </c>
      <c r="D119" s="151">
        <v>92.79</v>
      </c>
    </row>
    <row r="120" spans="1:4">
      <c r="A120" s="15" t="s">
        <v>2267</v>
      </c>
      <c r="B120" s="101">
        <v>45865</v>
      </c>
      <c r="C120" s="151">
        <v>65.227000000000004</v>
      </c>
      <c r="D120" s="151">
        <v>65.207999999999998</v>
      </c>
    </row>
    <row r="121" spans="1:4">
      <c r="A121" s="15" t="s">
        <v>2267</v>
      </c>
      <c r="B121" s="106">
        <v>45893</v>
      </c>
      <c r="C121" s="151">
        <v>65.23</v>
      </c>
      <c r="D121" s="151">
        <v>65.391999999999996</v>
      </c>
    </row>
    <row r="122" spans="1:4">
      <c r="A122" s="15" t="s">
        <v>2267</v>
      </c>
      <c r="B122" s="106">
        <v>45928</v>
      </c>
      <c r="C122" s="151">
        <v>68.364000000000004</v>
      </c>
      <c r="D122" s="151">
        <v>69.957999999999998</v>
      </c>
    </row>
    <row r="123" spans="1:4">
      <c r="A123" s="15" t="s">
        <v>2267</v>
      </c>
      <c r="B123" s="101">
        <v>45956</v>
      </c>
      <c r="C123" s="151">
        <v>72.638000000000005</v>
      </c>
      <c r="D123" s="151">
        <v>82.061999999999998</v>
      </c>
    </row>
    <row r="124" spans="1:4">
      <c r="A124" s="42" t="s">
        <v>2734</v>
      </c>
      <c r="B124" s="112">
        <v>45652</v>
      </c>
      <c r="C124" s="153">
        <v>11.034000000000001</v>
      </c>
      <c r="D124" s="153">
        <v>13.159000000000001</v>
      </c>
    </row>
    <row r="125" spans="1:4">
      <c r="A125" s="15" t="s">
        <v>2734</v>
      </c>
      <c r="B125" s="106">
        <v>45683</v>
      </c>
      <c r="C125" s="151">
        <v>11.952</v>
      </c>
      <c r="D125" s="151">
        <v>13.148999999999999</v>
      </c>
    </row>
    <row r="126" spans="1:4">
      <c r="A126" s="15" t="s">
        <v>2734</v>
      </c>
      <c r="B126" s="101">
        <v>45710</v>
      </c>
      <c r="C126" s="154">
        <v>13.57</v>
      </c>
      <c r="D126" s="154">
        <v>17.018000000000001</v>
      </c>
    </row>
    <row r="127" spans="1:4">
      <c r="A127" s="15" t="s">
        <v>2734</v>
      </c>
      <c r="B127" s="101">
        <v>45772</v>
      </c>
      <c r="C127" s="154">
        <v>17.591000000000001</v>
      </c>
      <c r="D127" s="154">
        <v>28.068000000000001</v>
      </c>
    </row>
    <row r="128" spans="1:4">
      <c r="A128" s="15" t="s">
        <v>2734</v>
      </c>
      <c r="B128" s="101">
        <v>45802</v>
      </c>
      <c r="C128" s="154">
        <v>20.091000000000001</v>
      </c>
      <c r="D128" s="154">
        <v>31.731000000000002</v>
      </c>
    </row>
    <row r="129" spans="1:4">
      <c r="A129" s="15" t="s">
        <v>2734</v>
      </c>
      <c r="B129" s="101">
        <v>45863</v>
      </c>
      <c r="C129" s="154">
        <v>23.873000000000001</v>
      </c>
      <c r="D129" s="154">
        <v>35.527999999999999</v>
      </c>
    </row>
    <row r="130" spans="1:4">
      <c r="A130" s="15" t="s">
        <v>2734</v>
      </c>
      <c r="B130" s="101">
        <v>45863</v>
      </c>
      <c r="C130" s="154">
        <v>25.378</v>
      </c>
      <c r="D130" s="154">
        <v>39.338999999999999</v>
      </c>
    </row>
    <row r="131" spans="1:4">
      <c r="A131" s="15" t="s">
        <v>2734</v>
      </c>
      <c r="B131" s="101">
        <v>45894</v>
      </c>
      <c r="C131" s="154">
        <v>25.853000000000002</v>
      </c>
      <c r="D131" s="154">
        <v>28.725999999999999</v>
      </c>
    </row>
    <row r="132" spans="1:4">
      <c r="A132" s="15" t="s">
        <v>2734</v>
      </c>
      <c r="B132" s="101">
        <v>45925</v>
      </c>
      <c r="C132" s="154">
        <v>30.306000000000001</v>
      </c>
      <c r="D132" s="154">
        <v>31.248999999999999</v>
      </c>
    </row>
    <row r="133" spans="1:4">
      <c r="A133" s="15" t="s">
        <v>2734</v>
      </c>
      <c r="B133" s="101">
        <v>45955</v>
      </c>
      <c r="C133" s="154">
        <v>33.414000000000001</v>
      </c>
      <c r="D133" s="154">
        <v>35.113</v>
      </c>
    </row>
    <row r="134" spans="1:4">
      <c r="A134" s="42" t="s">
        <v>65</v>
      </c>
      <c r="B134" s="101">
        <v>44969</v>
      </c>
      <c r="C134" s="155">
        <v>75.031999999999996</v>
      </c>
      <c r="D134" s="155">
        <v>83.932000000000002</v>
      </c>
    </row>
    <row r="135" spans="1:4">
      <c r="A135" s="42" t="s">
        <v>65</v>
      </c>
      <c r="B135" s="102">
        <v>44976</v>
      </c>
      <c r="C135" s="154">
        <v>75.126000000000005</v>
      </c>
      <c r="D135" s="154">
        <v>78.994</v>
      </c>
    </row>
    <row r="136" spans="1:4">
      <c r="A136" s="42" t="s">
        <v>65</v>
      </c>
      <c r="B136" s="101">
        <v>44983</v>
      </c>
      <c r="C136" s="155">
        <v>75.257999999999996</v>
      </c>
      <c r="D136" s="155">
        <v>78.994</v>
      </c>
    </row>
    <row r="137" spans="1:4">
      <c r="A137" s="42" t="s">
        <v>65</v>
      </c>
      <c r="B137" s="102">
        <v>44997</v>
      </c>
      <c r="C137" s="154">
        <v>75.546000000000006</v>
      </c>
      <c r="D137" s="154">
        <v>81.582999999999998</v>
      </c>
    </row>
    <row r="138" spans="1:4">
      <c r="A138" s="42" t="s">
        <v>65</v>
      </c>
      <c r="B138" s="101">
        <v>45004</v>
      </c>
      <c r="C138" s="155">
        <v>75.706000000000003</v>
      </c>
      <c r="D138" s="155">
        <v>81.582999999999998</v>
      </c>
    </row>
    <row r="139" spans="1:4">
      <c r="A139" s="19" t="s">
        <v>65</v>
      </c>
      <c r="B139" s="102">
        <v>45011</v>
      </c>
      <c r="C139" s="154">
        <v>75.917000000000002</v>
      </c>
      <c r="D139" s="154">
        <v>81.582999999999998</v>
      </c>
    </row>
    <row r="140" spans="1:4">
      <c r="A140" s="19" t="s">
        <v>65</v>
      </c>
      <c r="B140" s="101">
        <v>45032</v>
      </c>
      <c r="C140" s="155">
        <v>76.81</v>
      </c>
      <c r="D140" s="155">
        <v>89.7</v>
      </c>
    </row>
    <row r="141" spans="1:4">
      <c r="A141" s="42" t="s">
        <v>65</v>
      </c>
      <c r="B141" s="101">
        <v>45067</v>
      </c>
      <c r="C141" s="155">
        <v>76.983999999999995</v>
      </c>
      <c r="D141" s="155">
        <v>94.046999999999997</v>
      </c>
    </row>
    <row r="142" spans="1:4">
      <c r="A142" s="42" t="s">
        <v>65</v>
      </c>
      <c r="B142" s="101">
        <v>45074</v>
      </c>
      <c r="C142" s="155">
        <v>77.165999999999997</v>
      </c>
      <c r="D142" s="155">
        <v>94.046999999999997</v>
      </c>
    </row>
    <row r="143" spans="1:4">
      <c r="A143" s="42" t="s">
        <v>65</v>
      </c>
      <c r="B143" s="101">
        <v>45081</v>
      </c>
      <c r="C143" s="155">
        <v>77.245000000000005</v>
      </c>
      <c r="D143" s="155">
        <v>77.703000000000003</v>
      </c>
    </row>
    <row r="144" spans="1:4">
      <c r="A144" s="42" t="s">
        <v>65</v>
      </c>
      <c r="B144" s="101">
        <v>45095</v>
      </c>
      <c r="C144" s="155">
        <v>77.682000000000002</v>
      </c>
      <c r="D144" s="155">
        <v>78.95</v>
      </c>
    </row>
    <row r="145" spans="1:4">
      <c r="A145" s="42" t="s">
        <v>65</v>
      </c>
      <c r="B145" s="102">
        <v>45102</v>
      </c>
      <c r="C145" s="154">
        <v>77.808000000000007</v>
      </c>
      <c r="D145" s="154">
        <v>79.418000000000006</v>
      </c>
    </row>
    <row r="146" spans="1:4">
      <c r="A146" s="42" t="s">
        <v>65</v>
      </c>
      <c r="B146" s="101">
        <v>45130</v>
      </c>
      <c r="C146" s="155">
        <v>79.087000000000003</v>
      </c>
      <c r="D146" s="155">
        <v>81.814999999999998</v>
      </c>
    </row>
    <row r="147" spans="1:4">
      <c r="A147" s="42" t="s">
        <v>65</v>
      </c>
      <c r="B147" s="102">
        <v>45158</v>
      </c>
      <c r="C147" s="154">
        <v>80.295000000000002</v>
      </c>
      <c r="D147" s="154">
        <v>87.712000000000003</v>
      </c>
    </row>
    <row r="148" spans="1:4">
      <c r="A148" s="42" t="s">
        <v>65</v>
      </c>
      <c r="B148" s="101">
        <v>45165</v>
      </c>
      <c r="C148" s="155">
        <v>80.584999999999994</v>
      </c>
      <c r="D148" s="155">
        <v>89.438999999999993</v>
      </c>
    </row>
    <row r="149" spans="1:4">
      <c r="A149" s="42" t="s">
        <v>65</v>
      </c>
      <c r="B149" s="101">
        <v>45193</v>
      </c>
      <c r="C149" s="155">
        <v>80.924000000000007</v>
      </c>
      <c r="D149" s="155">
        <v>91.08</v>
      </c>
    </row>
    <row r="150" spans="1:4">
      <c r="A150" s="42" t="s">
        <v>65</v>
      </c>
      <c r="B150" s="102">
        <v>45201</v>
      </c>
      <c r="C150" s="154">
        <v>83.14</v>
      </c>
      <c r="D150" s="154">
        <v>100</v>
      </c>
    </row>
    <row r="151" spans="1:4">
      <c r="A151" s="42" t="s">
        <v>65</v>
      </c>
      <c r="B151" s="102">
        <v>45256</v>
      </c>
      <c r="C151" s="154">
        <v>84.361999999999995</v>
      </c>
      <c r="D151" s="154">
        <v>86.106999999999999</v>
      </c>
    </row>
    <row r="152" spans="1:4">
      <c r="A152" s="17" t="s">
        <v>750</v>
      </c>
      <c r="B152" s="149">
        <v>45660</v>
      </c>
      <c r="C152" s="156">
        <v>100</v>
      </c>
      <c r="D152" s="156">
        <v>100</v>
      </c>
    </row>
    <row r="153" spans="1:4" hidden="1">
      <c r="A153" s="23" t="s">
        <v>750</v>
      </c>
      <c r="B153" s="102"/>
      <c r="C153" s="92">
        <v>0</v>
      </c>
      <c r="D153" s="92">
        <v>0</v>
      </c>
    </row>
    <row r="154" spans="1:4" hidden="1">
      <c r="A154" s="23" t="s">
        <v>750</v>
      </c>
      <c r="B154" s="102"/>
      <c r="C154" s="92">
        <v>0</v>
      </c>
      <c r="D154" s="92">
        <v>0</v>
      </c>
    </row>
    <row r="155" spans="1:4">
      <c r="A155" s="23" t="s">
        <v>750</v>
      </c>
      <c r="B155" s="101">
        <v>45103</v>
      </c>
      <c r="C155" s="155">
        <v>27.995000000000001</v>
      </c>
      <c r="D155" s="155">
        <v>26.968</v>
      </c>
    </row>
    <row r="156" spans="1:4">
      <c r="A156" s="23" t="s">
        <v>750</v>
      </c>
      <c r="B156" s="102">
        <v>45133</v>
      </c>
      <c r="C156" s="154">
        <v>35.627000000000002</v>
      </c>
      <c r="D156" s="154">
        <v>34.606000000000002</v>
      </c>
    </row>
    <row r="157" spans="1:4" hidden="1">
      <c r="A157" s="23" t="s">
        <v>750</v>
      </c>
      <c r="B157" s="101"/>
      <c r="C157" s="119">
        <v>0</v>
      </c>
      <c r="D157" s="119">
        <v>0</v>
      </c>
    </row>
    <row r="158" spans="1:4" hidden="1">
      <c r="A158" s="23" t="s">
        <v>750</v>
      </c>
      <c r="B158" s="101"/>
      <c r="C158" s="119">
        <v>0</v>
      </c>
      <c r="D158" s="119">
        <v>0</v>
      </c>
    </row>
    <row r="159" spans="1:4">
      <c r="A159" s="23" t="s">
        <v>750</v>
      </c>
      <c r="B159" s="102">
        <v>45169</v>
      </c>
      <c r="C159" s="154">
        <v>45.411999999999999</v>
      </c>
      <c r="D159" s="154">
        <v>45.209000000000003</v>
      </c>
    </row>
    <row r="160" spans="1:4" hidden="1">
      <c r="A160" s="23" t="s">
        <v>750</v>
      </c>
      <c r="B160" s="101"/>
      <c r="C160" s="119">
        <v>0</v>
      </c>
      <c r="D160" s="119">
        <v>0</v>
      </c>
    </row>
    <row r="161" spans="1:4" hidden="1">
      <c r="A161" s="23" t="s">
        <v>750</v>
      </c>
      <c r="B161" s="102"/>
      <c r="C161" s="92">
        <v>0</v>
      </c>
      <c r="D161" s="92">
        <v>0</v>
      </c>
    </row>
    <row r="162" spans="1:4" hidden="1">
      <c r="A162" s="23" t="s">
        <v>750</v>
      </c>
      <c r="B162" s="101"/>
      <c r="C162" s="119">
        <v>0</v>
      </c>
      <c r="D162" s="119">
        <v>0</v>
      </c>
    </row>
    <row r="163" spans="1:4">
      <c r="A163" s="23" t="s">
        <v>750</v>
      </c>
      <c r="B163" s="102">
        <v>45194</v>
      </c>
      <c r="C163" s="154">
        <v>54.898000000000003</v>
      </c>
      <c r="D163" s="154">
        <v>54.161999999999999</v>
      </c>
    </row>
    <row r="164" spans="1:4" hidden="1">
      <c r="A164" s="23" t="s">
        <v>750</v>
      </c>
      <c r="B164" s="101"/>
      <c r="C164" s="119">
        <v>0</v>
      </c>
      <c r="D164" s="119">
        <v>0</v>
      </c>
    </row>
    <row r="165" spans="1:4">
      <c r="A165" s="23" t="s">
        <v>750</v>
      </c>
      <c r="B165" s="102">
        <v>45221</v>
      </c>
      <c r="C165" s="154">
        <v>60.691499999999998</v>
      </c>
      <c r="D165" s="154">
        <v>60.026600000000002</v>
      </c>
    </row>
    <row r="166" spans="1:4" hidden="1">
      <c r="A166" s="23" t="s">
        <v>750</v>
      </c>
      <c r="B166" s="102"/>
      <c r="C166" s="92">
        <v>0</v>
      </c>
      <c r="D166" s="92">
        <v>0</v>
      </c>
    </row>
    <row r="167" spans="1:4" hidden="1">
      <c r="A167" s="23" t="s">
        <v>750</v>
      </c>
      <c r="B167" s="101"/>
      <c r="C167" s="119">
        <v>0</v>
      </c>
      <c r="D167" s="119">
        <v>0</v>
      </c>
    </row>
    <row r="168" spans="1:4">
      <c r="A168" s="9" t="s">
        <v>2601</v>
      </c>
      <c r="B168" s="149">
        <v>45655</v>
      </c>
      <c r="C168" s="156">
        <v>52.902000000000001</v>
      </c>
      <c r="D168" s="156">
        <v>55.265999999999998</v>
      </c>
    </row>
    <row r="169" spans="1:4">
      <c r="A169" s="15" t="s">
        <v>2601</v>
      </c>
      <c r="B169" s="101">
        <v>45683</v>
      </c>
      <c r="C169" s="154">
        <v>54.585999999999999</v>
      </c>
      <c r="D169" s="154">
        <v>54.225999999999999</v>
      </c>
    </row>
    <row r="170" spans="1:4">
      <c r="A170" s="15" t="s">
        <v>2601</v>
      </c>
      <c r="B170" s="101">
        <v>45711</v>
      </c>
      <c r="C170" s="154">
        <v>56.627000000000002</v>
      </c>
      <c r="D170" s="154">
        <v>56.31</v>
      </c>
    </row>
    <row r="171" spans="1:4">
      <c r="A171" s="15" t="s">
        <v>2601</v>
      </c>
      <c r="B171" s="101">
        <v>45774</v>
      </c>
      <c r="C171" s="154">
        <v>61.314</v>
      </c>
      <c r="D171" s="154">
        <v>60.76</v>
      </c>
    </row>
    <row r="172" spans="1:4">
      <c r="A172" s="15" t="s">
        <v>2601</v>
      </c>
      <c r="B172" s="101">
        <v>45802</v>
      </c>
      <c r="C172" s="154">
        <v>62.594000000000001</v>
      </c>
      <c r="D172" s="154">
        <v>62.180999999999997</v>
      </c>
    </row>
    <row r="173" spans="1:4">
      <c r="A173" s="15" t="s">
        <v>2601</v>
      </c>
      <c r="B173" s="101">
        <v>45833</v>
      </c>
      <c r="C173" s="154">
        <v>64.614000000000004</v>
      </c>
      <c r="D173" s="154">
        <v>63.658000000000001</v>
      </c>
    </row>
    <row r="174" spans="1:4">
      <c r="A174" s="15" t="s">
        <v>2601</v>
      </c>
      <c r="B174" s="101">
        <v>45865</v>
      </c>
      <c r="C174" s="154">
        <v>66.835999999999999</v>
      </c>
      <c r="D174" s="154">
        <v>65.707999999999998</v>
      </c>
    </row>
    <row r="175" spans="1:4">
      <c r="A175" s="15" t="s">
        <v>2601</v>
      </c>
      <c r="B175" s="101">
        <v>45894</v>
      </c>
      <c r="C175" s="154">
        <v>69.201999999999998</v>
      </c>
      <c r="D175" s="154">
        <v>67.488</v>
      </c>
    </row>
    <row r="176" spans="1:4">
      <c r="A176" s="15" t="s">
        <v>2601</v>
      </c>
      <c r="B176" s="101">
        <v>45925</v>
      </c>
      <c r="C176" s="154">
        <v>72.173000000000002</v>
      </c>
      <c r="D176" s="154">
        <v>69.954999999999998</v>
      </c>
    </row>
    <row r="177" spans="1:4">
      <c r="A177" s="15" t="s">
        <v>2601</v>
      </c>
      <c r="B177" s="101">
        <v>45955</v>
      </c>
      <c r="C177" s="154">
        <v>74.542000000000002</v>
      </c>
      <c r="D177" s="154">
        <v>70.316000000000003</v>
      </c>
    </row>
    <row r="178" spans="1:4" hidden="1">
      <c r="A178" s="42" t="s">
        <v>55</v>
      </c>
      <c r="B178" s="102"/>
      <c r="C178" s="119">
        <v>0</v>
      </c>
      <c r="D178" s="119">
        <v>0</v>
      </c>
    </row>
    <row r="179" spans="1:4" hidden="1">
      <c r="A179" s="42" t="s">
        <v>55</v>
      </c>
      <c r="B179" s="101"/>
      <c r="C179" s="119">
        <v>0</v>
      </c>
      <c r="D179" s="119">
        <v>0</v>
      </c>
    </row>
    <row r="180" spans="1:4" hidden="1">
      <c r="A180" s="42" t="s">
        <v>55</v>
      </c>
      <c r="B180" s="102"/>
      <c r="C180" s="92">
        <v>0</v>
      </c>
      <c r="D180" s="92">
        <v>0</v>
      </c>
    </row>
    <row r="181" spans="1:4" hidden="1">
      <c r="A181" s="42" t="s">
        <v>55</v>
      </c>
      <c r="B181" s="101"/>
      <c r="C181" s="119">
        <v>0</v>
      </c>
      <c r="D181" s="119">
        <v>0</v>
      </c>
    </row>
    <row r="182" spans="1:4" hidden="1">
      <c r="A182" s="42" t="s">
        <v>55</v>
      </c>
      <c r="B182" s="102"/>
      <c r="C182" s="92">
        <v>0</v>
      </c>
      <c r="D182" s="92">
        <v>0</v>
      </c>
    </row>
    <row r="183" spans="1:4" hidden="1">
      <c r="A183" s="42" t="s">
        <v>55</v>
      </c>
      <c r="B183" s="101"/>
      <c r="C183" s="119">
        <v>0</v>
      </c>
      <c r="D183" s="119">
        <v>0</v>
      </c>
    </row>
    <row r="184" spans="1:4" hidden="1">
      <c r="A184" s="42" t="s">
        <v>55</v>
      </c>
      <c r="B184" s="101"/>
      <c r="C184" s="119">
        <v>0</v>
      </c>
      <c r="D184" s="119">
        <v>0</v>
      </c>
    </row>
    <row r="185" spans="1:4" hidden="1">
      <c r="A185" s="42" t="s">
        <v>55</v>
      </c>
      <c r="B185" s="102"/>
      <c r="C185" s="92">
        <v>0</v>
      </c>
      <c r="D185" s="92">
        <v>0</v>
      </c>
    </row>
    <row r="186" spans="1:4" hidden="1">
      <c r="A186" s="42" t="s">
        <v>55</v>
      </c>
      <c r="B186" s="102"/>
      <c r="C186" s="92">
        <v>0</v>
      </c>
      <c r="D186" s="92">
        <v>0</v>
      </c>
    </row>
    <row r="187" spans="1:4" hidden="1">
      <c r="A187" s="42" t="s">
        <v>55</v>
      </c>
      <c r="B187" s="101"/>
      <c r="C187" s="119">
        <v>0</v>
      </c>
      <c r="D187" s="119">
        <v>0</v>
      </c>
    </row>
    <row r="188" spans="1:4" hidden="1">
      <c r="A188" s="42" t="s">
        <v>55</v>
      </c>
      <c r="B188" s="101"/>
      <c r="C188" s="119">
        <v>0</v>
      </c>
      <c r="D188" s="119">
        <v>0</v>
      </c>
    </row>
    <row r="189" spans="1:4" hidden="1">
      <c r="A189" s="42" t="s">
        <v>55</v>
      </c>
      <c r="B189" s="101"/>
      <c r="C189" s="119">
        <v>0</v>
      </c>
      <c r="D189" s="119">
        <v>0</v>
      </c>
    </row>
    <row r="190" spans="1:4" hidden="1">
      <c r="A190" s="42" t="s">
        <v>55</v>
      </c>
      <c r="B190" s="102"/>
      <c r="C190" s="92">
        <v>0</v>
      </c>
      <c r="D190" s="92">
        <v>0</v>
      </c>
    </row>
    <row r="191" spans="1:4" hidden="1">
      <c r="A191" s="42" t="s">
        <v>55</v>
      </c>
      <c r="B191" s="102"/>
      <c r="C191" s="92">
        <v>0</v>
      </c>
      <c r="D191" s="92">
        <v>0</v>
      </c>
    </row>
    <row r="192" spans="1:4" hidden="1">
      <c r="A192" s="42" t="s">
        <v>55</v>
      </c>
      <c r="B192" s="101"/>
      <c r="C192" s="119">
        <v>0</v>
      </c>
      <c r="D192" s="119">
        <v>0</v>
      </c>
    </row>
    <row r="193" spans="1:4" hidden="1">
      <c r="A193" s="42" t="s">
        <v>55</v>
      </c>
      <c r="B193" s="101"/>
      <c r="C193" s="119">
        <v>0</v>
      </c>
      <c r="D193" s="119">
        <v>0</v>
      </c>
    </row>
    <row r="194" spans="1:4" hidden="1">
      <c r="A194" s="35" t="s">
        <v>80</v>
      </c>
      <c r="B194" s="101"/>
      <c r="C194" s="119">
        <v>0</v>
      </c>
      <c r="D194" s="119">
        <v>0</v>
      </c>
    </row>
    <row r="195" spans="1:4">
      <c r="A195" s="42" t="s">
        <v>1317</v>
      </c>
      <c r="B195" s="112">
        <v>45655</v>
      </c>
      <c r="C195" s="157">
        <v>60.508099999999999</v>
      </c>
      <c r="D195" s="157">
        <v>59.986499999999999</v>
      </c>
    </row>
    <row r="196" spans="1:4">
      <c r="A196" s="15" t="s">
        <v>1317</v>
      </c>
      <c r="B196" s="101">
        <v>45688</v>
      </c>
      <c r="C196" s="154">
        <v>62.789000000000001</v>
      </c>
      <c r="D196" s="154">
        <v>64.138000000000005</v>
      </c>
    </row>
    <row r="197" spans="1:4">
      <c r="A197" s="15" t="s">
        <v>1317</v>
      </c>
      <c r="B197" s="101">
        <v>45716</v>
      </c>
      <c r="C197" s="154">
        <v>65.436932572780094</v>
      </c>
      <c r="D197" s="154">
        <v>68.443046912612104</v>
      </c>
    </row>
    <row r="198" spans="1:4">
      <c r="A198" s="15" t="s">
        <v>1317</v>
      </c>
      <c r="B198" s="101">
        <v>45781</v>
      </c>
      <c r="C198" s="154">
        <v>70.023471047019498</v>
      </c>
      <c r="D198" s="154">
        <v>86.418151315098299</v>
      </c>
    </row>
    <row r="199" spans="1:4">
      <c r="A199" s="15" t="s">
        <v>1317</v>
      </c>
      <c r="B199" s="101">
        <v>45808</v>
      </c>
      <c r="C199" s="154">
        <v>73.252232113450603</v>
      </c>
      <c r="D199" s="154">
        <v>98.324360609530004</v>
      </c>
    </row>
    <row r="200" spans="1:4">
      <c r="A200" s="15" t="s">
        <v>1317</v>
      </c>
      <c r="B200" s="101">
        <v>45837</v>
      </c>
      <c r="C200" s="154">
        <v>75.349000000000004</v>
      </c>
      <c r="D200" s="154">
        <v>76.875</v>
      </c>
    </row>
    <row r="201" spans="1:4">
      <c r="A201" s="15" t="s">
        <v>1317</v>
      </c>
      <c r="B201" s="101">
        <v>45868</v>
      </c>
      <c r="C201" s="154">
        <v>77.363</v>
      </c>
      <c r="D201" s="154">
        <v>80.608000000000004</v>
      </c>
    </row>
    <row r="202" spans="1:4">
      <c r="A202" s="15" t="s">
        <v>1317</v>
      </c>
      <c r="B202" s="101">
        <v>45900</v>
      </c>
      <c r="C202" s="154">
        <v>79.588232764015402</v>
      </c>
      <c r="D202" s="154">
        <v>84.177889249725297</v>
      </c>
    </row>
    <row r="203" spans="1:4" hidden="1">
      <c r="A203" s="42" t="s">
        <v>1317</v>
      </c>
      <c r="B203" s="102"/>
      <c r="C203" s="92">
        <v>0</v>
      </c>
      <c r="D203" s="92">
        <v>0</v>
      </c>
    </row>
    <row r="204" spans="1:4">
      <c r="A204" s="42" t="s">
        <v>1317</v>
      </c>
      <c r="B204" s="101">
        <v>44936</v>
      </c>
      <c r="C204" s="155">
        <v>0.71390966</v>
      </c>
      <c r="D204" s="155">
        <v>1.76723952</v>
      </c>
    </row>
    <row r="205" spans="1:4" hidden="1">
      <c r="A205" s="42" t="s">
        <v>1317</v>
      </c>
      <c r="B205" s="102"/>
      <c r="C205" s="92">
        <v>0</v>
      </c>
      <c r="D205" s="92">
        <v>0</v>
      </c>
    </row>
    <row r="206" spans="1:4" hidden="1">
      <c r="A206" s="42" t="s">
        <v>1317</v>
      </c>
      <c r="B206" s="101"/>
      <c r="C206" s="119">
        <v>0</v>
      </c>
      <c r="D206" s="119">
        <v>0</v>
      </c>
    </row>
    <row r="207" spans="1:4">
      <c r="A207" s="42" t="s">
        <v>1317</v>
      </c>
      <c r="B207" s="102">
        <v>44997</v>
      </c>
      <c r="C207" s="154">
        <v>3.66134906</v>
      </c>
      <c r="D207" s="154">
        <v>11.492448100000001</v>
      </c>
    </row>
    <row r="208" spans="1:4">
      <c r="A208" s="15" t="s">
        <v>1317</v>
      </c>
      <c r="B208" s="101">
        <v>45928</v>
      </c>
      <c r="C208" s="154">
        <v>82.751093151434006</v>
      </c>
      <c r="D208" s="154">
        <v>88.243536910364</v>
      </c>
    </row>
    <row r="209" spans="1:4">
      <c r="A209" s="15" t="s">
        <v>1317</v>
      </c>
      <c r="B209" s="101">
        <v>45961</v>
      </c>
      <c r="C209" s="154">
        <v>86.244641039043003</v>
      </c>
      <c r="D209" s="154">
        <v>94.047064467561299</v>
      </c>
    </row>
    <row r="210" spans="1:4">
      <c r="A210" s="42" t="s">
        <v>1480</v>
      </c>
      <c r="B210" s="112">
        <v>45662</v>
      </c>
      <c r="C210" s="157">
        <v>70.137</v>
      </c>
      <c r="D210" s="157">
        <v>68.680999999999997</v>
      </c>
    </row>
    <row r="211" spans="1:4">
      <c r="A211" s="15" t="s">
        <v>1480</v>
      </c>
      <c r="B211" s="101">
        <v>45770</v>
      </c>
      <c r="C211" s="154">
        <v>79.73</v>
      </c>
      <c r="D211" s="154">
        <v>83.49</v>
      </c>
    </row>
    <row r="212" spans="1:4">
      <c r="A212" s="15" t="s">
        <v>1480</v>
      </c>
      <c r="B212" s="101">
        <v>45775</v>
      </c>
      <c r="C212" s="154">
        <v>78.900999999999996</v>
      </c>
      <c r="D212" s="154">
        <v>78.637</v>
      </c>
    </row>
    <row r="213" spans="1:4">
      <c r="A213" s="15" t="s">
        <v>1480</v>
      </c>
      <c r="B213" s="101">
        <v>45807</v>
      </c>
      <c r="C213" s="92"/>
      <c r="D213" s="92"/>
    </row>
    <row r="214" spans="1:4">
      <c r="A214" s="15" t="s">
        <v>1480</v>
      </c>
      <c r="B214" s="101">
        <v>45830</v>
      </c>
      <c r="C214" s="92">
        <v>83.39</v>
      </c>
      <c r="D214" s="92">
        <v>88.69</v>
      </c>
    </row>
    <row r="215" spans="1:4">
      <c r="A215" s="15" t="s">
        <v>1480</v>
      </c>
      <c r="B215" s="101">
        <v>45838</v>
      </c>
      <c r="C215" s="92"/>
      <c r="D215" s="92"/>
    </row>
    <row r="216" spans="1:4">
      <c r="A216" s="15" t="s">
        <v>1480</v>
      </c>
      <c r="B216" s="101">
        <v>45866</v>
      </c>
      <c r="C216" s="92"/>
      <c r="D216" s="92"/>
    </row>
    <row r="217" spans="1:4">
      <c r="A217" s="15" t="s">
        <v>1480</v>
      </c>
      <c r="B217" s="101">
        <v>45898</v>
      </c>
      <c r="C217" s="92">
        <v>90.206000000000003</v>
      </c>
      <c r="D217" s="92">
        <v>96.201999999999998</v>
      </c>
    </row>
    <row r="218" spans="1:4">
      <c r="A218" s="15" t="s">
        <v>1480</v>
      </c>
      <c r="B218" s="101">
        <v>45921</v>
      </c>
      <c r="C218" s="92">
        <v>91.552999999999997</v>
      </c>
      <c r="D218" s="92">
        <v>97.53</v>
      </c>
    </row>
    <row r="219" spans="1:4">
      <c r="A219" s="23" t="s">
        <v>1480</v>
      </c>
      <c r="B219" s="102">
        <v>45194</v>
      </c>
      <c r="C219" s="92">
        <v>12.862</v>
      </c>
      <c r="D219" s="92">
        <v>9.1050000000000004</v>
      </c>
    </row>
    <row r="220" spans="1:4">
      <c r="A220" s="15" t="s">
        <v>1480</v>
      </c>
      <c r="B220" s="101">
        <v>45930</v>
      </c>
      <c r="C220" s="92"/>
      <c r="D220" s="92"/>
    </row>
    <row r="221" spans="1:4">
      <c r="A221" s="15" t="s">
        <v>1480</v>
      </c>
      <c r="B221" s="101">
        <v>45956</v>
      </c>
      <c r="C221" s="92">
        <v>93.525000000000006</v>
      </c>
      <c r="D221" s="92">
        <v>93.200999999999993</v>
      </c>
    </row>
    <row r="222" spans="1:4">
      <c r="A222" s="15" t="s">
        <v>1480</v>
      </c>
      <c r="B222" s="101">
        <v>45956</v>
      </c>
      <c r="C222" s="92"/>
      <c r="D222" s="92"/>
    </row>
    <row r="223" spans="1:4">
      <c r="A223" s="15" t="s">
        <v>3199</v>
      </c>
      <c r="B223" s="101">
        <v>45866</v>
      </c>
      <c r="C223" s="92">
        <v>16.792000000000002</v>
      </c>
      <c r="D223" s="92">
        <v>16.631</v>
      </c>
    </row>
    <row r="224" spans="1:4">
      <c r="A224" s="15" t="s">
        <v>3199</v>
      </c>
      <c r="B224" s="101">
        <v>45868</v>
      </c>
      <c r="C224" s="92">
        <v>16.792000000000002</v>
      </c>
      <c r="D224" s="92">
        <v>16.631</v>
      </c>
    </row>
    <row r="225" spans="1:4">
      <c r="A225" s="15" t="s">
        <v>3199</v>
      </c>
      <c r="B225" s="101">
        <v>45897</v>
      </c>
      <c r="C225" s="92">
        <v>26.326000000000001</v>
      </c>
      <c r="D225" s="92">
        <v>25.585999999999999</v>
      </c>
    </row>
    <row r="226" spans="1:4">
      <c r="A226" s="15" t="s">
        <v>3199</v>
      </c>
      <c r="B226" s="101">
        <v>45929</v>
      </c>
      <c r="C226" s="92">
        <v>46.883000000000003</v>
      </c>
      <c r="D226" s="92">
        <v>40.026200000000003</v>
      </c>
    </row>
    <row r="227" spans="1:4">
      <c r="A227" s="15" t="s">
        <v>3199</v>
      </c>
      <c r="B227" s="101">
        <v>45955</v>
      </c>
      <c r="C227" s="92">
        <v>67.418000000000006</v>
      </c>
      <c r="D227" s="92">
        <v>64.697000000000003</v>
      </c>
    </row>
    <row r="228" spans="1:4">
      <c r="A228" s="15" t="s">
        <v>3199</v>
      </c>
      <c r="B228" s="101">
        <v>45961</v>
      </c>
      <c r="C228" s="92">
        <v>70.927000000000007</v>
      </c>
      <c r="D228" s="92">
        <v>64.697000000000003</v>
      </c>
    </row>
    <row r="229" spans="1:4">
      <c r="A229" s="42" t="s">
        <v>735</v>
      </c>
      <c r="B229" s="112">
        <v>45657</v>
      </c>
      <c r="C229" s="114">
        <v>86.552000000000007</v>
      </c>
      <c r="D229" s="114">
        <v>85.02</v>
      </c>
    </row>
    <row r="230" spans="1:4">
      <c r="A230" s="15" t="s">
        <v>735</v>
      </c>
      <c r="B230" s="101">
        <v>45690</v>
      </c>
      <c r="C230" s="92">
        <v>93.334999999999994</v>
      </c>
      <c r="D230" s="92">
        <v>92.02</v>
      </c>
    </row>
    <row r="231" spans="1:4">
      <c r="A231" s="15" t="s">
        <v>735</v>
      </c>
      <c r="B231" s="101">
        <v>45718</v>
      </c>
      <c r="C231" s="92">
        <v>95.921000000000006</v>
      </c>
      <c r="D231" s="92">
        <v>96.582999999999998</v>
      </c>
    </row>
    <row r="232" spans="1:4">
      <c r="A232" s="15" t="s">
        <v>735</v>
      </c>
      <c r="B232" s="101">
        <v>45719</v>
      </c>
      <c r="C232" s="92"/>
      <c r="D232" s="92"/>
    </row>
    <row r="233" spans="1:4">
      <c r="A233" s="15" t="s">
        <v>735</v>
      </c>
      <c r="B233" s="101">
        <v>45747</v>
      </c>
      <c r="C233" s="92">
        <v>97.522999999999996</v>
      </c>
      <c r="D233" s="92">
        <v>98.453999999999994</v>
      </c>
    </row>
    <row r="234" spans="1:4">
      <c r="A234" s="15" t="s">
        <v>735</v>
      </c>
      <c r="B234" s="101">
        <v>45777</v>
      </c>
      <c r="C234" s="92">
        <v>100</v>
      </c>
      <c r="D234" s="92">
        <v>100</v>
      </c>
    </row>
    <row r="235" spans="1:4">
      <c r="A235" s="15" t="s">
        <v>735</v>
      </c>
      <c r="B235" s="101">
        <v>45777</v>
      </c>
      <c r="C235" s="92"/>
      <c r="D235" s="92">
        <v>100</v>
      </c>
    </row>
    <row r="236" spans="1:4">
      <c r="A236" s="42" t="s">
        <v>735</v>
      </c>
      <c r="B236" s="101">
        <v>45107</v>
      </c>
      <c r="C236" s="119">
        <v>38.884</v>
      </c>
      <c r="D236" s="119">
        <v>50.942999999999998</v>
      </c>
    </row>
    <row r="237" spans="1:4" hidden="1">
      <c r="A237" s="15" t="s">
        <v>735</v>
      </c>
      <c r="B237" s="102"/>
      <c r="C237" s="92">
        <v>0</v>
      </c>
      <c r="D237" s="92">
        <v>0</v>
      </c>
    </row>
    <row r="238" spans="1:4" hidden="1">
      <c r="A238" s="42" t="s">
        <v>735</v>
      </c>
      <c r="B238" s="101"/>
      <c r="C238" s="119">
        <v>0</v>
      </c>
      <c r="D238" s="119">
        <v>0</v>
      </c>
    </row>
    <row r="239" spans="1:4" hidden="1">
      <c r="A239" s="15" t="s">
        <v>735</v>
      </c>
      <c r="B239" s="102"/>
      <c r="C239" s="92">
        <v>0</v>
      </c>
      <c r="D239" s="92">
        <v>0</v>
      </c>
    </row>
    <row r="240" spans="1:4" hidden="1">
      <c r="A240" s="42" t="s">
        <v>735</v>
      </c>
      <c r="B240" s="101"/>
      <c r="C240" s="119">
        <v>0</v>
      </c>
      <c r="D240" s="119">
        <v>0</v>
      </c>
    </row>
    <row r="241" spans="1:4" hidden="1">
      <c r="A241" s="42" t="s">
        <v>735</v>
      </c>
      <c r="B241" s="101"/>
      <c r="C241" s="119">
        <v>0</v>
      </c>
      <c r="D241" s="119">
        <v>0</v>
      </c>
    </row>
    <row r="242" spans="1:4">
      <c r="A242" s="42" t="s">
        <v>735</v>
      </c>
      <c r="B242" s="101">
        <v>45137</v>
      </c>
      <c r="C242" s="119">
        <v>40.362000000000002</v>
      </c>
      <c r="D242" s="119">
        <v>53.287999999999997</v>
      </c>
    </row>
    <row r="243" spans="1:4" hidden="1">
      <c r="A243" s="15" t="s">
        <v>735</v>
      </c>
      <c r="B243" s="102"/>
      <c r="C243" s="92">
        <v>0</v>
      </c>
      <c r="D243" s="92">
        <v>0</v>
      </c>
    </row>
    <row r="244" spans="1:4">
      <c r="A244" s="15" t="s">
        <v>735</v>
      </c>
      <c r="B244" s="102">
        <v>45169</v>
      </c>
      <c r="C244" s="92">
        <v>42.962000000000003</v>
      </c>
      <c r="D244" s="92">
        <v>56.722000000000001</v>
      </c>
    </row>
    <row r="245" spans="1:4" hidden="1">
      <c r="A245" s="42" t="s">
        <v>735</v>
      </c>
      <c r="B245" s="101"/>
      <c r="C245" s="119">
        <v>0</v>
      </c>
      <c r="D245" s="119">
        <v>0</v>
      </c>
    </row>
    <row r="246" spans="1:4" hidden="1">
      <c r="A246" s="15" t="s">
        <v>735</v>
      </c>
      <c r="B246" s="102"/>
      <c r="C246" s="92">
        <v>0</v>
      </c>
      <c r="D246" s="92">
        <v>0</v>
      </c>
    </row>
    <row r="247" spans="1:4" hidden="1">
      <c r="A247" s="42" t="s">
        <v>735</v>
      </c>
      <c r="B247" s="101"/>
      <c r="C247" s="119">
        <v>0</v>
      </c>
      <c r="D247" s="119">
        <v>0</v>
      </c>
    </row>
    <row r="248" spans="1:4" hidden="1">
      <c r="A248" s="15" t="s">
        <v>735</v>
      </c>
      <c r="B248" s="102"/>
      <c r="C248" s="92">
        <v>0</v>
      </c>
      <c r="D248" s="92">
        <v>0</v>
      </c>
    </row>
    <row r="249" spans="1:4">
      <c r="A249" s="15" t="s">
        <v>735</v>
      </c>
      <c r="B249" s="102">
        <v>45199</v>
      </c>
      <c r="C249" s="92">
        <v>45.326000000000001</v>
      </c>
      <c r="D249" s="92">
        <v>59.735999999999997</v>
      </c>
    </row>
    <row r="250" spans="1:4" hidden="1">
      <c r="A250" s="42" t="s">
        <v>735</v>
      </c>
      <c r="B250" s="101"/>
      <c r="C250" s="119">
        <v>0</v>
      </c>
      <c r="D250" s="119">
        <v>0</v>
      </c>
    </row>
    <row r="251" spans="1:4" hidden="1">
      <c r="A251" s="42" t="s">
        <v>735</v>
      </c>
      <c r="B251" s="101"/>
      <c r="C251" s="119">
        <v>0</v>
      </c>
      <c r="D251" s="119">
        <v>0</v>
      </c>
    </row>
    <row r="252" spans="1:4">
      <c r="A252" s="15" t="s">
        <v>735</v>
      </c>
      <c r="B252" s="102">
        <v>45230</v>
      </c>
      <c r="C252" s="92">
        <v>47.05</v>
      </c>
      <c r="D252" s="92">
        <v>63.177</v>
      </c>
    </row>
    <row r="253" spans="1:4" hidden="1">
      <c r="A253" s="15" t="s">
        <v>735</v>
      </c>
      <c r="B253" s="102"/>
      <c r="C253" s="92">
        <v>0</v>
      </c>
      <c r="D253" s="92">
        <v>0</v>
      </c>
    </row>
    <row r="254" spans="1:4">
      <c r="A254" s="23" t="s">
        <v>924</v>
      </c>
      <c r="B254" s="101">
        <v>45102</v>
      </c>
      <c r="C254" s="119">
        <v>53.87</v>
      </c>
      <c r="D254" s="119">
        <v>39.17</v>
      </c>
    </row>
    <row r="255" spans="1:4" hidden="1">
      <c r="A255" s="23" t="s">
        <v>924</v>
      </c>
      <c r="B255" s="102"/>
      <c r="C255" s="92">
        <v>0</v>
      </c>
      <c r="D255" s="92">
        <v>0</v>
      </c>
    </row>
    <row r="256" spans="1:4" hidden="1">
      <c r="A256" s="23" t="s">
        <v>924</v>
      </c>
      <c r="B256" s="101"/>
      <c r="C256" s="119">
        <v>0</v>
      </c>
      <c r="D256" s="119">
        <v>0</v>
      </c>
    </row>
    <row r="257" spans="1:4" hidden="1">
      <c r="A257" s="23" t="s">
        <v>924</v>
      </c>
      <c r="B257" s="102"/>
      <c r="C257" s="92">
        <v>0</v>
      </c>
      <c r="D257" s="92">
        <v>0</v>
      </c>
    </row>
    <row r="258" spans="1:4" hidden="1">
      <c r="A258" s="23" t="s">
        <v>924</v>
      </c>
      <c r="B258" s="101"/>
      <c r="C258" s="119">
        <v>0</v>
      </c>
      <c r="D258" s="119">
        <v>0</v>
      </c>
    </row>
    <row r="259" spans="1:4">
      <c r="A259" s="23" t="s">
        <v>924</v>
      </c>
      <c r="B259" s="101">
        <v>45137</v>
      </c>
      <c r="C259" s="119">
        <v>63.85</v>
      </c>
      <c r="D259" s="119">
        <v>45.08</v>
      </c>
    </row>
    <row r="260" spans="1:4" hidden="1">
      <c r="A260" s="23" t="s">
        <v>924</v>
      </c>
      <c r="B260" s="102"/>
      <c r="C260" s="92">
        <v>0</v>
      </c>
      <c r="D260" s="92">
        <v>0</v>
      </c>
    </row>
    <row r="261" spans="1:4" hidden="1">
      <c r="A261" s="23" t="s">
        <v>924</v>
      </c>
      <c r="B261" s="101"/>
      <c r="C261" s="119">
        <v>0</v>
      </c>
      <c r="D261" s="119">
        <v>0</v>
      </c>
    </row>
    <row r="262" spans="1:4" hidden="1">
      <c r="A262" s="23" t="s">
        <v>924</v>
      </c>
      <c r="B262" s="102"/>
      <c r="C262" s="92">
        <v>0</v>
      </c>
      <c r="D262" s="92">
        <v>0</v>
      </c>
    </row>
    <row r="263" spans="1:4" hidden="1">
      <c r="A263" s="23" t="s">
        <v>924</v>
      </c>
      <c r="B263" s="101"/>
      <c r="C263" s="119">
        <v>0</v>
      </c>
      <c r="D263" s="119">
        <v>0</v>
      </c>
    </row>
    <row r="264" spans="1:4">
      <c r="A264" s="23" t="s">
        <v>924</v>
      </c>
      <c r="B264" s="102">
        <v>45137</v>
      </c>
      <c r="C264" s="92">
        <v>63.85</v>
      </c>
      <c r="D264" s="92">
        <v>45.08</v>
      </c>
    </row>
    <row r="265" spans="1:4" hidden="1">
      <c r="A265" s="23" t="s">
        <v>924</v>
      </c>
      <c r="B265" s="101"/>
      <c r="C265" s="119">
        <v>0</v>
      </c>
      <c r="D265" s="119">
        <v>0</v>
      </c>
    </row>
    <row r="266" spans="1:4" hidden="1">
      <c r="A266" s="23" t="s">
        <v>924</v>
      </c>
      <c r="B266" s="102"/>
      <c r="C266" s="92">
        <v>0</v>
      </c>
      <c r="D266" s="92">
        <v>0</v>
      </c>
    </row>
    <row r="267" spans="1:4">
      <c r="A267" s="23" t="s">
        <v>924</v>
      </c>
      <c r="B267" s="101">
        <v>45166</v>
      </c>
      <c r="C267" s="119">
        <v>74.25</v>
      </c>
      <c r="D267" s="119">
        <v>50.45</v>
      </c>
    </row>
    <row r="268" spans="1:4" hidden="1">
      <c r="A268" s="23" t="s">
        <v>924</v>
      </c>
      <c r="B268" s="102"/>
      <c r="C268" s="92">
        <v>0</v>
      </c>
      <c r="D268" s="92">
        <v>0</v>
      </c>
    </row>
    <row r="269" spans="1:4" hidden="1">
      <c r="A269" s="23" t="s">
        <v>924</v>
      </c>
      <c r="B269" s="101"/>
      <c r="C269" s="119">
        <v>0</v>
      </c>
      <c r="D269" s="119">
        <v>0</v>
      </c>
    </row>
    <row r="270" spans="1:4" hidden="1">
      <c r="A270" s="23" t="s">
        <v>924</v>
      </c>
      <c r="B270" s="102"/>
      <c r="C270" s="92">
        <v>0</v>
      </c>
      <c r="D270" s="92">
        <v>0</v>
      </c>
    </row>
    <row r="271" spans="1:4" ht="16.5">
      <c r="A271" s="34" t="s">
        <v>924</v>
      </c>
      <c r="B271" s="101">
        <v>45200</v>
      </c>
      <c r="C271" s="119">
        <v>86.13</v>
      </c>
      <c r="D271" s="119">
        <v>57.93</v>
      </c>
    </row>
    <row r="272" spans="1:4" hidden="1">
      <c r="A272" s="23" t="s">
        <v>924</v>
      </c>
      <c r="B272" s="102"/>
      <c r="C272" s="92">
        <v>0</v>
      </c>
      <c r="D272" s="92">
        <v>0</v>
      </c>
    </row>
    <row r="273" spans="1:4" hidden="1">
      <c r="A273" s="23" t="s">
        <v>924</v>
      </c>
      <c r="B273" s="101"/>
      <c r="C273" s="119">
        <v>0</v>
      </c>
      <c r="D273" s="119">
        <v>0</v>
      </c>
    </row>
    <row r="274" spans="1:4" hidden="1">
      <c r="A274" s="23" t="s">
        <v>924</v>
      </c>
      <c r="B274" s="102"/>
      <c r="C274" s="92">
        <v>0</v>
      </c>
      <c r="D274" s="92">
        <v>0</v>
      </c>
    </row>
    <row r="275" spans="1:4">
      <c r="A275" s="23" t="s">
        <v>924</v>
      </c>
      <c r="B275" s="101">
        <v>45228</v>
      </c>
      <c r="C275" s="119">
        <v>87.47</v>
      </c>
      <c r="D275" s="119">
        <v>65.56</v>
      </c>
    </row>
    <row r="276" spans="1:4" hidden="1">
      <c r="A276" s="23" t="s">
        <v>924</v>
      </c>
      <c r="B276" s="102"/>
      <c r="C276" s="92">
        <v>0</v>
      </c>
      <c r="D276" s="92">
        <v>0</v>
      </c>
    </row>
    <row r="277" spans="1:4" hidden="1">
      <c r="A277" s="23" t="s">
        <v>924</v>
      </c>
      <c r="B277" s="101"/>
      <c r="C277" s="119">
        <v>0</v>
      </c>
      <c r="D277" s="119">
        <v>0</v>
      </c>
    </row>
    <row r="278" spans="1:4" hidden="1">
      <c r="A278" s="23" t="s">
        <v>924</v>
      </c>
      <c r="B278" s="102"/>
      <c r="C278" s="92">
        <v>0</v>
      </c>
      <c r="D278" s="92">
        <v>0</v>
      </c>
    </row>
    <row r="279" spans="1:4">
      <c r="A279" s="42" t="s">
        <v>1315</v>
      </c>
      <c r="B279" s="112">
        <v>45658</v>
      </c>
      <c r="C279" s="114">
        <v>86.471999999999994</v>
      </c>
      <c r="D279" s="114">
        <v>100</v>
      </c>
    </row>
    <row r="280" spans="1:4">
      <c r="A280" s="142" t="s">
        <v>1315</v>
      </c>
      <c r="B280" s="147">
        <v>45770</v>
      </c>
      <c r="C280" s="145">
        <v>87.93</v>
      </c>
      <c r="D280" s="145">
        <v>100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6665-DA13-4263-81DD-555940E25D57}">
  <dimension ref="A1:K42"/>
  <sheetViews>
    <sheetView topLeftCell="A7" workbookViewId="0">
      <selection activeCell="D37" sqref="D37"/>
    </sheetView>
  </sheetViews>
  <sheetFormatPr defaultRowHeight="15"/>
  <cols>
    <col min="1" max="1" width="9.140625" bestFit="1" customWidth="1"/>
    <col min="2" max="2" width="12.28515625" customWidth="1"/>
    <col min="3" max="3" width="18.85546875" customWidth="1"/>
    <col min="4" max="4" width="54.42578125" customWidth="1"/>
    <col min="5" max="5" width="15" customWidth="1"/>
    <col min="6" max="6" width="16" customWidth="1"/>
    <col min="7" max="7" width="24.28515625" customWidth="1"/>
    <col min="8" max="9" width="17.85546875" customWidth="1"/>
    <col min="10" max="10" width="43" customWidth="1"/>
    <col min="11" max="11" width="56.7109375" customWidth="1"/>
  </cols>
  <sheetData>
    <row r="1" spans="1:11">
      <c r="A1" s="6" t="s">
        <v>3449</v>
      </c>
      <c r="B1" s="6" t="s">
        <v>3450</v>
      </c>
      <c r="C1" s="6" t="s">
        <v>3451</v>
      </c>
      <c r="D1" s="6" t="s">
        <v>6</v>
      </c>
      <c r="E1" s="6" t="s">
        <v>33</v>
      </c>
      <c r="F1" s="6" t="s">
        <v>34</v>
      </c>
      <c r="G1" s="6" t="s">
        <v>3452</v>
      </c>
      <c r="H1" s="7" t="s">
        <v>3453</v>
      </c>
      <c r="I1" s="58" t="s">
        <v>3454</v>
      </c>
      <c r="J1" s="58" t="s">
        <v>3455</v>
      </c>
      <c r="K1" s="58" t="s">
        <v>3456</v>
      </c>
    </row>
    <row r="2" spans="1:11">
      <c r="A2" s="121">
        <v>1</v>
      </c>
      <c r="B2" s="135">
        <v>1322032</v>
      </c>
      <c r="C2" s="121" t="s">
        <v>3457</v>
      </c>
      <c r="D2" s="194" t="s">
        <v>714</v>
      </c>
      <c r="E2" s="195">
        <v>-0.95259625000000003</v>
      </c>
      <c r="F2" s="195">
        <v>116.71704453</v>
      </c>
      <c r="G2" s="122" t="s">
        <v>3458</v>
      </c>
      <c r="H2" s="123" t="s">
        <v>3459</v>
      </c>
      <c r="I2" s="123"/>
      <c r="J2" s="124"/>
      <c r="K2" s="72"/>
    </row>
    <row r="3" spans="1:11">
      <c r="A3" s="121">
        <v>2</v>
      </c>
      <c r="B3" s="135">
        <v>1320027</v>
      </c>
      <c r="C3" s="121" t="s">
        <v>3457</v>
      </c>
      <c r="D3" s="72" t="s">
        <v>167</v>
      </c>
      <c r="E3" s="195">
        <v>2.4262490300000001</v>
      </c>
      <c r="F3" s="195">
        <v>128.29766314</v>
      </c>
      <c r="G3" s="122" t="s">
        <v>3460</v>
      </c>
      <c r="H3" s="123" t="s">
        <v>3459</v>
      </c>
      <c r="I3" s="123"/>
      <c r="J3" s="124"/>
      <c r="K3" s="189"/>
    </row>
    <row r="4" spans="1:11">
      <c r="A4" s="121">
        <v>3</v>
      </c>
      <c r="B4" s="135">
        <v>1417059</v>
      </c>
      <c r="C4" s="121" t="s">
        <v>3457</v>
      </c>
      <c r="D4" s="125" t="s">
        <v>80</v>
      </c>
      <c r="E4" s="195">
        <v>-7.82225167</v>
      </c>
      <c r="F4" s="195">
        <v>113.29968319</v>
      </c>
      <c r="G4" s="122" t="s">
        <v>3461</v>
      </c>
      <c r="H4" s="123" t="s">
        <v>3459</v>
      </c>
      <c r="I4" s="123"/>
      <c r="J4" s="124"/>
      <c r="K4" s="72"/>
    </row>
    <row r="5" spans="1:11">
      <c r="A5" s="121">
        <v>4</v>
      </c>
      <c r="B5" s="135">
        <v>1322039</v>
      </c>
      <c r="C5" s="121" t="s">
        <v>3457</v>
      </c>
      <c r="D5" s="125" t="s">
        <v>924</v>
      </c>
      <c r="E5" s="195">
        <v>-3.2507851099999998</v>
      </c>
      <c r="F5" s="195">
        <v>134.87791156</v>
      </c>
      <c r="G5" s="122" t="s">
        <v>3462</v>
      </c>
      <c r="H5" s="123" t="s">
        <v>3459</v>
      </c>
      <c r="I5" s="123"/>
      <c r="J5" s="124"/>
      <c r="K5" s="72"/>
    </row>
    <row r="6" spans="1:11">
      <c r="A6" s="121">
        <v>5</v>
      </c>
      <c r="B6" s="135">
        <v>1316019</v>
      </c>
      <c r="C6" s="121" t="s">
        <v>3457</v>
      </c>
      <c r="D6" s="196" t="s">
        <v>39</v>
      </c>
      <c r="E6" s="195">
        <v>-6.8067546400000003</v>
      </c>
      <c r="F6" s="195">
        <v>106.785366</v>
      </c>
      <c r="G6" s="122" t="s">
        <v>3463</v>
      </c>
      <c r="H6" s="123" t="s">
        <v>3459</v>
      </c>
      <c r="I6" s="123"/>
      <c r="J6" s="124"/>
      <c r="K6" s="72"/>
    </row>
    <row r="7" spans="1:11" ht="16.5">
      <c r="A7" s="121">
        <v>6</v>
      </c>
      <c r="B7" s="135">
        <v>1321025</v>
      </c>
      <c r="C7" s="121" t="s">
        <v>3457</v>
      </c>
      <c r="D7" s="197" t="s">
        <v>48</v>
      </c>
      <c r="E7" s="195">
        <v>3.7604757499999999</v>
      </c>
      <c r="F7" s="195">
        <v>115.89977678</v>
      </c>
      <c r="G7" s="122" t="s">
        <v>3464</v>
      </c>
      <c r="H7" s="123" t="s">
        <v>3459</v>
      </c>
      <c r="I7" s="123"/>
      <c r="J7" s="124"/>
      <c r="K7" s="188"/>
    </row>
    <row r="8" spans="1:11">
      <c r="A8" s="121">
        <v>7</v>
      </c>
      <c r="B8" s="135">
        <v>1317039</v>
      </c>
      <c r="C8" s="121" t="s">
        <v>3457</v>
      </c>
      <c r="D8" s="72" t="s">
        <v>52</v>
      </c>
      <c r="E8" s="195">
        <v>-6.13491053</v>
      </c>
      <c r="F8" s="195">
        <v>106.93675986</v>
      </c>
      <c r="G8" s="122" t="s">
        <v>3465</v>
      </c>
      <c r="H8" s="123" t="s">
        <v>3459</v>
      </c>
      <c r="I8" s="123"/>
      <c r="J8" s="124"/>
      <c r="K8" s="72"/>
    </row>
    <row r="9" spans="1:11">
      <c r="A9" s="121">
        <v>8</v>
      </c>
      <c r="B9" s="135">
        <v>1322008</v>
      </c>
      <c r="C9" s="121" t="s">
        <v>3457</v>
      </c>
      <c r="D9" s="198" t="s">
        <v>76</v>
      </c>
      <c r="E9" s="195">
        <v>-2.9529310299999998</v>
      </c>
      <c r="F9" s="195">
        <v>104.75455094</v>
      </c>
      <c r="G9" s="122" t="s">
        <v>3466</v>
      </c>
      <c r="H9" s="123" t="s">
        <v>3459</v>
      </c>
      <c r="I9" s="123"/>
      <c r="J9" s="124"/>
      <c r="K9" s="189"/>
    </row>
    <row r="10" spans="1:11">
      <c r="A10" s="121">
        <v>9</v>
      </c>
      <c r="B10" s="136">
        <v>1320031</v>
      </c>
      <c r="C10" s="121" t="s">
        <v>3457</v>
      </c>
      <c r="D10" s="196" t="s">
        <v>717</v>
      </c>
      <c r="E10" s="195">
        <v>3.7627105599999999</v>
      </c>
      <c r="F10" s="195">
        <v>115.88262689</v>
      </c>
      <c r="G10" s="122" t="s">
        <v>3467</v>
      </c>
      <c r="H10" s="123" t="s">
        <v>3459</v>
      </c>
      <c r="I10" s="123"/>
      <c r="J10" s="124"/>
      <c r="K10" s="72"/>
    </row>
    <row r="11" spans="1:11">
      <c r="A11" s="121">
        <v>10</v>
      </c>
      <c r="B11" s="137">
        <v>1321047</v>
      </c>
      <c r="C11" s="121" t="s">
        <v>3457</v>
      </c>
      <c r="D11" s="72" t="s">
        <v>58</v>
      </c>
      <c r="E11" s="195">
        <v>-6.1296755799999998</v>
      </c>
      <c r="F11" s="195">
        <v>107.07321308</v>
      </c>
      <c r="G11" s="122" t="s">
        <v>3468</v>
      </c>
      <c r="H11" s="123" t="s">
        <v>3469</v>
      </c>
      <c r="I11" s="123"/>
      <c r="J11" s="124"/>
      <c r="K11" s="72"/>
    </row>
    <row r="12" spans="1:11">
      <c r="A12" s="121">
        <v>11</v>
      </c>
      <c r="B12" s="137">
        <v>1316022</v>
      </c>
      <c r="C12" s="121" t="s">
        <v>3457</v>
      </c>
      <c r="D12" s="196" t="s">
        <v>65</v>
      </c>
      <c r="E12" s="195">
        <v>-6.3500801100000004</v>
      </c>
      <c r="F12" s="195">
        <v>107.02324233</v>
      </c>
      <c r="G12" s="122" t="s">
        <v>3470</v>
      </c>
      <c r="H12" s="123" t="s">
        <v>3459</v>
      </c>
      <c r="I12" s="123"/>
      <c r="J12" s="124"/>
      <c r="K12" s="72"/>
    </row>
    <row r="13" spans="1:11">
      <c r="A13" s="121">
        <v>12</v>
      </c>
      <c r="B13" s="137">
        <v>1323026</v>
      </c>
      <c r="C13" s="121" t="s">
        <v>3457</v>
      </c>
      <c r="D13" s="128" t="s">
        <v>989</v>
      </c>
      <c r="E13" s="195">
        <v>-1.9839926999999999</v>
      </c>
      <c r="F13" s="195">
        <v>103.7135193</v>
      </c>
      <c r="G13" s="122" t="s">
        <v>3471</v>
      </c>
      <c r="H13" s="123" t="s">
        <v>3459</v>
      </c>
      <c r="I13" s="123"/>
      <c r="J13" s="124"/>
      <c r="K13" s="72"/>
    </row>
    <row r="14" spans="1:11">
      <c r="A14" s="121">
        <v>13</v>
      </c>
      <c r="B14" s="137">
        <v>1319006</v>
      </c>
      <c r="C14" s="121" t="s">
        <v>3457</v>
      </c>
      <c r="D14" s="196" t="s">
        <v>55</v>
      </c>
      <c r="E14" s="195">
        <v>-6.4287346400000001</v>
      </c>
      <c r="F14" s="195">
        <v>107.19897003</v>
      </c>
      <c r="G14" s="122" t="s">
        <v>3472</v>
      </c>
      <c r="H14" s="123" t="s">
        <v>3473</v>
      </c>
      <c r="I14" s="123"/>
      <c r="J14" s="124"/>
      <c r="K14" s="72"/>
    </row>
    <row r="15" spans="1:11">
      <c r="A15" s="121">
        <v>14</v>
      </c>
      <c r="B15" s="137">
        <v>1322007</v>
      </c>
      <c r="C15" s="121" t="s">
        <v>3457</v>
      </c>
      <c r="D15" s="196" t="s">
        <v>472</v>
      </c>
      <c r="E15" s="195">
        <v>-8.2939497800000002</v>
      </c>
      <c r="F15" s="195">
        <v>112.00545006</v>
      </c>
      <c r="G15" s="122" t="s">
        <v>3474</v>
      </c>
      <c r="H15" s="123" t="s">
        <v>3459</v>
      </c>
      <c r="I15" s="123"/>
      <c r="J15" s="124"/>
      <c r="K15" s="72"/>
    </row>
    <row r="16" spans="1:11">
      <c r="A16" s="121">
        <v>15</v>
      </c>
      <c r="B16" s="138">
        <v>1324003</v>
      </c>
      <c r="C16" s="121" t="s">
        <v>3457</v>
      </c>
      <c r="D16" s="121" t="s">
        <v>3475</v>
      </c>
      <c r="E16" s="195">
        <v>-6.5195153359000004</v>
      </c>
      <c r="F16" s="195">
        <v>105.8009717668</v>
      </c>
      <c r="G16" s="122" t="s">
        <v>3476</v>
      </c>
      <c r="H16" s="123" t="s">
        <v>3473</v>
      </c>
      <c r="I16" s="123"/>
      <c r="J16" s="124"/>
      <c r="K16" s="72"/>
    </row>
    <row r="17" spans="1:11">
      <c r="A17" s="121">
        <v>16</v>
      </c>
      <c r="B17" s="137">
        <v>1324004</v>
      </c>
      <c r="C17" s="121" t="s">
        <v>3457</v>
      </c>
      <c r="D17" s="125" t="s">
        <v>2601</v>
      </c>
      <c r="E17" s="195">
        <v>-1.1373190651</v>
      </c>
      <c r="F17" s="195">
        <v>116.7902055238</v>
      </c>
      <c r="G17" s="122" t="s">
        <v>3477</v>
      </c>
      <c r="H17" s="123" t="s">
        <v>3459</v>
      </c>
      <c r="I17" s="123"/>
      <c r="J17" s="124"/>
      <c r="K17" s="72"/>
    </row>
    <row r="18" spans="1:11">
      <c r="A18" s="121">
        <v>17</v>
      </c>
      <c r="B18" s="137">
        <v>1322033</v>
      </c>
      <c r="C18" s="121" t="s">
        <v>3457</v>
      </c>
      <c r="D18" s="72" t="s">
        <v>750</v>
      </c>
      <c r="E18" s="195">
        <v>-1.1041534120000001</v>
      </c>
      <c r="F18" s="195">
        <v>116.73424356</v>
      </c>
      <c r="G18" s="122" t="s">
        <v>3478</v>
      </c>
      <c r="H18" s="123" t="s">
        <v>3459</v>
      </c>
      <c r="I18" s="123"/>
      <c r="J18" s="124"/>
      <c r="K18" s="126" t="s">
        <v>3479</v>
      </c>
    </row>
    <row r="19" spans="1:11">
      <c r="A19" s="121">
        <v>18</v>
      </c>
      <c r="B19" s="137">
        <v>1322024</v>
      </c>
      <c r="C19" s="121" t="s">
        <v>3457</v>
      </c>
      <c r="D19" s="121" t="s">
        <v>735</v>
      </c>
      <c r="E19" s="195">
        <v>-0.88562397000000004</v>
      </c>
      <c r="F19" s="195">
        <v>119.85928375</v>
      </c>
      <c r="G19" s="122" t="s">
        <v>3480</v>
      </c>
      <c r="H19" s="123" t="s">
        <v>3459</v>
      </c>
      <c r="I19" s="123"/>
      <c r="J19" s="124"/>
      <c r="K19" s="72"/>
    </row>
    <row r="20" spans="1:11">
      <c r="A20" s="121">
        <v>19</v>
      </c>
      <c r="B20" s="137">
        <v>1323023</v>
      </c>
      <c r="C20" s="121" t="s">
        <v>3457</v>
      </c>
      <c r="D20" s="198" t="s">
        <v>1472</v>
      </c>
      <c r="E20" s="195">
        <v>-0.96849430000000003</v>
      </c>
      <c r="F20" s="195">
        <v>116.7018841</v>
      </c>
      <c r="G20" s="122" t="s">
        <v>3481</v>
      </c>
      <c r="H20" s="123" t="s">
        <v>3459</v>
      </c>
      <c r="I20" s="123"/>
      <c r="J20" s="124"/>
      <c r="K20" s="72"/>
    </row>
    <row r="21" spans="1:11">
      <c r="A21" s="121">
        <v>20</v>
      </c>
      <c r="B21" s="137">
        <v>1323043</v>
      </c>
      <c r="C21" s="121" t="s">
        <v>3457</v>
      </c>
      <c r="D21" s="125" t="s">
        <v>2300</v>
      </c>
      <c r="E21" s="195">
        <v>-6.92723742</v>
      </c>
      <c r="F21" s="195">
        <v>109.95182730000001</v>
      </c>
      <c r="G21" s="122" t="s">
        <v>3482</v>
      </c>
      <c r="H21" s="123" t="s">
        <v>3459</v>
      </c>
      <c r="I21" s="123"/>
      <c r="J21" s="124"/>
      <c r="K21" s="72"/>
    </row>
    <row r="22" spans="1:11">
      <c r="A22" s="121">
        <v>21</v>
      </c>
      <c r="B22" s="137">
        <v>1324008</v>
      </c>
      <c r="C22" s="121" t="s">
        <v>3457</v>
      </c>
      <c r="D22" s="199" t="s">
        <v>2663</v>
      </c>
      <c r="E22" s="195">
        <v>-1.15205556</v>
      </c>
      <c r="F22" s="195">
        <v>116.69316667</v>
      </c>
      <c r="G22" s="122" t="s">
        <v>3483</v>
      </c>
      <c r="H22" s="123" t="s">
        <v>3459</v>
      </c>
      <c r="I22" s="123"/>
      <c r="J22" s="124"/>
      <c r="K22" s="188"/>
    </row>
    <row r="23" spans="1:11">
      <c r="A23" s="121">
        <v>22</v>
      </c>
      <c r="B23" s="138">
        <v>1319010</v>
      </c>
      <c r="C23" s="121" t="s">
        <v>3457</v>
      </c>
      <c r="D23" s="72" t="s">
        <v>159</v>
      </c>
      <c r="E23" s="195">
        <v>-6.250111111111111</v>
      </c>
      <c r="F23" s="195">
        <v>106.99919444444444</v>
      </c>
      <c r="G23" s="122" t="s">
        <v>3484</v>
      </c>
      <c r="H23" s="123" t="s">
        <v>3459</v>
      </c>
      <c r="I23" s="123"/>
      <c r="J23" s="124"/>
      <c r="K23" s="72"/>
    </row>
    <row r="24" spans="1:11">
      <c r="A24" s="121">
        <v>23</v>
      </c>
      <c r="B24" s="137">
        <v>1323007</v>
      </c>
      <c r="C24" s="121" t="s">
        <v>3457</v>
      </c>
      <c r="D24" s="125" t="s">
        <v>1480</v>
      </c>
      <c r="E24" s="195">
        <v>-6.2319126000000002</v>
      </c>
      <c r="F24" s="195">
        <v>107.9081348</v>
      </c>
      <c r="G24" s="122" t="s">
        <v>3485</v>
      </c>
      <c r="H24" s="123" t="s">
        <v>3473</v>
      </c>
      <c r="I24" s="123"/>
      <c r="J24" s="124"/>
      <c r="K24" s="72"/>
    </row>
    <row r="25" spans="1:11">
      <c r="A25" s="121">
        <v>24</v>
      </c>
      <c r="B25" s="137">
        <v>1323045</v>
      </c>
      <c r="C25" s="121" t="s">
        <v>3457</v>
      </c>
      <c r="D25" s="72" t="s">
        <v>2290</v>
      </c>
      <c r="E25" s="195">
        <v>-0.99046214300000002</v>
      </c>
      <c r="F25" s="195">
        <v>116.6902476266</v>
      </c>
      <c r="G25" s="122" t="s">
        <v>3486</v>
      </c>
      <c r="H25" s="123" t="s">
        <v>3459</v>
      </c>
      <c r="I25" s="123"/>
      <c r="J25" s="124"/>
      <c r="K25" s="72"/>
    </row>
    <row r="26" spans="1:11">
      <c r="A26" s="121">
        <v>25</v>
      </c>
      <c r="B26" s="137">
        <v>1323019</v>
      </c>
      <c r="C26" s="121" t="s">
        <v>3457</v>
      </c>
      <c r="D26" s="121" t="s">
        <v>1315</v>
      </c>
      <c r="E26" s="195">
        <v>-6.4209386000000004</v>
      </c>
      <c r="F26" s="195">
        <v>107.1876007</v>
      </c>
      <c r="G26" s="122" t="s">
        <v>3487</v>
      </c>
      <c r="H26" s="123" t="s">
        <v>3459</v>
      </c>
      <c r="I26" s="123"/>
      <c r="J26" s="124"/>
      <c r="K26" s="72"/>
    </row>
    <row r="27" spans="1:11">
      <c r="A27" s="121">
        <v>26</v>
      </c>
      <c r="B27" s="137">
        <v>1323020</v>
      </c>
      <c r="C27" s="121" t="s">
        <v>3457</v>
      </c>
      <c r="D27" s="200" t="s">
        <v>1317</v>
      </c>
      <c r="E27" s="195">
        <v>-7.7264768999999998</v>
      </c>
      <c r="F27" s="195">
        <v>113.6351532</v>
      </c>
      <c r="G27" s="122" t="s">
        <v>3488</v>
      </c>
      <c r="H27" s="123" t="s">
        <v>3473</v>
      </c>
      <c r="I27" s="123"/>
      <c r="J27" s="127" t="s">
        <v>3489</v>
      </c>
      <c r="K27" s="72"/>
    </row>
    <row r="28" spans="1:11">
      <c r="A28" s="121">
        <v>27</v>
      </c>
      <c r="B28" s="137">
        <v>1323025</v>
      </c>
      <c r="C28" s="121" t="s">
        <v>3457</v>
      </c>
      <c r="D28" s="199" t="s">
        <v>1484</v>
      </c>
      <c r="E28" s="195">
        <v>-8.010033</v>
      </c>
      <c r="F28" s="195">
        <v>110.333129</v>
      </c>
      <c r="G28" s="122" t="s">
        <v>3490</v>
      </c>
      <c r="H28" s="123" t="s">
        <v>3473</v>
      </c>
      <c r="I28" s="123"/>
      <c r="J28" s="124"/>
      <c r="K28" s="72"/>
    </row>
    <row r="29" spans="1:11">
      <c r="A29" s="121">
        <v>28</v>
      </c>
      <c r="B29" s="137">
        <v>1323039</v>
      </c>
      <c r="C29" s="121" t="s">
        <v>3457</v>
      </c>
      <c r="D29" s="72" t="s">
        <v>2484</v>
      </c>
      <c r="E29" s="195">
        <v>-8.3096189999999996</v>
      </c>
      <c r="F29" s="195">
        <v>112.11100999999999</v>
      </c>
      <c r="G29" s="122" t="s">
        <v>3491</v>
      </c>
      <c r="H29" s="123" t="s">
        <v>3473</v>
      </c>
      <c r="I29" s="123"/>
      <c r="J29" s="124"/>
      <c r="K29" s="72"/>
    </row>
    <row r="30" spans="1:11">
      <c r="A30" s="121">
        <v>29</v>
      </c>
      <c r="B30" s="137">
        <v>1323042</v>
      </c>
      <c r="C30" s="121" t="s">
        <v>3457</v>
      </c>
      <c r="D30" s="121" t="s">
        <v>2267</v>
      </c>
      <c r="E30" s="190">
        <v>-6.8812050212999996</v>
      </c>
      <c r="F30" s="190">
        <v>106.7893827682</v>
      </c>
      <c r="G30" s="134" t="s">
        <v>3492</v>
      </c>
      <c r="H30" s="131" t="s">
        <v>3473</v>
      </c>
      <c r="I30" s="131"/>
      <c r="J30" s="124"/>
      <c r="K30" s="126" t="s">
        <v>3493</v>
      </c>
    </row>
    <row r="31" spans="1:11">
      <c r="A31" s="129">
        <v>30</v>
      </c>
      <c r="B31" s="137">
        <v>1324001</v>
      </c>
      <c r="C31" s="121" t="s">
        <v>3457</v>
      </c>
      <c r="D31" s="201" t="s">
        <v>2336</v>
      </c>
      <c r="E31" s="202">
        <v>-6.3353330000000003</v>
      </c>
      <c r="F31" s="202">
        <v>107.775761</v>
      </c>
      <c r="G31" s="122" t="s">
        <v>3494</v>
      </c>
      <c r="H31" s="123" t="s">
        <v>3473</v>
      </c>
      <c r="I31" s="131"/>
      <c r="J31" s="130"/>
      <c r="K31" s="72"/>
    </row>
    <row r="32" spans="1:11">
      <c r="A32" s="129">
        <v>31</v>
      </c>
      <c r="B32" s="138">
        <v>1322002</v>
      </c>
      <c r="C32" s="129" t="s">
        <v>3457</v>
      </c>
      <c r="D32" s="203" t="s">
        <v>86</v>
      </c>
      <c r="E32" s="190">
        <v>-8.8056483997835002</v>
      </c>
      <c r="F32" s="190">
        <v>115.22342887826692</v>
      </c>
      <c r="G32" s="122" t="s">
        <v>3495</v>
      </c>
      <c r="H32" s="123" t="s">
        <v>3459</v>
      </c>
      <c r="I32" s="131"/>
      <c r="J32" s="130"/>
      <c r="K32" s="72"/>
    </row>
    <row r="33" spans="1:11">
      <c r="A33" s="72">
        <v>31</v>
      </c>
      <c r="B33" s="137">
        <v>1325012</v>
      </c>
      <c r="C33" s="129" t="s">
        <v>3457</v>
      </c>
      <c r="D33" s="187" t="s">
        <v>3199</v>
      </c>
      <c r="E33" s="195">
        <v>-1.0121252000000001</v>
      </c>
      <c r="F33" s="195">
        <v>116.6635897</v>
      </c>
      <c r="G33" s="122" t="str">
        <f>CONCATENATE(Table3[[#This Row],[Lat]],",",Table3[[#This Row],[Long]])</f>
        <v>-1.0121252,116.6635897</v>
      </c>
      <c r="H33" s="131" t="s">
        <v>3473</v>
      </c>
      <c r="I33" s="131"/>
      <c r="J33" s="130"/>
      <c r="K33" s="72"/>
    </row>
    <row r="34" spans="1:11">
      <c r="A34" s="72">
        <v>32</v>
      </c>
      <c r="B34" s="138">
        <v>1324010</v>
      </c>
      <c r="C34" s="129" t="s">
        <v>3457</v>
      </c>
      <c r="D34" s="129" t="s">
        <v>2734</v>
      </c>
      <c r="E34" s="190">
        <v>-6.8812050212999996</v>
      </c>
      <c r="F34" s="190">
        <v>106.7893827682</v>
      </c>
      <c r="G34" s="122" t="str">
        <f>CONCATENATE(Table3[[#This Row],[Lat]],",",Table3[[#This Row],[Long]])</f>
        <v>-6.8812050213,106.7893827682</v>
      </c>
      <c r="H34" s="131" t="s">
        <v>3473</v>
      </c>
      <c r="I34" s="131"/>
      <c r="J34" s="130"/>
      <c r="K34" s="72"/>
    </row>
    <row r="35" spans="1:11">
      <c r="A35" s="72">
        <v>33</v>
      </c>
      <c r="B35" s="138">
        <v>1326001</v>
      </c>
      <c r="C35" s="129" t="s">
        <v>3457</v>
      </c>
      <c r="D35" s="72" t="s">
        <v>3496</v>
      </c>
      <c r="E35" s="190">
        <v>-3.4713780000000001</v>
      </c>
      <c r="F35" s="190">
        <v>116.028586</v>
      </c>
      <c r="G35" s="122" t="str">
        <f>CONCATENATE(Table3[[#This Row],[Lat]],",",Table3[[#This Row],[Long]])</f>
        <v>-3.471378,116.028586</v>
      </c>
      <c r="H35" s="131" t="s">
        <v>3473</v>
      </c>
      <c r="I35" s="131"/>
      <c r="J35" s="130"/>
      <c r="K35" s="72"/>
    </row>
    <row r="36" spans="1:11">
      <c r="A36" s="72">
        <v>34</v>
      </c>
      <c r="B36" s="138"/>
      <c r="C36" s="129" t="s">
        <v>3457</v>
      </c>
      <c r="D36" s="72" t="s">
        <v>3497</v>
      </c>
      <c r="E36" s="190">
        <v>-8.1998580000000008</v>
      </c>
      <c r="F36" s="190">
        <v>115.14230000000001</v>
      </c>
      <c r="G36" s="122" t="str">
        <f>CONCATENATE(Table3[[#This Row],[Lat]],",",Table3[[#This Row],[Long]])</f>
        <v>-8.199858,115.1423</v>
      </c>
      <c r="H36" s="130" t="s">
        <v>3473</v>
      </c>
      <c r="I36" s="131"/>
      <c r="J36" s="130"/>
      <c r="K36" s="72"/>
    </row>
    <row r="37" spans="1:11">
      <c r="A37" s="72">
        <v>35</v>
      </c>
      <c r="B37" s="138"/>
      <c r="C37" s="129" t="s">
        <v>3457</v>
      </c>
      <c r="D37" s="72" t="s">
        <v>3498</v>
      </c>
      <c r="E37" s="190">
        <v>-0.96422300000000005</v>
      </c>
      <c r="F37" s="190">
        <v>116.698095</v>
      </c>
      <c r="G37" s="122" t="str">
        <f>CONCATENATE(Table3[[#This Row],[Lat]],",",Table3[[#This Row],[Long]])</f>
        <v>-0.964223,116.698095</v>
      </c>
      <c r="H37" s="130" t="s">
        <v>3473</v>
      </c>
      <c r="I37" s="131"/>
      <c r="J37" s="130"/>
      <c r="K37" s="72"/>
    </row>
    <row r="39" spans="1:11">
      <c r="E39" s="192"/>
    </row>
    <row r="40" spans="1:11">
      <c r="E40" s="191"/>
    </row>
    <row r="42" spans="1:11">
      <c r="E42" s="191"/>
    </row>
  </sheetData>
  <sortState xmlns:xlrd2="http://schemas.microsoft.com/office/spreadsheetml/2017/richdata2" ref="A2:J30">
    <sortCondition ref="A2:A30"/>
  </sortState>
  <hyperlinks>
    <hyperlink ref="J27" r:id="rId1" xr:uid="{5AD6664E-4ED8-473E-AF51-382ADA944A56}"/>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A2FF-3993-4B8A-95B5-B3A9AE9DEE44}">
  <dimension ref="A1:E28"/>
  <sheetViews>
    <sheetView workbookViewId="0">
      <selection activeCell="E28" sqref="E28"/>
    </sheetView>
  </sheetViews>
  <sheetFormatPr defaultRowHeight="15"/>
  <cols>
    <col min="1" max="1" width="58.5703125" customWidth="1"/>
    <col min="2" max="2" width="23.42578125" customWidth="1"/>
    <col min="4" max="4" width="17.85546875" customWidth="1"/>
    <col min="5" max="5" width="18.140625" customWidth="1"/>
  </cols>
  <sheetData>
    <row r="1" spans="1:5">
      <c r="A1" t="s">
        <v>3499</v>
      </c>
      <c r="B1" s="49" t="s">
        <v>3472</v>
      </c>
      <c r="C1" t="s">
        <v>3473</v>
      </c>
      <c r="D1">
        <v>-6.4287346400000001</v>
      </c>
      <c r="E1">
        <v>107.19897003</v>
      </c>
    </row>
    <row r="2" spans="1:5">
      <c r="A2" t="s">
        <v>39</v>
      </c>
      <c r="B2" s="49" t="s">
        <v>3463</v>
      </c>
      <c r="C2" t="s">
        <v>3459</v>
      </c>
      <c r="D2">
        <v>-6.8067546400000003</v>
      </c>
      <c r="E2">
        <v>106.785366</v>
      </c>
    </row>
    <row r="3" spans="1:5">
      <c r="A3" t="s">
        <v>3500</v>
      </c>
      <c r="B3" s="49" t="s">
        <v>3470</v>
      </c>
      <c r="C3" t="s">
        <v>3459</v>
      </c>
      <c r="D3">
        <v>-6.3500801100000004</v>
      </c>
      <c r="E3">
        <v>107.02324233</v>
      </c>
    </row>
    <row r="4" spans="1:5">
      <c r="A4" t="s">
        <v>52</v>
      </c>
      <c r="B4" s="49" t="s">
        <v>3465</v>
      </c>
      <c r="C4" t="s">
        <v>3459</v>
      </c>
      <c r="D4">
        <v>-6.13491053</v>
      </c>
      <c r="E4">
        <v>106.93675986</v>
      </c>
    </row>
    <row r="5" spans="1:5">
      <c r="A5" t="s">
        <v>80</v>
      </c>
      <c r="B5" s="49" t="s">
        <v>3461</v>
      </c>
      <c r="C5" t="s">
        <v>3459</v>
      </c>
      <c r="D5">
        <v>-7.82225167</v>
      </c>
      <c r="E5">
        <v>113.29968319</v>
      </c>
    </row>
    <row r="6" spans="1:5">
      <c r="A6" t="s">
        <v>167</v>
      </c>
      <c r="B6" s="49" t="s">
        <v>3501</v>
      </c>
      <c r="C6" t="s">
        <v>3459</v>
      </c>
      <c r="D6">
        <v>2.4262490300000001</v>
      </c>
      <c r="E6">
        <v>128.29766314</v>
      </c>
    </row>
    <row r="7" spans="1:5">
      <c r="A7" t="s">
        <v>717</v>
      </c>
      <c r="B7" s="49" t="s">
        <v>3467</v>
      </c>
      <c r="C7" t="s">
        <v>3459</v>
      </c>
      <c r="D7">
        <v>3.7627105599999999</v>
      </c>
      <c r="E7">
        <v>115.88262689</v>
      </c>
    </row>
    <row r="8" spans="1:5">
      <c r="A8" t="s">
        <v>3502</v>
      </c>
      <c r="B8" s="49" t="s">
        <v>3474</v>
      </c>
      <c r="C8" t="s">
        <v>3459</v>
      </c>
      <c r="D8">
        <v>-8.2939497800000002</v>
      </c>
      <c r="E8">
        <v>112.00545006</v>
      </c>
    </row>
    <row r="9" spans="1:5">
      <c r="A9" t="s">
        <v>58</v>
      </c>
      <c r="B9" s="49" t="s">
        <v>3468</v>
      </c>
      <c r="C9" t="s">
        <v>3469</v>
      </c>
      <c r="D9">
        <v>-6.1296755799999998</v>
      </c>
      <c r="E9">
        <v>107.07321308</v>
      </c>
    </row>
    <row r="10" spans="1:5">
      <c r="A10" t="s">
        <v>3503</v>
      </c>
      <c r="B10" s="49" t="s">
        <v>3466</v>
      </c>
      <c r="C10" t="s">
        <v>3459</v>
      </c>
      <c r="D10">
        <v>-2.9529310299999998</v>
      </c>
      <c r="E10">
        <v>104.75455094</v>
      </c>
    </row>
    <row r="11" spans="1:5">
      <c r="A11" t="s">
        <v>735</v>
      </c>
      <c r="B11" s="49" t="s">
        <v>3480</v>
      </c>
      <c r="C11" t="s">
        <v>3459</v>
      </c>
      <c r="D11">
        <v>-0.88562397000000004</v>
      </c>
      <c r="E11">
        <v>119.85928375</v>
      </c>
    </row>
    <row r="12" spans="1:5">
      <c r="A12" t="s">
        <v>3504</v>
      </c>
      <c r="B12" s="49" t="s">
        <v>3505</v>
      </c>
      <c r="C12" t="s">
        <v>3459</v>
      </c>
      <c r="D12">
        <v>-1.1041534120000001</v>
      </c>
      <c r="E12">
        <v>116.73424356</v>
      </c>
    </row>
    <row r="13" spans="1:5">
      <c r="A13" t="s">
        <v>3506</v>
      </c>
      <c r="B13" s="49" t="s">
        <v>3458</v>
      </c>
      <c r="C13" t="s">
        <v>3459</v>
      </c>
      <c r="D13">
        <v>-0.95259625000000003</v>
      </c>
      <c r="E13">
        <v>116.71704453</v>
      </c>
    </row>
    <row r="14" spans="1:5">
      <c r="A14" t="s">
        <v>3507</v>
      </c>
      <c r="B14" s="49" t="s">
        <v>3462</v>
      </c>
      <c r="C14" t="s">
        <v>3459</v>
      </c>
      <c r="D14">
        <v>-3.2507851099999998</v>
      </c>
      <c r="E14">
        <v>134.87791156</v>
      </c>
    </row>
    <row r="15" spans="1:5">
      <c r="A15" t="s">
        <v>1480</v>
      </c>
      <c r="B15" s="49" t="s">
        <v>3508</v>
      </c>
      <c r="C15" t="s">
        <v>3473</v>
      </c>
      <c r="D15">
        <v>-6.2319126000000002</v>
      </c>
      <c r="E15">
        <v>107.9081348</v>
      </c>
    </row>
    <row r="16" spans="1:5">
      <c r="A16" t="s">
        <v>1317</v>
      </c>
      <c r="B16" s="49" t="s">
        <v>3509</v>
      </c>
      <c r="C16" t="s">
        <v>3473</v>
      </c>
      <c r="D16">
        <v>-7.7264768999999998</v>
      </c>
      <c r="E16">
        <v>113.6351532</v>
      </c>
    </row>
    <row r="17" spans="1:5">
      <c r="A17" t="s">
        <v>3510</v>
      </c>
      <c r="B17" s="49" t="s">
        <v>3511</v>
      </c>
      <c r="C17" t="s">
        <v>3459</v>
      </c>
      <c r="D17">
        <v>-1.9839926999999999</v>
      </c>
      <c r="E17">
        <v>103.7135193</v>
      </c>
    </row>
    <row r="18" spans="1:5">
      <c r="A18" t="s">
        <v>1484</v>
      </c>
      <c r="B18" s="49" t="s">
        <v>3512</v>
      </c>
      <c r="C18" t="s">
        <v>3473</v>
      </c>
      <c r="D18">
        <v>-8.010033</v>
      </c>
      <c r="E18">
        <v>110.333129</v>
      </c>
    </row>
    <row r="19" spans="1:5">
      <c r="A19" t="s">
        <v>1315</v>
      </c>
      <c r="B19" s="49" t="s">
        <v>3513</v>
      </c>
      <c r="C19" t="s">
        <v>3459</v>
      </c>
      <c r="D19">
        <v>-6.4209386000000004</v>
      </c>
      <c r="E19">
        <v>107.1876007</v>
      </c>
    </row>
    <row r="20" spans="1:5">
      <c r="A20" t="s">
        <v>1472</v>
      </c>
      <c r="B20" s="49" t="s">
        <v>3514</v>
      </c>
      <c r="C20" t="s">
        <v>3459</v>
      </c>
      <c r="D20">
        <v>-0.96849430000000003</v>
      </c>
      <c r="E20">
        <v>116.7018841</v>
      </c>
    </row>
    <row r="21" spans="1:5">
      <c r="A21" t="s">
        <v>3515</v>
      </c>
      <c r="B21" s="49" t="s">
        <v>3516</v>
      </c>
      <c r="C21" t="s">
        <v>3459</v>
      </c>
      <c r="D21">
        <v>-6.92723742</v>
      </c>
      <c r="E21">
        <v>109.95182730000001</v>
      </c>
    </row>
    <row r="22" spans="1:5">
      <c r="A22" t="s">
        <v>3517</v>
      </c>
      <c r="B22" s="49" t="s">
        <v>3518</v>
      </c>
      <c r="C22" t="s">
        <v>3473</v>
      </c>
      <c r="D22">
        <v>-6.3353330000000003</v>
      </c>
      <c r="E22">
        <v>107.775761</v>
      </c>
    </row>
    <row r="23" spans="1:5">
      <c r="A23" t="s">
        <v>3519</v>
      </c>
      <c r="B23" s="49" t="s">
        <v>3520</v>
      </c>
      <c r="C23" t="s">
        <v>3473</v>
      </c>
      <c r="D23">
        <v>-8.3096189999999996</v>
      </c>
      <c r="E23">
        <v>112.11100999999999</v>
      </c>
    </row>
    <row r="24" spans="1:5">
      <c r="A24" t="s">
        <v>3521</v>
      </c>
      <c r="B24" s="49" t="s">
        <v>3522</v>
      </c>
      <c r="C24" t="s">
        <v>3459</v>
      </c>
      <c r="D24">
        <v>-0.99046214300000002</v>
      </c>
      <c r="E24">
        <v>116.6902476266</v>
      </c>
    </row>
    <row r="25" spans="1:5">
      <c r="A25" t="s">
        <v>3523</v>
      </c>
      <c r="B25" s="49" t="s">
        <v>3524</v>
      </c>
      <c r="C25" t="s">
        <v>3473</v>
      </c>
      <c r="D25">
        <v>-6.8812050212999996</v>
      </c>
      <c r="E25">
        <v>106.7893827682</v>
      </c>
    </row>
    <row r="26" spans="1:5">
      <c r="A26" t="s">
        <v>3475</v>
      </c>
      <c r="B26" s="49" t="s">
        <v>3525</v>
      </c>
      <c r="C26" t="s">
        <v>3473</v>
      </c>
      <c r="D26">
        <v>-6.5195153359000004</v>
      </c>
      <c r="E26">
        <v>105.8009717668</v>
      </c>
    </row>
    <row r="27" spans="1:5">
      <c r="A27" t="s">
        <v>2601</v>
      </c>
      <c r="B27" s="49" t="s">
        <v>3526</v>
      </c>
      <c r="C27" t="s">
        <v>3473</v>
      </c>
      <c r="D27">
        <v>-1.1373190651</v>
      </c>
      <c r="E27">
        <v>116.7902055238</v>
      </c>
    </row>
    <row r="28" spans="1:5">
      <c r="A28" s="158" t="s">
        <v>3199</v>
      </c>
      <c r="B28" s="159" t="s">
        <v>3527</v>
      </c>
      <c r="C28" t="s">
        <v>3473</v>
      </c>
      <c r="D28" s="122">
        <v>-1.0121252000000001</v>
      </c>
      <c r="E28" s="122">
        <v>116.6635897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B95E5-197F-499C-AB56-0FDE95CFECA4}">
  <dimension ref="A1:A13"/>
  <sheetViews>
    <sheetView workbookViewId="0">
      <selection activeCell="A4" sqref="A4"/>
    </sheetView>
  </sheetViews>
  <sheetFormatPr defaultRowHeight="15"/>
  <cols>
    <col min="1" max="1" width="30.28515625" customWidth="1"/>
  </cols>
  <sheetData>
    <row r="1" spans="1:1">
      <c r="A1" t="s">
        <v>3528</v>
      </c>
    </row>
    <row r="2" spans="1:1">
      <c r="A2" t="s">
        <v>3529</v>
      </c>
    </row>
    <row r="3" spans="1:1">
      <c r="A3" t="s">
        <v>3530</v>
      </c>
    </row>
    <row r="4" spans="1:1">
      <c r="A4" t="s">
        <v>3531</v>
      </c>
    </row>
    <row r="5" spans="1:1">
      <c r="A5" t="s">
        <v>3532</v>
      </c>
    </row>
    <row r="6" spans="1:1">
      <c r="A6" t="s">
        <v>3533</v>
      </c>
    </row>
    <row r="7" spans="1:1">
      <c r="A7" t="s">
        <v>3534</v>
      </c>
    </row>
    <row r="8" spans="1:1">
      <c r="A8" t="s">
        <v>3535</v>
      </c>
    </row>
    <row r="9" spans="1:1">
      <c r="A9" t="s">
        <v>3536</v>
      </c>
    </row>
    <row r="10" spans="1:1">
      <c r="A10" t="s">
        <v>3537</v>
      </c>
    </row>
    <row r="11" spans="1:1">
      <c r="A11" t="s">
        <v>3538</v>
      </c>
    </row>
    <row r="12" spans="1:1">
      <c r="A12" t="s">
        <v>3539</v>
      </c>
    </row>
    <row r="13" spans="1:1">
      <c r="A13" t="s">
        <v>3540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EC374-03B2-4625-8BF3-42EBE0938B50}">
  <dimension ref="A1:N37"/>
  <sheetViews>
    <sheetView zoomScale="85" zoomScaleNormal="85" workbookViewId="0">
      <selection activeCell="A2" sqref="A2:M22"/>
    </sheetView>
  </sheetViews>
  <sheetFormatPr defaultRowHeight="15"/>
  <cols>
    <col min="1" max="1" width="31.85546875" style="78" customWidth="1"/>
    <col min="2" max="2" width="86.140625" style="78" customWidth="1"/>
    <col min="3" max="3" width="104.85546875" style="78" bestFit="1" customWidth="1"/>
    <col min="4" max="4" width="52.140625" style="78" bestFit="1" customWidth="1"/>
    <col min="5" max="5" width="17.28515625" style="78" bestFit="1" customWidth="1"/>
    <col min="6" max="6" width="53.5703125" style="78" bestFit="1" customWidth="1"/>
    <col min="7" max="7" width="55.7109375" style="78" bestFit="1" customWidth="1"/>
    <col min="8" max="8" width="31.85546875" style="78" bestFit="1" customWidth="1"/>
    <col min="9" max="9" width="44.28515625" style="78" bestFit="1" customWidth="1"/>
    <col min="10" max="10" width="37" style="78" customWidth="1"/>
    <col min="11" max="11" width="15.140625" style="78" customWidth="1"/>
    <col min="12" max="12" width="69.5703125" style="78" bestFit="1" customWidth="1"/>
    <col min="13" max="13" width="60.7109375" style="78" customWidth="1"/>
  </cols>
  <sheetData>
    <row r="1" spans="1:14">
      <c r="A1" s="77" t="s">
        <v>6</v>
      </c>
      <c r="B1" s="77" t="s">
        <v>3529</v>
      </c>
      <c r="C1" s="77" t="s">
        <v>3530</v>
      </c>
      <c r="D1" s="77" t="s">
        <v>3531</v>
      </c>
      <c r="E1" s="77" t="s">
        <v>3532</v>
      </c>
      <c r="F1" s="77" t="s">
        <v>3533</v>
      </c>
      <c r="G1" s="77" t="s">
        <v>3534</v>
      </c>
      <c r="H1" s="77" t="s">
        <v>3535</v>
      </c>
      <c r="I1" s="77" t="s">
        <v>3536</v>
      </c>
      <c r="J1" s="77" t="s">
        <v>3537</v>
      </c>
      <c r="K1" s="77" t="s">
        <v>3538</v>
      </c>
      <c r="L1" s="77" t="s">
        <v>3539</v>
      </c>
      <c r="M1" s="77" t="s">
        <v>3540</v>
      </c>
    </row>
    <row r="2" spans="1:14">
      <c r="A2" s="78" t="str">
        <f>Table2[[#This Row],[Nama Proyek]]</f>
        <v>Jalan Tol Bocimi Seksi 3</v>
      </c>
      <c r="B2" s="78" t="s">
        <v>3541</v>
      </c>
      <c r="C2" s="78" t="s">
        <v>3542</v>
      </c>
      <c r="D2" s="78" t="s">
        <v>3543</v>
      </c>
      <c r="E2" s="82">
        <v>45257</v>
      </c>
      <c r="F2" s="78" t="s">
        <v>3544</v>
      </c>
      <c r="G2" s="78" t="s">
        <v>3545</v>
      </c>
      <c r="H2" s="78" t="s">
        <v>3546</v>
      </c>
      <c r="I2" s="78" t="s">
        <v>3547</v>
      </c>
      <c r="J2" s="78" t="s">
        <v>3548</v>
      </c>
      <c r="K2">
        <v>0.05</v>
      </c>
      <c r="L2" t="s">
        <v>3549</v>
      </c>
      <c r="M2">
        <v>0</v>
      </c>
    </row>
    <row r="3" spans="1:14">
      <c r="A3" s="78" t="s">
        <v>2484</v>
      </c>
      <c r="B3" s="76" t="s">
        <v>3550</v>
      </c>
      <c r="C3" t="s">
        <v>3551</v>
      </c>
      <c r="D3" t="s">
        <v>3552</v>
      </c>
      <c r="E3" s="83">
        <v>45226</v>
      </c>
      <c r="F3" t="s">
        <v>3553</v>
      </c>
      <c r="G3" t="s">
        <v>3554</v>
      </c>
      <c r="H3" t="s">
        <v>3555</v>
      </c>
      <c r="I3" t="s">
        <v>3556</v>
      </c>
      <c r="J3" s="81">
        <v>316419029407</v>
      </c>
      <c r="K3">
        <v>0</v>
      </c>
      <c r="L3" t="s">
        <v>3557</v>
      </c>
      <c r="M3" t="s">
        <v>3558</v>
      </c>
    </row>
    <row r="4" spans="1:14">
      <c r="A4" s="78" t="s">
        <v>1472</v>
      </c>
      <c r="B4" s="76" t="s">
        <v>3559</v>
      </c>
      <c r="C4" t="s">
        <v>3560</v>
      </c>
      <c r="D4" t="s">
        <v>3561</v>
      </c>
      <c r="E4" s="83">
        <v>45112</v>
      </c>
      <c r="F4" t="s">
        <v>3562</v>
      </c>
      <c r="G4" t="s">
        <v>3554</v>
      </c>
      <c r="H4" t="s">
        <v>3555</v>
      </c>
      <c r="I4" t="s">
        <v>3547</v>
      </c>
      <c r="J4" s="81">
        <v>1160870287394</v>
      </c>
      <c r="K4">
        <v>0</v>
      </c>
      <c r="L4" t="s">
        <v>3563</v>
      </c>
      <c r="M4" t="s">
        <v>3564</v>
      </c>
    </row>
    <row r="5" spans="1:14">
      <c r="A5" s="78" t="s">
        <v>1484</v>
      </c>
      <c r="B5" s="76" t="s">
        <v>3565</v>
      </c>
      <c r="C5" t="s">
        <v>3566</v>
      </c>
      <c r="D5" t="s">
        <v>3567</v>
      </c>
      <c r="E5" s="83">
        <v>45140</v>
      </c>
      <c r="F5" t="s">
        <v>3568</v>
      </c>
      <c r="G5" t="s">
        <v>3554</v>
      </c>
      <c r="H5" t="s">
        <v>3555</v>
      </c>
      <c r="I5" t="s">
        <v>3547</v>
      </c>
      <c r="J5" s="81">
        <v>241031298951</v>
      </c>
      <c r="K5">
        <v>0</v>
      </c>
      <c r="L5" t="s">
        <v>3569</v>
      </c>
      <c r="M5">
        <v>0</v>
      </c>
    </row>
    <row r="6" spans="1:14">
      <c r="A6" s="78" t="s">
        <v>2290</v>
      </c>
      <c r="B6" s="76" t="s">
        <v>3570</v>
      </c>
      <c r="C6" t="s">
        <v>3571</v>
      </c>
      <c r="D6" t="s">
        <v>3572</v>
      </c>
      <c r="E6" s="83">
        <v>45267</v>
      </c>
      <c r="F6" t="s">
        <v>3573</v>
      </c>
      <c r="G6" t="s">
        <v>3554</v>
      </c>
      <c r="H6" t="s">
        <v>3555</v>
      </c>
      <c r="I6" t="s">
        <v>3574</v>
      </c>
      <c r="J6" s="81">
        <v>1493278263794</v>
      </c>
      <c r="K6">
        <v>0</v>
      </c>
      <c r="L6" t="s">
        <v>3575</v>
      </c>
      <c r="M6">
        <v>0</v>
      </c>
    </row>
    <row r="7" spans="1:14">
      <c r="A7" s="78" t="s">
        <v>2300</v>
      </c>
      <c r="B7" s="76" t="s">
        <v>3576</v>
      </c>
      <c r="C7" t="s">
        <v>3577</v>
      </c>
      <c r="D7" t="s">
        <v>3578</v>
      </c>
      <c r="E7" s="84">
        <v>45239</v>
      </c>
      <c r="F7" t="s">
        <v>3579</v>
      </c>
      <c r="G7" t="s">
        <v>3580</v>
      </c>
      <c r="H7" t="s">
        <v>3555</v>
      </c>
      <c r="I7" t="s">
        <v>3574</v>
      </c>
      <c r="J7" s="81">
        <v>463336549270</v>
      </c>
      <c r="K7">
        <v>0</v>
      </c>
      <c r="L7" t="s">
        <v>3581</v>
      </c>
      <c r="M7">
        <v>0</v>
      </c>
    </row>
    <row r="8" spans="1:14">
      <c r="A8" s="78" t="s">
        <v>1317</v>
      </c>
      <c r="B8" s="76" t="s">
        <v>3582</v>
      </c>
      <c r="C8" t="s">
        <v>3583</v>
      </c>
      <c r="D8" t="s">
        <v>3584</v>
      </c>
      <c r="E8" s="83">
        <v>44978</v>
      </c>
      <c r="F8" t="s">
        <v>3585</v>
      </c>
      <c r="G8" t="s">
        <v>3586</v>
      </c>
      <c r="H8" t="s">
        <v>3587</v>
      </c>
      <c r="I8" t="s">
        <v>3574</v>
      </c>
      <c r="J8" s="81">
        <v>3987286153268</v>
      </c>
      <c r="L8" t="s">
        <v>3588</v>
      </c>
      <c r="M8">
        <v>0</v>
      </c>
    </row>
    <row r="9" spans="1:14">
      <c r="A9" s="78" t="s">
        <v>1315</v>
      </c>
      <c r="B9" s="76" t="s">
        <v>3589</v>
      </c>
      <c r="C9" t="s">
        <v>3590</v>
      </c>
      <c r="D9" t="s">
        <v>3591</v>
      </c>
      <c r="E9" s="83">
        <v>45097</v>
      </c>
      <c r="F9" t="s">
        <v>3592</v>
      </c>
      <c r="G9" t="s">
        <v>3545</v>
      </c>
      <c r="H9" t="s">
        <v>3555</v>
      </c>
      <c r="I9" t="s">
        <v>3547</v>
      </c>
      <c r="J9" s="81">
        <v>100900000000</v>
      </c>
      <c r="K9">
        <v>0</v>
      </c>
      <c r="L9" t="s">
        <v>3593</v>
      </c>
      <c r="M9" t="s">
        <v>3594</v>
      </c>
      <c r="N9" s="78"/>
    </row>
    <row r="10" spans="1:14">
      <c r="A10" s="78" t="s">
        <v>76</v>
      </c>
      <c r="B10" s="76" t="s">
        <v>3595</v>
      </c>
      <c r="C10" t="s">
        <v>3596</v>
      </c>
      <c r="D10" t="s">
        <v>3597</v>
      </c>
      <c r="E10" s="83"/>
      <c r="F10" t="s">
        <v>3598</v>
      </c>
      <c r="G10">
        <v>0</v>
      </c>
      <c r="H10">
        <v>0</v>
      </c>
      <c r="I10" t="s">
        <v>3547</v>
      </c>
      <c r="J10" s="81">
        <v>152943426000</v>
      </c>
      <c r="K10">
        <v>0</v>
      </c>
      <c r="L10" t="s">
        <v>3599</v>
      </c>
      <c r="M10" t="s">
        <v>3600</v>
      </c>
      <c r="N10" s="78"/>
    </row>
    <row r="11" spans="1:14">
      <c r="A11" s="78" t="s">
        <v>1480</v>
      </c>
      <c r="B11" s="76" t="s">
        <v>3601</v>
      </c>
      <c r="C11" t="s">
        <v>3602</v>
      </c>
      <c r="D11" t="s">
        <v>3603</v>
      </c>
      <c r="E11" s="83">
        <v>45016</v>
      </c>
      <c r="F11" t="s">
        <v>3604</v>
      </c>
      <c r="G11">
        <v>0</v>
      </c>
      <c r="H11" t="s">
        <v>3555</v>
      </c>
      <c r="I11" t="s">
        <v>3574</v>
      </c>
      <c r="J11" s="81">
        <v>2383566664079</v>
      </c>
      <c r="K11">
        <v>0</v>
      </c>
      <c r="L11" t="s">
        <v>3605</v>
      </c>
      <c r="M11">
        <v>0</v>
      </c>
      <c r="N11" s="78"/>
    </row>
    <row r="12" spans="1:14">
      <c r="A12" s="78" t="s">
        <v>2663</v>
      </c>
      <c r="B12" s="76" t="s">
        <v>2663</v>
      </c>
      <c r="C12" t="s">
        <v>3606</v>
      </c>
      <c r="D12" t="s">
        <v>3572</v>
      </c>
      <c r="E12" s="83">
        <v>45306</v>
      </c>
      <c r="F12" t="s">
        <v>3607</v>
      </c>
      <c r="G12" t="s">
        <v>3608</v>
      </c>
      <c r="H12" t="s">
        <v>3555</v>
      </c>
      <c r="I12" t="s">
        <v>3574</v>
      </c>
      <c r="J12" s="81">
        <v>853785920150</v>
      </c>
      <c r="K12">
        <v>0</v>
      </c>
      <c r="L12" t="s">
        <v>3609</v>
      </c>
      <c r="M12" t="s">
        <v>3610</v>
      </c>
      <c r="N12" s="78"/>
    </row>
    <row r="13" spans="1:14">
      <c r="A13" s="78" t="s">
        <v>989</v>
      </c>
      <c r="B13" s="76" t="s">
        <v>989</v>
      </c>
      <c r="C13" t="s">
        <v>3611</v>
      </c>
      <c r="D13" t="s">
        <v>3612</v>
      </c>
      <c r="E13" s="83">
        <v>45063</v>
      </c>
      <c r="F13" t="s">
        <v>3613</v>
      </c>
      <c r="G13" t="s">
        <v>3608</v>
      </c>
      <c r="H13" t="s">
        <v>3614</v>
      </c>
      <c r="I13" t="s">
        <v>3574</v>
      </c>
      <c r="J13" s="81">
        <v>1455374902280</v>
      </c>
      <c r="K13">
        <v>0</v>
      </c>
      <c r="L13" t="s">
        <v>3615</v>
      </c>
      <c r="M13" t="s">
        <v>3616</v>
      </c>
      <c r="N13" s="78"/>
    </row>
    <row r="14" spans="1:14">
      <c r="A14" s="78" t="s">
        <v>2601</v>
      </c>
      <c r="B14" s="76" t="s">
        <v>3617</v>
      </c>
      <c r="C14" t="s">
        <v>3618</v>
      </c>
      <c r="D14" t="s">
        <v>3619</v>
      </c>
      <c r="E14" s="83">
        <v>45281</v>
      </c>
      <c r="F14" t="s">
        <v>3620</v>
      </c>
      <c r="G14" t="s">
        <v>3608</v>
      </c>
      <c r="H14" t="s">
        <v>3555</v>
      </c>
      <c r="I14" t="s">
        <v>3574</v>
      </c>
      <c r="J14" s="81">
        <v>2399426628007</v>
      </c>
      <c r="K14">
        <v>0</v>
      </c>
      <c r="L14" t="s">
        <v>3621</v>
      </c>
      <c r="M14" t="s">
        <v>3622</v>
      </c>
      <c r="N14" s="78"/>
    </row>
    <row r="15" spans="1:14">
      <c r="A15" s="78" t="s">
        <v>2336</v>
      </c>
      <c r="B15" s="76" t="s">
        <v>3623</v>
      </c>
      <c r="C15" t="s">
        <v>3624</v>
      </c>
      <c r="D15" t="s">
        <v>3625</v>
      </c>
      <c r="E15" s="83"/>
      <c r="F15" t="s">
        <v>3626</v>
      </c>
      <c r="G15" t="s">
        <v>3608</v>
      </c>
      <c r="H15">
        <v>0</v>
      </c>
      <c r="I15" t="s">
        <v>3547</v>
      </c>
      <c r="J15" s="81">
        <v>873537539596.97998</v>
      </c>
      <c r="K15">
        <v>0</v>
      </c>
      <c r="L15" t="s">
        <v>3627</v>
      </c>
      <c r="M15" t="s">
        <v>3628</v>
      </c>
      <c r="N15" s="78"/>
    </row>
    <row r="16" spans="1:14">
      <c r="A16" s="78" t="s">
        <v>924</v>
      </c>
      <c r="B16" s="76" t="s">
        <v>3629</v>
      </c>
      <c r="C16" t="s">
        <v>3630</v>
      </c>
      <c r="D16" t="s">
        <v>3631</v>
      </c>
      <c r="E16" s="83"/>
      <c r="F16" t="s">
        <v>3632</v>
      </c>
      <c r="G16" t="s">
        <v>3608</v>
      </c>
      <c r="H16" t="s">
        <v>3555</v>
      </c>
      <c r="I16" t="s">
        <v>3574</v>
      </c>
      <c r="J16" s="81">
        <v>132976776509.14</v>
      </c>
      <c r="K16">
        <v>0</v>
      </c>
      <c r="L16" t="s">
        <v>3633</v>
      </c>
      <c r="M16" t="s">
        <v>3634</v>
      </c>
      <c r="N16" s="78"/>
    </row>
    <row r="17" spans="1:13">
      <c r="A17" s="78" t="s">
        <v>3635</v>
      </c>
      <c r="B17" s="76" t="s">
        <v>3506</v>
      </c>
      <c r="C17" t="s">
        <v>3636</v>
      </c>
      <c r="D17" t="s">
        <v>3637</v>
      </c>
      <c r="E17" s="83">
        <v>44802</v>
      </c>
      <c r="F17" t="s">
        <v>3638</v>
      </c>
      <c r="G17" t="s">
        <v>3639</v>
      </c>
      <c r="H17" t="s">
        <v>3640</v>
      </c>
      <c r="I17" t="s">
        <v>3574</v>
      </c>
      <c r="J17" s="81">
        <v>179905249644.14001</v>
      </c>
      <c r="K17">
        <v>0</v>
      </c>
      <c r="L17">
        <v>0</v>
      </c>
      <c r="M17">
        <v>0</v>
      </c>
    </row>
    <row r="18" spans="1:13">
      <c r="A18" s="78" t="s">
        <v>750</v>
      </c>
      <c r="B18" s="76" t="s">
        <v>3641</v>
      </c>
      <c r="C18" s="80" t="s">
        <v>3642</v>
      </c>
      <c r="D18" t="s">
        <v>3643</v>
      </c>
      <c r="E18" s="84">
        <v>44813</v>
      </c>
      <c r="F18" t="s">
        <v>3644</v>
      </c>
      <c r="G18">
        <v>0</v>
      </c>
      <c r="I18" t="s">
        <v>3574</v>
      </c>
      <c r="J18" s="81">
        <v>2198255285291.6799</v>
      </c>
      <c r="L18" t="s">
        <v>3645</v>
      </c>
      <c r="M18" t="s">
        <v>3646</v>
      </c>
    </row>
    <row r="19" spans="1:13">
      <c r="A19" s="78" t="s">
        <v>735</v>
      </c>
      <c r="B19" s="76" t="s">
        <v>735</v>
      </c>
      <c r="C19" t="s">
        <v>3647</v>
      </c>
      <c r="D19" t="s">
        <v>3648</v>
      </c>
      <c r="E19" s="83">
        <v>44734</v>
      </c>
      <c r="F19" t="s">
        <v>3649</v>
      </c>
      <c r="G19" t="s">
        <v>3608</v>
      </c>
      <c r="H19" t="s">
        <v>3650</v>
      </c>
      <c r="I19" t="s">
        <v>3651</v>
      </c>
      <c r="J19" s="81">
        <v>1787000000</v>
      </c>
      <c r="K19">
        <v>0</v>
      </c>
      <c r="L19">
        <v>0</v>
      </c>
      <c r="M19" t="s">
        <v>3652</v>
      </c>
    </row>
    <row r="20" spans="1:13">
      <c r="A20" s="78" t="s">
        <v>52</v>
      </c>
      <c r="B20" s="76" t="s">
        <v>3653</v>
      </c>
      <c r="C20" t="s">
        <v>3654</v>
      </c>
      <c r="D20" t="s">
        <v>3655</v>
      </c>
      <c r="E20" s="83">
        <v>42547</v>
      </c>
      <c r="F20" t="s">
        <v>3656</v>
      </c>
      <c r="G20" t="s">
        <v>3657</v>
      </c>
      <c r="H20" t="s">
        <v>3546</v>
      </c>
      <c r="I20" t="s">
        <v>3658</v>
      </c>
      <c r="J20" s="81">
        <v>3828037215111.3901</v>
      </c>
      <c r="K20">
        <v>0</v>
      </c>
      <c r="L20" t="s">
        <v>3659</v>
      </c>
      <c r="M20" t="s">
        <v>3660</v>
      </c>
    </row>
    <row r="21" spans="1:13">
      <c r="A21" s="78" t="s">
        <v>3475</v>
      </c>
      <c r="B21" s="76" t="s">
        <v>3661</v>
      </c>
      <c r="C21" t="s">
        <v>3662</v>
      </c>
      <c r="D21" t="s">
        <v>3663</v>
      </c>
      <c r="E21" s="83">
        <v>45268</v>
      </c>
      <c r="F21" t="s">
        <v>3664</v>
      </c>
      <c r="G21" t="s">
        <v>3608</v>
      </c>
      <c r="H21" t="s">
        <v>3665</v>
      </c>
      <c r="I21" t="s">
        <v>3547</v>
      </c>
      <c r="J21" s="81">
        <v>1915188111950</v>
      </c>
      <c r="K21">
        <v>0</v>
      </c>
      <c r="L21" t="s">
        <v>3666</v>
      </c>
      <c r="M21" t="s">
        <v>3660</v>
      </c>
    </row>
    <row r="22" spans="1:13">
      <c r="A22" s="78" t="s">
        <v>86</v>
      </c>
      <c r="B22" s="76" t="s">
        <v>3667</v>
      </c>
      <c r="C22" t="s">
        <v>3668</v>
      </c>
      <c r="D22" t="s">
        <v>3669</v>
      </c>
      <c r="E22" s="83">
        <v>44673</v>
      </c>
      <c r="F22" t="s">
        <v>3670</v>
      </c>
      <c r="G22">
        <v>0</v>
      </c>
      <c r="H22" t="s">
        <v>3640</v>
      </c>
      <c r="I22" t="s">
        <v>3574</v>
      </c>
      <c r="J22" s="81">
        <v>120002832625.50999</v>
      </c>
      <c r="K22">
        <v>0</v>
      </c>
      <c r="L22" t="s">
        <v>3659</v>
      </c>
      <c r="M22" t="s">
        <v>3671</v>
      </c>
    </row>
    <row r="26" spans="1:13">
      <c r="F26" s="2"/>
      <c r="G26" s="2"/>
      <c r="H26" s="2"/>
    </row>
    <row r="27" spans="1:13">
      <c r="F27" s="3"/>
      <c r="G27" s="3"/>
      <c r="H27" s="3"/>
    </row>
    <row r="28" spans="1:13">
      <c r="F28" s="2"/>
      <c r="G28" s="2"/>
      <c r="H28" s="2"/>
    </row>
    <row r="29" spans="1:13">
      <c r="F29" s="3"/>
      <c r="G29" s="3"/>
      <c r="H29" s="3"/>
    </row>
    <row r="30" spans="1:13">
      <c r="F30" s="2"/>
      <c r="G30" s="2"/>
      <c r="H30" s="2"/>
    </row>
    <row r="31" spans="1:13">
      <c r="F31" s="3"/>
      <c r="G31" s="3"/>
      <c r="H31" s="3"/>
    </row>
    <row r="32" spans="1:13">
      <c r="F32" s="2"/>
      <c r="G32" s="2"/>
      <c r="H32" s="2"/>
    </row>
    <row r="33" spans="6:8">
      <c r="F33" s="3"/>
      <c r="G33" s="3"/>
      <c r="H33" s="3"/>
    </row>
    <row r="34" spans="6:8">
      <c r="F34" s="2"/>
      <c r="G34" s="79"/>
      <c r="H34" s="2"/>
    </row>
    <row r="35" spans="6:8">
      <c r="F35" s="3"/>
      <c r="G35" s="3"/>
      <c r="H35" s="3"/>
    </row>
    <row r="36" spans="6:8">
      <c r="F36" s="2"/>
      <c r="G36" s="2"/>
      <c r="H36" s="2"/>
    </row>
    <row r="37" spans="6:8">
      <c r="F37" s="3"/>
      <c r="G37" s="3"/>
      <c r="H37" s="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6B633-2618-4170-BF72-56841BA9728A}">
  <dimension ref="A1:G289"/>
  <sheetViews>
    <sheetView topLeftCell="A270" workbookViewId="0">
      <selection activeCell="D289" sqref="D289"/>
    </sheetView>
  </sheetViews>
  <sheetFormatPr defaultRowHeight="15"/>
  <cols>
    <col min="2" max="2" width="37.28515625" customWidth="1"/>
    <col min="3" max="3" width="78" customWidth="1"/>
    <col min="4" max="4" width="59.28515625" customWidth="1"/>
    <col min="5" max="5" width="13" customWidth="1"/>
  </cols>
  <sheetData>
    <row r="1" spans="1:5">
      <c r="A1" t="s">
        <v>3449</v>
      </c>
      <c r="B1" t="s">
        <v>3672</v>
      </c>
      <c r="C1" t="s">
        <v>3673</v>
      </c>
      <c r="D1" t="s">
        <v>6</v>
      </c>
      <c r="E1" t="s">
        <v>3450</v>
      </c>
    </row>
    <row r="2" spans="1:5">
      <c r="A2">
        <v>1</v>
      </c>
      <c r="B2" t="s">
        <v>6</v>
      </c>
      <c r="C2" t="s">
        <v>3541</v>
      </c>
      <c r="D2" t="s">
        <v>3523</v>
      </c>
      <c r="E2">
        <v>1323042</v>
      </c>
    </row>
    <row r="3" spans="1:5">
      <c r="A3">
        <v>2</v>
      </c>
      <c r="B3" t="s">
        <v>3530</v>
      </c>
      <c r="C3" t="s">
        <v>3542</v>
      </c>
      <c r="D3" t="s">
        <v>3523</v>
      </c>
      <c r="E3">
        <v>1323042</v>
      </c>
    </row>
    <row r="4" spans="1:5">
      <c r="A4">
        <v>3</v>
      </c>
      <c r="B4" t="s">
        <v>3531</v>
      </c>
      <c r="C4" t="s">
        <v>3543</v>
      </c>
      <c r="D4" t="s">
        <v>3523</v>
      </c>
      <c r="E4">
        <v>1323042</v>
      </c>
    </row>
    <row r="5" spans="1:5">
      <c r="A5">
        <v>4</v>
      </c>
      <c r="B5" t="s">
        <v>3532</v>
      </c>
      <c r="C5" s="73" t="s">
        <v>3674</v>
      </c>
      <c r="D5" t="s">
        <v>3523</v>
      </c>
      <c r="E5">
        <v>1323042</v>
      </c>
    </row>
    <row r="6" spans="1:5">
      <c r="A6">
        <v>5</v>
      </c>
      <c r="B6" t="s">
        <v>3533</v>
      </c>
      <c r="C6" t="s">
        <v>3544</v>
      </c>
      <c r="D6" t="s">
        <v>3523</v>
      </c>
      <c r="E6">
        <v>1323042</v>
      </c>
    </row>
    <row r="7" spans="1:5">
      <c r="A7">
        <v>6</v>
      </c>
      <c r="B7" t="s">
        <v>3534</v>
      </c>
      <c r="C7" t="s">
        <v>3545</v>
      </c>
      <c r="D7" t="s">
        <v>3523</v>
      </c>
      <c r="E7">
        <v>1323042</v>
      </c>
    </row>
    <row r="8" spans="1:5">
      <c r="A8">
        <v>7</v>
      </c>
      <c r="B8" t="s">
        <v>3535</v>
      </c>
      <c r="C8" t="s">
        <v>3546</v>
      </c>
      <c r="D8" t="s">
        <v>3523</v>
      </c>
      <c r="E8">
        <v>1323042</v>
      </c>
    </row>
    <row r="9" spans="1:5">
      <c r="A9">
        <v>8</v>
      </c>
      <c r="B9" t="s">
        <v>3536</v>
      </c>
      <c r="C9" t="s">
        <v>3547</v>
      </c>
      <c r="D9" t="s">
        <v>3523</v>
      </c>
      <c r="E9">
        <v>1323042</v>
      </c>
    </row>
    <row r="10" spans="1:5">
      <c r="A10">
        <v>9</v>
      </c>
      <c r="B10" t="s">
        <v>3537</v>
      </c>
      <c r="C10" s="66" t="s">
        <v>3675</v>
      </c>
      <c r="D10" t="s">
        <v>3523</v>
      </c>
      <c r="E10">
        <v>1323042</v>
      </c>
    </row>
    <row r="11" spans="1:5">
      <c r="A11">
        <v>10</v>
      </c>
      <c r="B11" t="s">
        <v>3538</v>
      </c>
      <c r="C11" s="116" t="s">
        <v>3676</v>
      </c>
      <c r="D11" t="s">
        <v>3523</v>
      </c>
      <c r="E11">
        <v>1323042</v>
      </c>
    </row>
    <row r="12" spans="1:5">
      <c r="A12">
        <v>11</v>
      </c>
      <c r="B12" t="s">
        <v>3539</v>
      </c>
      <c r="C12" t="s">
        <v>3549</v>
      </c>
      <c r="D12" t="s">
        <v>3523</v>
      </c>
      <c r="E12">
        <v>1323042</v>
      </c>
    </row>
    <row r="13" spans="1:5">
      <c r="A13">
        <v>12</v>
      </c>
      <c r="B13" t="s">
        <v>3540</v>
      </c>
      <c r="D13" t="s">
        <v>3523</v>
      </c>
      <c r="E13">
        <v>1323042</v>
      </c>
    </row>
    <row r="14" spans="1:5">
      <c r="A14">
        <v>1</v>
      </c>
      <c r="B14" t="s">
        <v>6</v>
      </c>
      <c r="C14" t="s">
        <v>3550</v>
      </c>
      <c r="D14" t="s">
        <v>2484</v>
      </c>
      <c r="E14">
        <v>1323039</v>
      </c>
    </row>
    <row r="15" spans="1:5">
      <c r="A15">
        <v>2</v>
      </c>
      <c r="B15" t="s">
        <v>3530</v>
      </c>
      <c r="C15" t="s">
        <v>3551</v>
      </c>
      <c r="D15" t="s">
        <v>2484</v>
      </c>
      <c r="E15">
        <v>1323039</v>
      </c>
    </row>
    <row r="16" spans="1:5">
      <c r="A16">
        <v>3</v>
      </c>
      <c r="B16" t="s">
        <v>3531</v>
      </c>
      <c r="C16" t="s">
        <v>3552</v>
      </c>
      <c r="D16" t="s">
        <v>2484</v>
      </c>
      <c r="E16">
        <v>1323039</v>
      </c>
    </row>
    <row r="17" spans="1:5">
      <c r="A17">
        <v>4</v>
      </c>
      <c r="B17" t="s">
        <v>3532</v>
      </c>
      <c r="C17" t="s">
        <v>3677</v>
      </c>
      <c r="D17" t="s">
        <v>2484</v>
      </c>
      <c r="E17">
        <v>1323039</v>
      </c>
    </row>
    <row r="18" spans="1:5">
      <c r="A18">
        <v>5</v>
      </c>
      <c r="B18" t="s">
        <v>3533</v>
      </c>
      <c r="C18" t="s">
        <v>3553</v>
      </c>
      <c r="D18" t="s">
        <v>2484</v>
      </c>
      <c r="E18">
        <v>1323039</v>
      </c>
    </row>
    <row r="19" spans="1:5">
      <c r="A19">
        <v>6</v>
      </c>
      <c r="B19" t="s">
        <v>3534</v>
      </c>
      <c r="C19" t="s">
        <v>3554</v>
      </c>
      <c r="D19" t="s">
        <v>2484</v>
      </c>
      <c r="E19">
        <v>1323039</v>
      </c>
    </row>
    <row r="20" spans="1:5">
      <c r="A20">
        <v>7</v>
      </c>
      <c r="B20" t="s">
        <v>3535</v>
      </c>
      <c r="C20" t="s">
        <v>3555</v>
      </c>
      <c r="D20" t="s">
        <v>2484</v>
      </c>
      <c r="E20">
        <v>1323039</v>
      </c>
    </row>
    <row r="21" spans="1:5">
      <c r="A21">
        <v>8</v>
      </c>
      <c r="B21" t="s">
        <v>3536</v>
      </c>
      <c r="C21" t="s">
        <v>3556</v>
      </c>
      <c r="D21" t="s">
        <v>2484</v>
      </c>
      <c r="E21">
        <v>1323039</v>
      </c>
    </row>
    <row r="22" spans="1:5">
      <c r="A22">
        <v>9</v>
      </c>
      <c r="B22" t="s">
        <v>3537</v>
      </c>
      <c r="C22" s="67" t="s">
        <v>3678</v>
      </c>
      <c r="D22" t="s">
        <v>2484</v>
      </c>
      <c r="E22">
        <v>1323039</v>
      </c>
    </row>
    <row r="23" spans="1:5">
      <c r="A23">
        <v>10</v>
      </c>
      <c r="B23" t="s">
        <v>3538</v>
      </c>
      <c r="D23" t="s">
        <v>2484</v>
      </c>
      <c r="E23">
        <v>1323039</v>
      </c>
    </row>
    <row r="24" spans="1:5">
      <c r="A24">
        <v>11</v>
      </c>
      <c r="B24" t="s">
        <v>3539</v>
      </c>
      <c r="C24" t="s">
        <v>3557</v>
      </c>
      <c r="D24" t="s">
        <v>2484</v>
      </c>
      <c r="E24">
        <v>1323039</v>
      </c>
    </row>
    <row r="25" spans="1:5">
      <c r="A25">
        <v>12</v>
      </c>
      <c r="B25" t="s">
        <v>3540</v>
      </c>
      <c r="C25" t="s">
        <v>3558</v>
      </c>
      <c r="D25" t="s">
        <v>2484</v>
      </c>
      <c r="E25">
        <v>1323039</v>
      </c>
    </row>
    <row r="26" spans="1:5">
      <c r="A26">
        <v>1</v>
      </c>
      <c r="B26" t="s">
        <v>6</v>
      </c>
      <c r="C26" t="s">
        <v>3559</v>
      </c>
      <c r="D26" t="s">
        <v>1472</v>
      </c>
      <c r="E26">
        <v>1323025</v>
      </c>
    </row>
    <row r="27" spans="1:5">
      <c r="A27">
        <v>2</v>
      </c>
      <c r="B27" t="s">
        <v>3530</v>
      </c>
      <c r="C27" t="s">
        <v>3560</v>
      </c>
      <c r="D27" t="s">
        <v>1472</v>
      </c>
      <c r="E27">
        <v>1323025</v>
      </c>
    </row>
    <row r="28" spans="1:5">
      <c r="A28">
        <v>3</v>
      </c>
      <c r="B28" t="s">
        <v>3531</v>
      </c>
      <c r="C28" t="s">
        <v>3561</v>
      </c>
      <c r="D28" t="s">
        <v>1472</v>
      </c>
      <c r="E28">
        <v>1323025</v>
      </c>
    </row>
    <row r="29" spans="1:5">
      <c r="A29">
        <v>4</v>
      </c>
      <c r="B29" t="s">
        <v>3532</v>
      </c>
      <c r="C29" t="s">
        <v>3679</v>
      </c>
      <c r="D29" t="s">
        <v>1472</v>
      </c>
      <c r="E29">
        <v>1323025</v>
      </c>
    </row>
    <row r="30" spans="1:5">
      <c r="A30">
        <v>5</v>
      </c>
      <c r="B30" t="s">
        <v>3533</v>
      </c>
      <c r="C30" t="s">
        <v>3562</v>
      </c>
      <c r="D30" t="s">
        <v>1472</v>
      </c>
      <c r="E30">
        <v>1323025</v>
      </c>
    </row>
    <row r="31" spans="1:5">
      <c r="A31">
        <v>6</v>
      </c>
      <c r="B31" t="s">
        <v>3534</v>
      </c>
      <c r="C31" t="s">
        <v>3554</v>
      </c>
      <c r="D31" t="s">
        <v>1472</v>
      </c>
      <c r="E31">
        <v>1323025</v>
      </c>
    </row>
    <row r="32" spans="1:5">
      <c r="A32">
        <v>7</v>
      </c>
      <c r="B32" t="s">
        <v>3535</v>
      </c>
      <c r="C32" t="s">
        <v>3555</v>
      </c>
      <c r="D32" t="s">
        <v>1472</v>
      </c>
      <c r="E32">
        <v>1323025</v>
      </c>
    </row>
    <row r="33" spans="1:5">
      <c r="A33">
        <v>8</v>
      </c>
      <c r="B33" t="s">
        <v>3536</v>
      </c>
      <c r="C33" t="s">
        <v>3547</v>
      </c>
      <c r="D33" t="s">
        <v>1472</v>
      </c>
      <c r="E33">
        <v>1323025</v>
      </c>
    </row>
    <row r="34" spans="1:5">
      <c r="A34">
        <v>9</v>
      </c>
      <c r="B34" t="s">
        <v>3537</v>
      </c>
      <c r="C34" s="67" t="s">
        <v>3680</v>
      </c>
      <c r="D34" t="s">
        <v>1472</v>
      </c>
      <c r="E34">
        <v>1323025</v>
      </c>
    </row>
    <row r="35" spans="1:5">
      <c r="A35">
        <v>10</v>
      </c>
      <c r="B35" t="s">
        <v>3538</v>
      </c>
      <c r="D35" t="s">
        <v>1472</v>
      </c>
      <c r="E35">
        <v>1323025</v>
      </c>
    </row>
    <row r="36" spans="1:5">
      <c r="A36">
        <v>11</v>
      </c>
      <c r="B36" t="s">
        <v>3539</v>
      </c>
      <c r="C36" t="s">
        <v>3563</v>
      </c>
      <c r="D36" t="s">
        <v>1472</v>
      </c>
      <c r="E36">
        <v>1323025</v>
      </c>
    </row>
    <row r="37" spans="1:5">
      <c r="A37">
        <v>12</v>
      </c>
      <c r="B37" t="s">
        <v>3540</v>
      </c>
      <c r="C37" t="s">
        <v>3564</v>
      </c>
      <c r="D37" t="s">
        <v>1472</v>
      </c>
      <c r="E37">
        <v>1323025</v>
      </c>
    </row>
    <row r="38" spans="1:5">
      <c r="A38">
        <v>1</v>
      </c>
      <c r="B38" t="s">
        <v>6</v>
      </c>
      <c r="C38" t="s">
        <v>3565</v>
      </c>
      <c r="D38" t="s">
        <v>1484</v>
      </c>
      <c r="E38">
        <v>1323026</v>
      </c>
    </row>
    <row r="39" spans="1:5">
      <c r="A39">
        <v>2</v>
      </c>
      <c r="B39" t="s">
        <v>3530</v>
      </c>
      <c r="C39" t="s">
        <v>3566</v>
      </c>
      <c r="D39" t="s">
        <v>1484</v>
      </c>
      <c r="E39">
        <v>1323026</v>
      </c>
    </row>
    <row r="40" spans="1:5">
      <c r="A40">
        <v>3</v>
      </c>
      <c r="B40" t="s">
        <v>3531</v>
      </c>
      <c r="C40" t="s">
        <v>3567</v>
      </c>
      <c r="D40" t="s">
        <v>1484</v>
      </c>
      <c r="E40">
        <v>1323026</v>
      </c>
    </row>
    <row r="41" spans="1:5">
      <c r="A41">
        <v>4</v>
      </c>
      <c r="B41" t="s">
        <v>3532</v>
      </c>
      <c r="C41" t="s">
        <v>3681</v>
      </c>
      <c r="D41" t="s">
        <v>1484</v>
      </c>
      <c r="E41">
        <v>1323026</v>
      </c>
    </row>
    <row r="42" spans="1:5">
      <c r="A42">
        <v>5</v>
      </c>
      <c r="B42" t="s">
        <v>3533</v>
      </c>
      <c r="C42" t="s">
        <v>3568</v>
      </c>
      <c r="D42" t="s">
        <v>1484</v>
      </c>
      <c r="E42">
        <v>1323026</v>
      </c>
    </row>
    <row r="43" spans="1:5">
      <c r="A43">
        <v>6</v>
      </c>
      <c r="B43" t="s">
        <v>3534</v>
      </c>
      <c r="C43" t="s">
        <v>3554</v>
      </c>
      <c r="D43" t="s">
        <v>1484</v>
      </c>
      <c r="E43">
        <v>1323026</v>
      </c>
    </row>
    <row r="44" spans="1:5">
      <c r="A44">
        <v>7</v>
      </c>
      <c r="B44" t="s">
        <v>3535</v>
      </c>
      <c r="C44" t="s">
        <v>3555</v>
      </c>
      <c r="D44" t="s">
        <v>1484</v>
      </c>
      <c r="E44">
        <v>1323026</v>
      </c>
    </row>
    <row r="45" spans="1:5">
      <c r="A45">
        <v>8</v>
      </c>
      <c r="B45" t="s">
        <v>3536</v>
      </c>
      <c r="C45" t="s">
        <v>3547</v>
      </c>
      <c r="D45" t="s">
        <v>1484</v>
      </c>
      <c r="E45">
        <v>1323026</v>
      </c>
    </row>
    <row r="46" spans="1:5">
      <c r="A46">
        <v>9</v>
      </c>
      <c r="B46" t="s">
        <v>3537</v>
      </c>
      <c r="C46" s="67" t="s">
        <v>3682</v>
      </c>
      <c r="D46" t="s">
        <v>1484</v>
      </c>
      <c r="E46">
        <v>1323026</v>
      </c>
    </row>
    <row r="47" spans="1:5">
      <c r="A47">
        <v>10</v>
      </c>
      <c r="B47" t="s">
        <v>3538</v>
      </c>
      <c r="D47" t="s">
        <v>1484</v>
      </c>
      <c r="E47">
        <v>1323026</v>
      </c>
    </row>
    <row r="48" spans="1:5">
      <c r="A48">
        <v>11</v>
      </c>
      <c r="B48" t="s">
        <v>3539</v>
      </c>
      <c r="C48" t="s">
        <v>3569</v>
      </c>
      <c r="D48" t="s">
        <v>1484</v>
      </c>
      <c r="E48">
        <v>1323026</v>
      </c>
    </row>
    <row r="49" spans="1:5">
      <c r="A49">
        <v>12</v>
      </c>
      <c r="B49" t="s">
        <v>3540</v>
      </c>
      <c r="D49" t="s">
        <v>1484</v>
      </c>
      <c r="E49">
        <v>1323026</v>
      </c>
    </row>
    <row r="50" spans="1:5">
      <c r="A50">
        <v>1</v>
      </c>
      <c r="B50" t="s">
        <v>6</v>
      </c>
      <c r="C50" t="s">
        <v>3570</v>
      </c>
      <c r="D50" t="s">
        <v>2290</v>
      </c>
      <c r="E50">
        <v>1323045</v>
      </c>
    </row>
    <row r="51" spans="1:5">
      <c r="A51">
        <v>2</v>
      </c>
      <c r="B51" t="s">
        <v>3530</v>
      </c>
      <c r="C51" t="s">
        <v>3571</v>
      </c>
      <c r="D51" t="s">
        <v>2290</v>
      </c>
      <c r="E51">
        <v>1323045</v>
      </c>
    </row>
    <row r="52" spans="1:5">
      <c r="A52">
        <v>3</v>
      </c>
      <c r="B52" t="s">
        <v>3531</v>
      </c>
      <c r="C52" t="s">
        <v>3572</v>
      </c>
      <c r="D52" t="s">
        <v>2290</v>
      </c>
      <c r="E52">
        <v>1323045</v>
      </c>
    </row>
    <row r="53" spans="1:5">
      <c r="A53">
        <v>4</v>
      </c>
      <c r="B53" t="s">
        <v>3532</v>
      </c>
      <c r="C53" t="s">
        <v>3683</v>
      </c>
      <c r="D53" t="s">
        <v>2290</v>
      </c>
      <c r="E53">
        <v>1323045</v>
      </c>
    </row>
    <row r="54" spans="1:5">
      <c r="A54">
        <v>5</v>
      </c>
      <c r="B54" t="s">
        <v>3533</v>
      </c>
      <c r="C54" t="s">
        <v>3573</v>
      </c>
      <c r="D54" t="s">
        <v>2290</v>
      </c>
      <c r="E54">
        <v>1323045</v>
      </c>
    </row>
    <row r="55" spans="1:5">
      <c r="A55">
        <v>6</v>
      </c>
      <c r="B55" t="s">
        <v>3534</v>
      </c>
      <c r="C55" t="s">
        <v>3554</v>
      </c>
      <c r="D55" t="s">
        <v>2290</v>
      </c>
      <c r="E55">
        <v>1323045</v>
      </c>
    </row>
    <row r="56" spans="1:5">
      <c r="A56">
        <v>7</v>
      </c>
      <c r="B56" t="s">
        <v>3535</v>
      </c>
      <c r="C56" t="s">
        <v>3555</v>
      </c>
      <c r="D56" t="s">
        <v>2290</v>
      </c>
      <c r="E56">
        <v>1323045</v>
      </c>
    </row>
    <row r="57" spans="1:5">
      <c r="A57">
        <v>8</v>
      </c>
      <c r="B57" t="s">
        <v>3536</v>
      </c>
      <c r="C57" t="s">
        <v>3574</v>
      </c>
      <c r="D57" t="s">
        <v>2290</v>
      </c>
      <c r="E57">
        <v>1323045</v>
      </c>
    </row>
    <row r="58" spans="1:5">
      <c r="A58">
        <v>9</v>
      </c>
      <c r="B58" t="s">
        <v>3537</v>
      </c>
      <c r="C58" s="67" t="s">
        <v>3684</v>
      </c>
      <c r="D58" t="s">
        <v>2290</v>
      </c>
      <c r="E58">
        <v>1323045</v>
      </c>
    </row>
    <row r="59" spans="1:5">
      <c r="A59">
        <v>10</v>
      </c>
      <c r="B59" t="s">
        <v>3538</v>
      </c>
      <c r="D59" t="s">
        <v>2290</v>
      </c>
      <c r="E59">
        <v>1323045</v>
      </c>
    </row>
    <row r="60" spans="1:5">
      <c r="A60">
        <v>11</v>
      </c>
      <c r="B60" t="s">
        <v>3539</v>
      </c>
      <c r="C60" t="s">
        <v>3575</v>
      </c>
      <c r="D60" t="s">
        <v>2290</v>
      </c>
      <c r="E60">
        <v>1323045</v>
      </c>
    </row>
    <row r="61" spans="1:5">
      <c r="A61">
        <v>12</v>
      </c>
      <c r="B61" t="s">
        <v>3540</v>
      </c>
      <c r="D61" t="s">
        <v>2290</v>
      </c>
      <c r="E61">
        <v>1323045</v>
      </c>
    </row>
    <row r="62" spans="1:5">
      <c r="A62">
        <v>1</v>
      </c>
      <c r="B62" t="s">
        <v>6</v>
      </c>
      <c r="C62" t="s">
        <v>3576</v>
      </c>
      <c r="D62" t="s">
        <v>2300</v>
      </c>
      <c r="E62">
        <v>1323043</v>
      </c>
    </row>
    <row r="63" spans="1:5">
      <c r="A63">
        <v>2</v>
      </c>
      <c r="B63" t="s">
        <v>3530</v>
      </c>
      <c r="C63" t="s">
        <v>3577</v>
      </c>
      <c r="D63" t="s">
        <v>2300</v>
      </c>
      <c r="E63">
        <v>1323043</v>
      </c>
    </row>
    <row r="64" spans="1:5">
      <c r="A64">
        <v>3</v>
      </c>
      <c r="B64" t="s">
        <v>3531</v>
      </c>
      <c r="C64" t="s">
        <v>3578</v>
      </c>
      <c r="D64" t="s">
        <v>2300</v>
      </c>
      <c r="E64">
        <v>1323043</v>
      </c>
    </row>
    <row r="65" spans="1:5">
      <c r="A65">
        <v>4</v>
      </c>
      <c r="B65" t="s">
        <v>3532</v>
      </c>
      <c r="C65" s="68">
        <v>45239</v>
      </c>
      <c r="D65" t="s">
        <v>2300</v>
      </c>
      <c r="E65">
        <v>1323043</v>
      </c>
    </row>
    <row r="66" spans="1:5">
      <c r="A66">
        <v>5</v>
      </c>
      <c r="B66" t="s">
        <v>3533</v>
      </c>
      <c r="C66" t="s">
        <v>3579</v>
      </c>
      <c r="D66" t="s">
        <v>2300</v>
      </c>
      <c r="E66">
        <v>1323043</v>
      </c>
    </row>
    <row r="67" spans="1:5">
      <c r="A67">
        <v>6</v>
      </c>
      <c r="B67" t="s">
        <v>3534</v>
      </c>
      <c r="C67" t="s">
        <v>3580</v>
      </c>
      <c r="D67" t="s">
        <v>2300</v>
      </c>
      <c r="E67">
        <v>1323043</v>
      </c>
    </row>
    <row r="68" spans="1:5">
      <c r="A68">
        <v>7</v>
      </c>
      <c r="B68" t="s">
        <v>3535</v>
      </c>
      <c r="C68" t="s">
        <v>3555</v>
      </c>
      <c r="D68" t="s">
        <v>2300</v>
      </c>
      <c r="E68">
        <v>1323043</v>
      </c>
    </row>
    <row r="69" spans="1:5">
      <c r="A69">
        <v>8</v>
      </c>
      <c r="B69" t="s">
        <v>3536</v>
      </c>
      <c r="C69" t="s">
        <v>3574</v>
      </c>
      <c r="D69" t="s">
        <v>2300</v>
      </c>
      <c r="E69">
        <v>1323043</v>
      </c>
    </row>
    <row r="70" spans="1:5">
      <c r="A70">
        <v>9</v>
      </c>
      <c r="B70" t="s">
        <v>3537</v>
      </c>
      <c r="C70" s="67" t="s">
        <v>3685</v>
      </c>
      <c r="D70" t="s">
        <v>2300</v>
      </c>
      <c r="E70">
        <v>1323043</v>
      </c>
    </row>
    <row r="71" spans="1:5">
      <c r="A71">
        <v>10</v>
      </c>
      <c r="B71" t="s">
        <v>3538</v>
      </c>
      <c r="D71" t="s">
        <v>2300</v>
      </c>
      <c r="E71">
        <v>1323043</v>
      </c>
    </row>
    <row r="72" spans="1:5">
      <c r="A72">
        <v>11</v>
      </c>
      <c r="B72" t="s">
        <v>3539</v>
      </c>
      <c r="C72" t="s">
        <v>3581</v>
      </c>
      <c r="D72" t="s">
        <v>2300</v>
      </c>
      <c r="E72">
        <v>1323043</v>
      </c>
    </row>
    <row r="73" spans="1:5">
      <c r="A73">
        <v>12</v>
      </c>
      <c r="B73" t="s">
        <v>3540</v>
      </c>
      <c r="D73" t="s">
        <v>2300</v>
      </c>
      <c r="E73">
        <v>1323043</v>
      </c>
    </row>
    <row r="74" spans="1:5">
      <c r="A74">
        <v>1</v>
      </c>
      <c r="B74" t="s">
        <v>6</v>
      </c>
      <c r="C74" t="s">
        <v>3582</v>
      </c>
      <c r="D74" t="s">
        <v>1317</v>
      </c>
      <c r="E74">
        <v>1323020</v>
      </c>
    </row>
    <row r="75" spans="1:5">
      <c r="A75">
        <v>2</v>
      </c>
      <c r="B75" t="s">
        <v>3530</v>
      </c>
      <c r="C75" t="s">
        <v>3583</v>
      </c>
      <c r="D75" t="s">
        <v>1317</v>
      </c>
      <c r="E75">
        <v>1323020</v>
      </c>
    </row>
    <row r="76" spans="1:5">
      <c r="A76">
        <v>3</v>
      </c>
      <c r="B76" t="s">
        <v>3531</v>
      </c>
      <c r="C76" t="s">
        <v>3584</v>
      </c>
      <c r="D76" t="s">
        <v>1317</v>
      </c>
      <c r="E76">
        <v>1323020</v>
      </c>
    </row>
    <row r="77" spans="1:5">
      <c r="A77">
        <v>4</v>
      </c>
      <c r="B77" t="s">
        <v>3532</v>
      </c>
      <c r="C77" t="s">
        <v>3686</v>
      </c>
      <c r="D77" t="s">
        <v>1317</v>
      </c>
      <c r="E77">
        <v>1323020</v>
      </c>
    </row>
    <row r="78" spans="1:5">
      <c r="A78">
        <v>5</v>
      </c>
      <c r="B78" t="s">
        <v>3533</v>
      </c>
      <c r="C78" t="s">
        <v>3585</v>
      </c>
      <c r="D78" t="s">
        <v>1317</v>
      </c>
      <c r="E78">
        <v>1323020</v>
      </c>
    </row>
    <row r="79" spans="1:5">
      <c r="A79">
        <v>6</v>
      </c>
      <c r="B79" t="s">
        <v>3534</v>
      </c>
      <c r="C79" t="s">
        <v>3586</v>
      </c>
      <c r="D79" t="s">
        <v>1317</v>
      </c>
      <c r="E79">
        <v>1323020</v>
      </c>
    </row>
    <row r="80" spans="1:5">
      <c r="A80">
        <v>7</v>
      </c>
      <c r="B80" t="s">
        <v>3535</v>
      </c>
      <c r="C80" t="s">
        <v>3587</v>
      </c>
      <c r="D80" t="s">
        <v>1317</v>
      </c>
      <c r="E80">
        <v>1323020</v>
      </c>
    </row>
    <row r="81" spans="1:5">
      <c r="A81">
        <v>8</v>
      </c>
      <c r="B81" t="s">
        <v>3536</v>
      </c>
      <c r="C81" t="s">
        <v>3574</v>
      </c>
      <c r="D81" t="s">
        <v>1317</v>
      </c>
      <c r="E81">
        <v>1323020</v>
      </c>
    </row>
    <row r="82" spans="1:5">
      <c r="A82">
        <v>9</v>
      </c>
      <c r="B82" t="s">
        <v>3537</v>
      </c>
      <c r="C82" s="67" t="s">
        <v>3687</v>
      </c>
      <c r="D82" t="s">
        <v>1317</v>
      </c>
      <c r="E82">
        <v>1323020</v>
      </c>
    </row>
    <row r="83" spans="1:5">
      <c r="A83">
        <v>10</v>
      </c>
      <c r="B83" t="s">
        <v>3538</v>
      </c>
      <c r="D83" t="s">
        <v>1317</v>
      </c>
      <c r="E83">
        <v>1323020</v>
      </c>
    </row>
    <row r="84" spans="1:5">
      <c r="A84">
        <v>11</v>
      </c>
      <c r="B84" t="s">
        <v>3539</v>
      </c>
      <c r="C84" t="s">
        <v>3588</v>
      </c>
      <c r="D84" t="s">
        <v>1317</v>
      </c>
      <c r="E84">
        <v>1323020</v>
      </c>
    </row>
    <row r="85" spans="1:5">
      <c r="A85">
        <v>12</v>
      </c>
      <c r="B85" t="s">
        <v>3540</v>
      </c>
      <c r="D85" t="s">
        <v>1317</v>
      </c>
      <c r="E85">
        <v>1323020</v>
      </c>
    </row>
    <row r="86" spans="1:5">
      <c r="A86">
        <v>1</v>
      </c>
      <c r="B86" t="s">
        <v>6</v>
      </c>
      <c r="C86" t="s">
        <v>3589</v>
      </c>
      <c r="D86" t="s">
        <v>1315</v>
      </c>
      <c r="E86">
        <v>1323023</v>
      </c>
    </row>
    <row r="87" spans="1:5">
      <c r="A87">
        <v>2</v>
      </c>
      <c r="B87" t="s">
        <v>3530</v>
      </c>
      <c r="C87" t="s">
        <v>3590</v>
      </c>
      <c r="D87" t="s">
        <v>1315</v>
      </c>
      <c r="E87">
        <v>1323023</v>
      </c>
    </row>
    <row r="88" spans="1:5">
      <c r="A88">
        <v>3</v>
      </c>
      <c r="B88" t="s">
        <v>3531</v>
      </c>
      <c r="C88" t="s">
        <v>3591</v>
      </c>
      <c r="D88" t="s">
        <v>1315</v>
      </c>
      <c r="E88">
        <v>1323023</v>
      </c>
    </row>
    <row r="89" spans="1:5">
      <c r="A89">
        <v>4</v>
      </c>
      <c r="B89" t="s">
        <v>3532</v>
      </c>
      <c r="C89" t="s">
        <v>3688</v>
      </c>
      <c r="D89" t="s">
        <v>1315</v>
      </c>
      <c r="E89">
        <v>1323023</v>
      </c>
    </row>
    <row r="90" spans="1:5">
      <c r="A90">
        <v>5</v>
      </c>
      <c r="B90" t="s">
        <v>3533</v>
      </c>
      <c r="C90" t="s">
        <v>3592</v>
      </c>
      <c r="D90" t="s">
        <v>1315</v>
      </c>
      <c r="E90">
        <v>1323023</v>
      </c>
    </row>
    <row r="91" spans="1:5">
      <c r="A91">
        <v>6</v>
      </c>
      <c r="B91" t="s">
        <v>3534</v>
      </c>
      <c r="C91" t="s">
        <v>3545</v>
      </c>
      <c r="D91" t="s">
        <v>1315</v>
      </c>
      <c r="E91">
        <v>1323023</v>
      </c>
    </row>
    <row r="92" spans="1:5">
      <c r="A92">
        <v>7</v>
      </c>
      <c r="B92" t="s">
        <v>3535</v>
      </c>
      <c r="C92" t="s">
        <v>3555</v>
      </c>
      <c r="D92" t="s">
        <v>1315</v>
      </c>
      <c r="E92">
        <v>1323023</v>
      </c>
    </row>
    <row r="93" spans="1:5">
      <c r="A93">
        <v>8</v>
      </c>
      <c r="B93" t="s">
        <v>3536</v>
      </c>
      <c r="C93" t="s">
        <v>3547</v>
      </c>
      <c r="D93" t="s">
        <v>1315</v>
      </c>
      <c r="E93">
        <v>1323023</v>
      </c>
    </row>
    <row r="94" spans="1:5">
      <c r="A94">
        <v>9</v>
      </c>
      <c r="B94" t="s">
        <v>3537</v>
      </c>
      <c r="C94" s="67" t="s">
        <v>3689</v>
      </c>
      <c r="D94" t="s">
        <v>1315</v>
      </c>
      <c r="E94">
        <v>1323023</v>
      </c>
    </row>
    <row r="95" spans="1:5">
      <c r="A95">
        <v>10</v>
      </c>
      <c r="B95" t="s">
        <v>3538</v>
      </c>
      <c r="D95" t="s">
        <v>1315</v>
      </c>
      <c r="E95">
        <v>1323023</v>
      </c>
    </row>
    <row r="96" spans="1:5">
      <c r="A96">
        <v>11</v>
      </c>
      <c r="B96" t="s">
        <v>3539</v>
      </c>
      <c r="C96" t="s">
        <v>3593</v>
      </c>
      <c r="D96" t="s">
        <v>1315</v>
      </c>
      <c r="E96">
        <v>1323023</v>
      </c>
    </row>
    <row r="97" spans="1:5">
      <c r="A97">
        <v>12</v>
      </c>
      <c r="B97" t="s">
        <v>3540</v>
      </c>
      <c r="C97" t="s">
        <v>3594</v>
      </c>
      <c r="D97" t="s">
        <v>1315</v>
      </c>
      <c r="E97">
        <v>1323023</v>
      </c>
    </row>
    <row r="98" spans="1:5">
      <c r="A98">
        <v>1</v>
      </c>
      <c r="B98" t="s">
        <v>6</v>
      </c>
      <c r="C98" t="s">
        <v>3595</v>
      </c>
      <c r="D98" t="s">
        <v>76</v>
      </c>
      <c r="E98">
        <v>1322008</v>
      </c>
    </row>
    <row r="99" spans="1:5">
      <c r="A99">
        <v>2</v>
      </c>
      <c r="B99" t="s">
        <v>3530</v>
      </c>
      <c r="C99" t="s">
        <v>3596</v>
      </c>
      <c r="D99" t="s">
        <v>76</v>
      </c>
      <c r="E99">
        <v>1322008</v>
      </c>
    </row>
    <row r="100" spans="1:5">
      <c r="A100">
        <v>3</v>
      </c>
      <c r="B100" t="s">
        <v>3531</v>
      </c>
      <c r="C100" t="s">
        <v>3597</v>
      </c>
      <c r="D100" t="s">
        <v>76</v>
      </c>
      <c r="E100">
        <v>1322008</v>
      </c>
    </row>
    <row r="101" spans="1:5">
      <c r="A101">
        <v>4</v>
      </c>
      <c r="B101" t="s">
        <v>3532</v>
      </c>
      <c r="D101" t="s">
        <v>76</v>
      </c>
      <c r="E101">
        <v>1322008</v>
      </c>
    </row>
    <row r="102" spans="1:5">
      <c r="A102">
        <v>5</v>
      </c>
      <c r="B102" t="s">
        <v>3533</v>
      </c>
      <c r="C102" t="s">
        <v>3598</v>
      </c>
      <c r="D102" t="s">
        <v>76</v>
      </c>
      <c r="E102">
        <v>1322008</v>
      </c>
    </row>
    <row r="103" spans="1:5">
      <c r="A103">
        <v>6</v>
      </c>
      <c r="B103" t="s">
        <v>3534</v>
      </c>
      <c r="D103" t="s">
        <v>76</v>
      </c>
      <c r="E103">
        <v>1322008</v>
      </c>
    </row>
    <row r="104" spans="1:5">
      <c r="A104">
        <v>7</v>
      </c>
      <c r="B104" t="s">
        <v>3535</v>
      </c>
      <c r="D104" t="s">
        <v>76</v>
      </c>
      <c r="E104">
        <v>1322008</v>
      </c>
    </row>
    <row r="105" spans="1:5">
      <c r="A105">
        <v>8</v>
      </c>
      <c r="B105" t="s">
        <v>3536</v>
      </c>
      <c r="C105" t="s">
        <v>3547</v>
      </c>
      <c r="D105" t="s">
        <v>76</v>
      </c>
      <c r="E105">
        <v>1322008</v>
      </c>
    </row>
    <row r="106" spans="1:5">
      <c r="A106">
        <v>9</v>
      </c>
      <c r="B106" t="s">
        <v>3537</v>
      </c>
      <c r="C106" s="67" t="s">
        <v>3690</v>
      </c>
      <c r="D106" t="s">
        <v>76</v>
      </c>
      <c r="E106">
        <v>1322008</v>
      </c>
    </row>
    <row r="107" spans="1:5">
      <c r="A107">
        <v>10</v>
      </c>
      <c r="B107" t="s">
        <v>3538</v>
      </c>
      <c r="D107" t="s">
        <v>76</v>
      </c>
      <c r="E107">
        <v>1322008</v>
      </c>
    </row>
    <row r="108" spans="1:5">
      <c r="A108">
        <v>11</v>
      </c>
      <c r="B108" t="s">
        <v>3539</v>
      </c>
      <c r="C108" t="s">
        <v>3599</v>
      </c>
      <c r="D108" t="s">
        <v>76</v>
      </c>
      <c r="E108">
        <v>1322008</v>
      </c>
    </row>
    <row r="109" spans="1:5">
      <c r="A109">
        <v>12</v>
      </c>
      <c r="B109" t="s">
        <v>3540</v>
      </c>
      <c r="C109" t="s">
        <v>3600</v>
      </c>
      <c r="D109" t="s">
        <v>76</v>
      </c>
      <c r="E109">
        <v>1322008</v>
      </c>
    </row>
    <row r="110" spans="1:5">
      <c r="A110">
        <v>1</v>
      </c>
      <c r="B110" t="s">
        <v>6</v>
      </c>
      <c r="C110" t="s">
        <v>3601</v>
      </c>
      <c r="D110" t="s">
        <v>1480</v>
      </c>
      <c r="E110">
        <v>1323007</v>
      </c>
    </row>
    <row r="111" spans="1:5">
      <c r="A111">
        <v>2</v>
      </c>
      <c r="B111" t="s">
        <v>3530</v>
      </c>
      <c r="C111" t="s">
        <v>3602</v>
      </c>
      <c r="D111" t="s">
        <v>1480</v>
      </c>
      <c r="E111">
        <v>1323007</v>
      </c>
    </row>
    <row r="112" spans="1:5">
      <c r="A112">
        <v>3</v>
      </c>
      <c r="B112" t="s">
        <v>3531</v>
      </c>
      <c r="C112" t="s">
        <v>3603</v>
      </c>
      <c r="D112" t="s">
        <v>1480</v>
      </c>
      <c r="E112">
        <v>1323007</v>
      </c>
    </row>
    <row r="113" spans="1:7">
      <c r="A113">
        <v>4</v>
      </c>
      <c r="B113" t="s">
        <v>3532</v>
      </c>
      <c r="C113" t="s">
        <v>3691</v>
      </c>
      <c r="D113" t="s">
        <v>1480</v>
      </c>
      <c r="E113">
        <v>1323007</v>
      </c>
    </row>
    <row r="114" spans="1:7">
      <c r="A114">
        <v>5</v>
      </c>
      <c r="B114" t="s">
        <v>3533</v>
      </c>
      <c r="C114" t="s">
        <v>3604</v>
      </c>
      <c r="D114" t="s">
        <v>1480</v>
      </c>
      <c r="E114">
        <v>1323007</v>
      </c>
    </row>
    <row r="115" spans="1:7">
      <c r="A115">
        <v>6</v>
      </c>
      <c r="B115" t="s">
        <v>3534</v>
      </c>
      <c r="D115" t="s">
        <v>1480</v>
      </c>
      <c r="E115">
        <v>1323007</v>
      </c>
    </row>
    <row r="116" spans="1:7">
      <c r="A116">
        <v>7</v>
      </c>
      <c r="B116" t="s">
        <v>3535</v>
      </c>
      <c r="C116" t="s">
        <v>3555</v>
      </c>
      <c r="D116" t="s">
        <v>1480</v>
      </c>
      <c r="E116">
        <v>1323007</v>
      </c>
    </row>
    <row r="117" spans="1:7">
      <c r="A117">
        <v>8</v>
      </c>
      <c r="B117" t="s">
        <v>3536</v>
      </c>
      <c r="C117" t="s">
        <v>3574</v>
      </c>
      <c r="D117" t="s">
        <v>1480</v>
      </c>
      <c r="E117">
        <v>1323007</v>
      </c>
    </row>
    <row r="118" spans="1:7">
      <c r="A118">
        <v>9</v>
      </c>
      <c r="B118" t="s">
        <v>3537</v>
      </c>
      <c r="C118" s="67" t="s">
        <v>3692</v>
      </c>
      <c r="D118" t="s">
        <v>1480</v>
      </c>
      <c r="E118">
        <v>1323007</v>
      </c>
    </row>
    <row r="119" spans="1:7">
      <c r="A119">
        <v>10</v>
      </c>
      <c r="B119" t="s">
        <v>3538</v>
      </c>
      <c r="D119" t="s">
        <v>1480</v>
      </c>
      <c r="E119">
        <v>1323007</v>
      </c>
    </row>
    <row r="120" spans="1:7">
      <c r="A120">
        <v>11</v>
      </c>
      <c r="B120" t="s">
        <v>3539</v>
      </c>
      <c r="C120" t="s">
        <v>3605</v>
      </c>
      <c r="D120" t="s">
        <v>1480</v>
      </c>
      <c r="E120">
        <v>1323007</v>
      </c>
    </row>
    <row r="121" spans="1:7">
      <c r="A121">
        <v>12</v>
      </c>
      <c r="B121" t="s">
        <v>3540</v>
      </c>
      <c r="D121" t="s">
        <v>1480</v>
      </c>
      <c r="E121">
        <v>1323007</v>
      </c>
    </row>
    <row r="122" spans="1:7">
      <c r="A122">
        <v>1</v>
      </c>
      <c r="B122" t="s">
        <v>6</v>
      </c>
      <c r="C122" t="s">
        <v>2663</v>
      </c>
      <c r="D122" t="s">
        <v>2663</v>
      </c>
      <c r="E122">
        <v>1324008</v>
      </c>
    </row>
    <row r="123" spans="1:7">
      <c r="A123">
        <v>2</v>
      </c>
      <c r="B123" t="s">
        <v>3530</v>
      </c>
      <c r="C123" t="s">
        <v>3606</v>
      </c>
      <c r="D123" t="s">
        <v>2663</v>
      </c>
      <c r="E123">
        <v>1324008</v>
      </c>
    </row>
    <row r="124" spans="1:7">
      <c r="A124">
        <v>3</v>
      </c>
      <c r="B124" t="s">
        <v>3531</v>
      </c>
      <c r="C124" t="s">
        <v>3572</v>
      </c>
      <c r="D124" t="s">
        <v>2663</v>
      </c>
      <c r="E124">
        <v>1324008</v>
      </c>
      <c r="G124" s="69"/>
    </row>
    <row r="125" spans="1:7">
      <c r="A125">
        <v>4</v>
      </c>
      <c r="B125" t="s">
        <v>3532</v>
      </c>
      <c r="C125" t="s">
        <v>3693</v>
      </c>
      <c r="D125" t="s">
        <v>2663</v>
      </c>
      <c r="E125">
        <v>1324008</v>
      </c>
      <c r="G125" s="70"/>
    </row>
    <row r="126" spans="1:7">
      <c r="A126">
        <v>5</v>
      </c>
      <c r="B126" t="s">
        <v>3533</v>
      </c>
      <c r="C126" t="s">
        <v>3607</v>
      </c>
      <c r="D126" t="s">
        <v>2663</v>
      </c>
      <c r="E126">
        <v>1324008</v>
      </c>
    </row>
    <row r="127" spans="1:7">
      <c r="A127">
        <v>6</v>
      </c>
      <c r="B127" t="s">
        <v>3534</v>
      </c>
      <c r="C127" t="s">
        <v>3608</v>
      </c>
      <c r="D127" t="s">
        <v>2663</v>
      </c>
      <c r="E127">
        <v>1324008</v>
      </c>
    </row>
    <row r="128" spans="1:7">
      <c r="A128">
        <v>7</v>
      </c>
      <c r="B128" t="s">
        <v>3535</v>
      </c>
      <c r="C128" t="s">
        <v>3555</v>
      </c>
      <c r="D128" t="s">
        <v>2663</v>
      </c>
      <c r="E128">
        <v>1324008</v>
      </c>
    </row>
    <row r="129" spans="1:5">
      <c r="A129">
        <v>8</v>
      </c>
      <c r="B129" t="s">
        <v>3536</v>
      </c>
      <c r="C129" t="s">
        <v>3574</v>
      </c>
      <c r="D129" t="s">
        <v>2663</v>
      </c>
      <c r="E129">
        <v>1324008</v>
      </c>
    </row>
    <row r="130" spans="1:5">
      <c r="A130">
        <v>9</v>
      </c>
      <c r="B130" t="s">
        <v>3537</v>
      </c>
      <c r="C130" s="117" t="s">
        <v>3694</v>
      </c>
      <c r="D130" t="s">
        <v>2663</v>
      </c>
      <c r="E130">
        <v>1324008</v>
      </c>
    </row>
    <row r="131" spans="1:5">
      <c r="A131">
        <v>10</v>
      </c>
      <c r="B131" t="s">
        <v>3538</v>
      </c>
      <c r="D131" t="s">
        <v>2663</v>
      </c>
      <c r="E131">
        <v>1324008</v>
      </c>
    </row>
    <row r="132" spans="1:5">
      <c r="A132">
        <v>11</v>
      </c>
      <c r="B132" t="s">
        <v>3539</v>
      </c>
      <c r="C132" t="s">
        <v>3609</v>
      </c>
      <c r="D132" t="s">
        <v>2663</v>
      </c>
      <c r="E132">
        <v>1324008</v>
      </c>
    </row>
    <row r="133" spans="1:5">
      <c r="A133">
        <v>12</v>
      </c>
      <c r="B133" t="s">
        <v>3540</v>
      </c>
      <c r="C133" t="s">
        <v>3610</v>
      </c>
      <c r="D133" t="s">
        <v>2663</v>
      </c>
      <c r="E133">
        <v>1324008</v>
      </c>
    </row>
    <row r="134" spans="1:5">
      <c r="A134">
        <v>1</v>
      </c>
      <c r="B134" t="s">
        <v>6</v>
      </c>
      <c r="C134" t="s">
        <v>989</v>
      </c>
      <c r="D134" t="s">
        <v>989</v>
      </c>
      <c r="E134">
        <v>1323019</v>
      </c>
    </row>
    <row r="135" spans="1:5">
      <c r="A135">
        <v>2</v>
      </c>
      <c r="B135" t="s">
        <v>3530</v>
      </c>
      <c r="C135" t="s">
        <v>3611</v>
      </c>
      <c r="D135" t="s">
        <v>989</v>
      </c>
      <c r="E135">
        <v>1323019</v>
      </c>
    </row>
    <row r="136" spans="1:5">
      <c r="A136">
        <v>3</v>
      </c>
      <c r="B136" t="s">
        <v>3531</v>
      </c>
      <c r="C136" t="s">
        <v>3612</v>
      </c>
      <c r="D136" t="s">
        <v>989</v>
      </c>
      <c r="E136">
        <v>1323019</v>
      </c>
    </row>
    <row r="137" spans="1:5">
      <c r="A137">
        <v>4</v>
      </c>
      <c r="B137" t="s">
        <v>3532</v>
      </c>
      <c r="C137" t="s">
        <v>3695</v>
      </c>
      <c r="D137" t="s">
        <v>989</v>
      </c>
      <c r="E137">
        <v>1323019</v>
      </c>
    </row>
    <row r="138" spans="1:5">
      <c r="A138">
        <v>5</v>
      </c>
      <c r="B138" t="s">
        <v>3533</v>
      </c>
      <c r="C138" t="s">
        <v>3613</v>
      </c>
      <c r="D138" t="s">
        <v>989</v>
      </c>
      <c r="E138">
        <v>1323019</v>
      </c>
    </row>
    <row r="139" spans="1:5">
      <c r="A139">
        <v>6</v>
      </c>
      <c r="B139" t="s">
        <v>3534</v>
      </c>
      <c r="C139" t="s">
        <v>3608</v>
      </c>
      <c r="D139" t="s">
        <v>989</v>
      </c>
      <c r="E139">
        <v>1323019</v>
      </c>
    </row>
    <row r="140" spans="1:5">
      <c r="A140">
        <v>7</v>
      </c>
      <c r="B140" t="s">
        <v>3535</v>
      </c>
      <c r="C140" t="s">
        <v>3614</v>
      </c>
      <c r="D140" t="s">
        <v>989</v>
      </c>
      <c r="E140">
        <v>1323019</v>
      </c>
    </row>
    <row r="141" spans="1:5">
      <c r="A141">
        <v>8</v>
      </c>
      <c r="B141" t="s">
        <v>3536</v>
      </c>
      <c r="C141" t="s">
        <v>3574</v>
      </c>
      <c r="D141" t="s">
        <v>989</v>
      </c>
      <c r="E141">
        <v>1323019</v>
      </c>
    </row>
    <row r="142" spans="1:5">
      <c r="A142">
        <v>9</v>
      </c>
      <c r="B142" t="s">
        <v>3537</v>
      </c>
      <c r="C142" s="67" t="s">
        <v>3696</v>
      </c>
      <c r="D142" t="s">
        <v>989</v>
      </c>
      <c r="E142">
        <v>1323019</v>
      </c>
    </row>
    <row r="143" spans="1:5">
      <c r="A143">
        <v>10</v>
      </c>
      <c r="B143" t="s">
        <v>3538</v>
      </c>
      <c r="D143" t="s">
        <v>989</v>
      </c>
      <c r="E143">
        <v>1323019</v>
      </c>
    </row>
    <row r="144" spans="1:5">
      <c r="A144">
        <v>11</v>
      </c>
      <c r="B144" t="s">
        <v>3539</v>
      </c>
      <c r="C144" t="s">
        <v>3615</v>
      </c>
      <c r="D144" t="s">
        <v>989</v>
      </c>
      <c r="E144">
        <v>1323019</v>
      </c>
    </row>
    <row r="145" spans="1:5">
      <c r="A145">
        <v>12</v>
      </c>
      <c r="B145" t="s">
        <v>3540</v>
      </c>
      <c r="C145" t="s">
        <v>3616</v>
      </c>
      <c r="D145" t="s">
        <v>989</v>
      </c>
      <c r="E145">
        <v>1323019</v>
      </c>
    </row>
    <row r="146" spans="1:5">
      <c r="A146">
        <v>1</v>
      </c>
      <c r="B146" t="s">
        <v>6</v>
      </c>
      <c r="C146" t="s">
        <v>3617</v>
      </c>
      <c r="D146" t="s">
        <v>2601</v>
      </c>
      <c r="E146">
        <v>1324004</v>
      </c>
    </row>
    <row r="147" spans="1:5">
      <c r="A147">
        <v>2</v>
      </c>
      <c r="B147" t="s">
        <v>3530</v>
      </c>
      <c r="C147" t="s">
        <v>3618</v>
      </c>
      <c r="D147" t="s">
        <v>2601</v>
      </c>
      <c r="E147">
        <v>1324004</v>
      </c>
    </row>
    <row r="148" spans="1:5">
      <c r="A148">
        <v>3</v>
      </c>
      <c r="B148" t="s">
        <v>3531</v>
      </c>
      <c r="C148" t="s">
        <v>3619</v>
      </c>
      <c r="D148" t="s">
        <v>2601</v>
      </c>
      <c r="E148">
        <v>1324004</v>
      </c>
    </row>
    <row r="149" spans="1:5">
      <c r="A149">
        <v>4</v>
      </c>
      <c r="B149" t="s">
        <v>3532</v>
      </c>
      <c r="C149" t="s">
        <v>3697</v>
      </c>
      <c r="D149" t="s">
        <v>2601</v>
      </c>
      <c r="E149">
        <v>1324004</v>
      </c>
    </row>
    <row r="150" spans="1:5">
      <c r="A150">
        <v>5</v>
      </c>
      <c r="B150" t="s">
        <v>3533</v>
      </c>
      <c r="C150" t="s">
        <v>3620</v>
      </c>
      <c r="D150" t="s">
        <v>2601</v>
      </c>
      <c r="E150">
        <v>1324004</v>
      </c>
    </row>
    <row r="151" spans="1:5">
      <c r="A151">
        <v>6</v>
      </c>
      <c r="B151" t="s">
        <v>3534</v>
      </c>
      <c r="C151" t="s">
        <v>3608</v>
      </c>
      <c r="D151" t="s">
        <v>2601</v>
      </c>
      <c r="E151">
        <v>1324004</v>
      </c>
    </row>
    <row r="152" spans="1:5">
      <c r="A152">
        <v>7</v>
      </c>
      <c r="B152" t="s">
        <v>3535</v>
      </c>
      <c r="C152" t="s">
        <v>3555</v>
      </c>
      <c r="D152" t="s">
        <v>2601</v>
      </c>
      <c r="E152">
        <v>1324004</v>
      </c>
    </row>
    <row r="153" spans="1:5">
      <c r="A153">
        <v>8</v>
      </c>
      <c r="B153" t="s">
        <v>3536</v>
      </c>
      <c r="C153" t="s">
        <v>3574</v>
      </c>
      <c r="D153" t="s">
        <v>2601</v>
      </c>
      <c r="E153">
        <v>1324004</v>
      </c>
    </row>
    <row r="154" spans="1:5">
      <c r="A154">
        <v>9</v>
      </c>
      <c r="B154" t="s">
        <v>3537</v>
      </c>
      <c r="C154" s="117" t="s">
        <v>3698</v>
      </c>
      <c r="D154" t="s">
        <v>2601</v>
      </c>
      <c r="E154">
        <v>1324004</v>
      </c>
    </row>
    <row r="155" spans="1:5">
      <c r="A155">
        <v>10</v>
      </c>
      <c r="B155" t="s">
        <v>3538</v>
      </c>
      <c r="D155" t="s">
        <v>2601</v>
      </c>
      <c r="E155">
        <v>1324004</v>
      </c>
    </row>
    <row r="156" spans="1:5">
      <c r="A156">
        <v>11</v>
      </c>
      <c r="B156" t="s">
        <v>3539</v>
      </c>
      <c r="C156" t="s">
        <v>3621</v>
      </c>
      <c r="D156" t="s">
        <v>2601</v>
      </c>
      <c r="E156">
        <v>1324004</v>
      </c>
    </row>
    <row r="157" spans="1:5">
      <c r="A157">
        <v>12</v>
      </c>
      <c r="B157" t="s">
        <v>3540</v>
      </c>
      <c r="C157" t="s">
        <v>3622</v>
      </c>
      <c r="D157" t="s">
        <v>2601</v>
      </c>
      <c r="E157">
        <v>1324004</v>
      </c>
    </row>
    <row r="158" spans="1:5">
      <c r="A158">
        <v>1</v>
      </c>
      <c r="B158" t="s">
        <v>6</v>
      </c>
      <c r="C158" t="s">
        <v>3623</v>
      </c>
      <c r="D158" t="s">
        <v>2336</v>
      </c>
      <c r="E158">
        <v>1324001</v>
      </c>
    </row>
    <row r="159" spans="1:5">
      <c r="A159">
        <v>2</v>
      </c>
      <c r="B159" t="s">
        <v>3530</v>
      </c>
      <c r="C159" t="s">
        <v>3624</v>
      </c>
      <c r="D159" t="s">
        <v>2336</v>
      </c>
      <c r="E159">
        <v>1324001</v>
      </c>
    </row>
    <row r="160" spans="1:5">
      <c r="A160">
        <v>3</v>
      </c>
      <c r="B160" t="s">
        <v>3531</v>
      </c>
      <c r="C160" t="s">
        <v>3625</v>
      </c>
      <c r="D160" t="s">
        <v>2336</v>
      </c>
      <c r="E160">
        <v>1324001</v>
      </c>
    </row>
    <row r="161" spans="1:5">
      <c r="A161">
        <v>4</v>
      </c>
      <c r="B161" t="s">
        <v>3532</v>
      </c>
      <c r="D161" t="s">
        <v>2336</v>
      </c>
      <c r="E161">
        <v>1324001</v>
      </c>
    </row>
    <row r="162" spans="1:5">
      <c r="A162">
        <v>5</v>
      </c>
      <c r="B162" t="s">
        <v>3533</v>
      </c>
      <c r="C162" t="s">
        <v>3626</v>
      </c>
      <c r="D162" t="s">
        <v>2336</v>
      </c>
      <c r="E162">
        <v>1324001</v>
      </c>
    </row>
    <row r="163" spans="1:5">
      <c r="A163">
        <v>6</v>
      </c>
      <c r="B163" t="s">
        <v>3534</v>
      </c>
      <c r="C163" t="s">
        <v>3608</v>
      </c>
      <c r="D163" t="s">
        <v>2336</v>
      </c>
      <c r="E163">
        <v>1324001</v>
      </c>
    </row>
    <row r="164" spans="1:5">
      <c r="A164">
        <v>7</v>
      </c>
      <c r="B164" t="s">
        <v>3535</v>
      </c>
      <c r="D164" t="s">
        <v>2336</v>
      </c>
      <c r="E164">
        <v>1324001</v>
      </c>
    </row>
    <row r="165" spans="1:5">
      <c r="A165">
        <v>8</v>
      </c>
      <c r="B165" t="s">
        <v>3536</v>
      </c>
      <c r="C165" t="s">
        <v>3547</v>
      </c>
      <c r="D165" t="s">
        <v>2336</v>
      </c>
      <c r="E165">
        <v>1324001</v>
      </c>
    </row>
    <row r="166" spans="1:5">
      <c r="A166">
        <v>9</v>
      </c>
      <c r="B166" t="s">
        <v>3537</v>
      </c>
      <c r="C166" s="118" t="s">
        <v>3699</v>
      </c>
      <c r="D166" t="s">
        <v>2336</v>
      </c>
      <c r="E166">
        <v>1324001</v>
      </c>
    </row>
    <row r="167" spans="1:5">
      <c r="A167">
        <v>10</v>
      </c>
      <c r="B167" t="s">
        <v>3538</v>
      </c>
      <c r="D167" t="s">
        <v>2336</v>
      </c>
      <c r="E167">
        <v>1324001</v>
      </c>
    </row>
    <row r="168" spans="1:5">
      <c r="A168">
        <v>11</v>
      </c>
      <c r="B168" t="s">
        <v>3539</v>
      </c>
      <c r="C168" t="s">
        <v>3627</v>
      </c>
      <c r="D168" t="s">
        <v>2336</v>
      </c>
      <c r="E168">
        <v>1324001</v>
      </c>
    </row>
    <row r="169" spans="1:5">
      <c r="A169">
        <v>12</v>
      </c>
      <c r="B169" t="s">
        <v>3540</v>
      </c>
      <c r="C169" t="s">
        <v>3628</v>
      </c>
      <c r="D169" t="s">
        <v>2336</v>
      </c>
      <c r="E169">
        <v>1324001</v>
      </c>
    </row>
    <row r="170" spans="1:5">
      <c r="A170">
        <v>1</v>
      </c>
      <c r="B170" t="s">
        <v>6</v>
      </c>
      <c r="C170" t="s">
        <v>3629</v>
      </c>
      <c r="D170" t="s">
        <v>924</v>
      </c>
      <c r="E170">
        <v>1322039</v>
      </c>
    </row>
    <row r="171" spans="1:5">
      <c r="A171">
        <v>2</v>
      </c>
      <c r="B171" t="s">
        <v>3530</v>
      </c>
      <c r="C171" t="s">
        <v>3630</v>
      </c>
      <c r="D171" t="s">
        <v>924</v>
      </c>
      <c r="E171">
        <v>1322039</v>
      </c>
    </row>
    <row r="172" spans="1:5">
      <c r="A172">
        <v>3</v>
      </c>
      <c r="B172" t="s">
        <v>3531</v>
      </c>
      <c r="C172" t="s">
        <v>3631</v>
      </c>
      <c r="D172" t="s">
        <v>924</v>
      </c>
      <c r="E172">
        <v>1322039</v>
      </c>
    </row>
    <row r="173" spans="1:5">
      <c r="A173">
        <v>4</v>
      </c>
      <c r="B173" t="s">
        <v>3532</v>
      </c>
      <c r="D173" t="s">
        <v>924</v>
      </c>
      <c r="E173">
        <v>1322039</v>
      </c>
    </row>
    <row r="174" spans="1:5">
      <c r="A174">
        <v>5</v>
      </c>
      <c r="B174" t="s">
        <v>3533</v>
      </c>
      <c r="C174" t="s">
        <v>3632</v>
      </c>
      <c r="D174" t="s">
        <v>924</v>
      </c>
      <c r="E174">
        <v>1322039</v>
      </c>
    </row>
    <row r="175" spans="1:5">
      <c r="A175">
        <v>6</v>
      </c>
      <c r="B175" t="s">
        <v>3534</v>
      </c>
      <c r="C175" t="s">
        <v>3608</v>
      </c>
      <c r="D175" t="s">
        <v>924</v>
      </c>
      <c r="E175">
        <v>1322039</v>
      </c>
    </row>
    <row r="176" spans="1:5">
      <c r="A176">
        <v>7</v>
      </c>
      <c r="B176" t="s">
        <v>3535</v>
      </c>
      <c r="C176" t="s">
        <v>3555</v>
      </c>
      <c r="D176" t="s">
        <v>924</v>
      </c>
      <c r="E176">
        <v>1322039</v>
      </c>
    </row>
    <row r="177" spans="1:5">
      <c r="A177">
        <v>8</v>
      </c>
      <c r="B177" t="s">
        <v>3536</v>
      </c>
      <c r="C177" t="s">
        <v>3574</v>
      </c>
      <c r="D177" t="s">
        <v>924</v>
      </c>
      <c r="E177">
        <v>1322039</v>
      </c>
    </row>
    <row r="178" spans="1:5">
      <c r="A178">
        <v>9</v>
      </c>
      <c r="B178" t="s">
        <v>3537</v>
      </c>
      <c r="C178" s="117" t="s">
        <v>3700</v>
      </c>
      <c r="D178" t="s">
        <v>924</v>
      </c>
      <c r="E178">
        <v>1322039</v>
      </c>
    </row>
    <row r="179" spans="1:5">
      <c r="A179">
        <v>10</v>
      </c>
      <c r="B179" t="s">
        <v>3538</v>
      </c>
      <c r="D179" t="s">
        <v>924</v>
      </c>
      <c r="E179">
        <v>1322039</v>
      </c>
    </row>
    <row r="180" spans="1:5">
      <c r="A180">
        <v>11</v>
      </c>
      <c r="B180" t="s">
        <v>3539</v>
      </c>
      <c r="C180" t="s">
        <v>3633</v>
      </c>
      <c r="D180" t="s">
        <v>924</v>
      </c>
      <c r="E180">
        <v>1322039</v>
      </c>
    </row>
    <row r="181" spans="1:5">
      <c r="A181">
        <v>12</v>
      </c>
      <c r="B181" t="s">
        <v>3540</v>
      </c>
      <c r="C181" t="s">
        <v>3634</v>
      </c>
      <c r="D181" t="s">
        <v>924</v>
      </c>
      <c r="E181">
        <v>1322039</v>
      </c>
    </row>
    <row r="182" spans="1:5">
      <c r="A182">
        <v>1</v>
      </c>
      <c r="B182" t="s">
        <v>6</v>
      </c>
      <c r="C182" t="s">
        <v>3506</v>
      </c>
      <c r="D182" t="s">
        <v>3635</v>
      </c>
      <c r="E182">
        <v>1322032</v>
      </c>
    </row>
    <row r="183" spans="1:5">
      <c r="A183">
        <v>2</v>
      </c>
      <c r="B183" t="s">
        <v>3530</v>
      </c>
      <c r="C183" t="s">
        <v>3636</v>
      </c>
      <c r="D183" t="s">
        <v>3635</v>
      </c>
      <c r="E183">
        <v>1322032</v>
      </c>
    </row>
    <row r="184" spans="1:5">
      <c r="A184">
        <v>3</v>
      </c>
      <c r="B184" t="s">
        <v>3531</v>
      </c>
      <c r="C184" t="s">
        <v>3637</v>
      </c>
      <c r="D184" t="s">
        <v>3635</v>
      </c>
      <c r="E184">
        <v>1322032</v>
      </c>
    </row>
    <row r="185" spans="1:5">
      <c r="A185">
        <v>4</v>
      </c>
      <c r="B185" t="s">
        <v>3532</v>
      </c>
      <c r="C185" t="s">
        <v>3701</v>
      </c>
      <c r="D185" t="s">
        <v>3635</v>
      </c>
      <c r="E185">
        <v>1322032</v>
      </c>
    </row>
    <row r="186" spans="1:5">
      <c r="A186">
        <v>5</v>
      </c>
      <c r="B186" t="s">
        <v>3533</v>
      </c>
      <c r="C186" t="s">
        <v>3638</v>
      </c>
      <c r="D186" t="s">
        <v>3635</v>
      </c>
      <c r="E186">
        <v>1322032</v>
      </c>
    </row>
    <row r="187" spans="1:5">
      <c r="A187">
        <v>6</v>
      </c>
      <c r="B187" t="s">
        <v>3534</v>
      </c>
      <c r="C187" t="s">
        <v>3639</v>
      </c>
      <c r="D187" t="s">
        <v>3635</v>
      </c>
      <c r="E187">
        <v>1322032</v>
      </c>
    </row>
    <row r="188" spans="1:5">
      <c r="A188">
        <v>7</v>
      </c>
      <c r="B188" t="s">
        <v>3535</v>
      </c>
      <c r="C188" t="s">
        <v>3640</v>
      </c>
      <c r="D188" t="s">
        <v>3635</v>
      </c>
      <c r="E188">
        <v>1322032</v>
      </c>
    </row>
    <row r="189" spans="1:5">
      <c r="A189">
        <v>8</v>
      </c>
      <c r="B189" t="s">
        <v>3536</v>
      </c>
      <c r="C189" t="s">
        <v>3574</v>
      </c>
      <c r="D189" t="s">
        <v>3635</v>
      </c>
      <c r="E189">
        <v>1322032</v>
      </c>
    </row>
    <row r="190" spans="1:5">
      <c r="A190">
        <v>9</v>
      </c>
      <c r="B190" t="s">
        <v>3537</v>
      </c>
      <c r="C190" s="117" t="s">
        <v>3702</v>
      </c>
      <c r="D190" t="s">
        <v>3635</v>
      </c>
      <c r="E190">
        <v>1322032</v>
      </c>
    </row>
    <row r="191" spans="1:5">
      <c r="A191">
        <v>10</v>
      </c>
      <c r="B191" t="s">
        <v>3538</v>
      </c>
      <c r="D191" t="s">
        <v>3635</v>
      </c>
      <c r="E191">
        <v>1322032</v>
      </c>
    </row>
    <row r="192" spans="1:5">
      <c r="A192">
        <v>11</v>
      </c>
      <c r="B192" t="s">
        <v>3539</v>
      </c>
      <c r="D192" t="s">
        <v>3635</v>
      </c>
      <c r="E192">
        <v>1322032</v>
      </c>
    </row>
    <row r="193" spans="1:5">
      <c r="A193">
        <v>12</v>
      </c>
      <c r="B193" t="s">
        <v>3540</v>
      </c>
      <c r="D193" t="s">
        <v>3635</v>
      </c>
      <c r="E193">
        <v>1322032</v>
      </c>
    </row>
    <row r="194" spans="1:5">
      <c r="A194">
        <v>1</v>
      </c>
      <c r="B194" t="s">
        <v>6</v>
      </c>
      <c r="C194" t="s">
        <v>3641</v>
      </c>
      <c r="D194" t="s">
        <v>750</v>
      </c>
      <c r="E194">
        <v>1322033</v>
      </c>
    </row>
    <row r="195" spans="1:5">
      <c r="A195">
        <v>2</v>
      </c>
      <c r="B195" t="s">
        <v>3530</v>
      </c>
      <c r="D195" t="s">
        <v>750</v>
      </c>
      <c r="E195">
        <v>1322033</v>
      </c>
    </row>
    <row r="196" spans="1:5">
      <c r="A196">
        <v>3</v>
      </c>
      <c r="B196" t="s">
        <v>3531</v>
      </c>
      <c r="C196" t="s">
        <v>3643</v>
      </c>
      <c r="D196" t="s">
        <v>750</v>
      </c>
      <c r="E196">
        <v>1322033</v>
      </c>
    </row>
    <row r="197" spans="1:5">
      <c r="A197">
        <v>4</v>
      </c>
      <c r="B197" t="s">
        <v>3532</v>
      </c>
      <c r="C197" s="71">
        <v>44813</v>
      </c>
      <c r="D197" t="s">
        <v>750</v>
      </c>
      <c r="E197">
        <v>1322033</v>
      </c>
    </row>
    <row r="198" spans="1:5">
      <c r="A198">
        <v>5</v>
      </c>
      <c r="B198" t="s">
        <v>3533</v>
      </c>
      <c r="C198" t="s">
        <v>3703</v>
      </c>
      <c r="D198" t="s">
        <v>750</v>
      </c>
      <c r="E198">
        <v>1322033</v>
      </c>
    </row>
    <row r="199" spans="1:5">
      <c r="A199">
        <v>6</v>
      </c>
      <c r="B199" t="s">
        <v>3534</v>
      </c>
      <c r="C199" t="s">
        <v>3644</v>
      </c>
      <c r="D199" t="s">
        <v>750</v>
      </c>
      <c r="E199">
        <v>1322033</v>
      </c>
    </row>
    <row r="200" spans="1:5">
      <c r="A200">
        <v>7</v>
      </c>
      <c r="B200" t="s">
        <v>3535</v>
      </c>
      <c r="D200" t="s">
        <v>750</v>
      </c>
      <c r="E200">
        <v>1322033</v>
      </c>
    </row>
    <row r="201" spans="1:5">
      <c r="A201">
        <v>8</v>
      </c>
      <c r="B201" t="s">
        <v>3536</v>
      </c>
      <c r="C201" t="s">
        <v>3574</v>
      </c>
      <c r="D201" t="s">
        <v>750</v>
      </c>
      <c r="E201">
        <v>1322033</v>
      </c>
    </row>
    <row r="202" spans="1:5">
      <c r="A202">
        <v>9</v>
      </c>
      <c r="B202" t="s">
        <v>3537</v>
      </c>
      <c r="C202" s="117" t="s">
        <v>3704</v>
      </c>
      <c r="D202" t="s">
        <v>750</v>
      </c>
      <c r="E202">
        <v>1322033</v>
      </c>
    </row>
    <row r="203" spans="1:5">
      <c r="A203">
        <v>10</v>
      </c>
      <c r="B203" t="s">
        <v>3538</v>
      </c>
      <c r="D203" t="s">
        <v>750</v>
      </c>
      <c r="E203">
        <v>1322033</v>
      </c>
    </row>
    <row r="204" spans="1:5">
      <c r="A204">
        <v>11</v>
      </c>
      <c r="B204" t="s">
        <v>3539</v>
      </c>
      <c r="C204" t="s">
        <v>3645</v>
      </c>
      <c r="D204" t="s">
        <v>750</v>
      </c>
      <c r="E204">
        <v>1322033</v>
      </c>
    </row>
    <row r="205" spans="1:5">
      <c r="A205">
        <v>12</v>
      </c>
      <c r="B205" t="s">
        <v>3540</v>
      </c>
      <c r="C205" t="s">
        <v>3646</v>
      </c>
      <c r="D205" t="s">
        <v>750</v>
      </c>
      <c r="E205">
        <v>1322033</v>
      </c>
    </row>
    <row r="206" spans="1:5">
      <c r="A206">
        <v>1</v>
      </c>
      <c r="B206" t="s">
        <v>6</v>
      </c>
      <c r="C206" t="s">
        <v>735</v>
      </c>
      <c r="D206" t="s">
        <v>735</v>
      </c>
      <c r="E206">
        <v>1322024</v>
      </c>
    </row>
    <row r="207" spans="1:5">
      <c r="A207">
        <v>2</v>
      </c>
      <c r="B207" t="s">
        <v>3530</v>
      </c>
      <c r="C207" t="s">
        <v>3647</v>
      </c>
      <c r="D207" t="s">
        <v>735</v>
      </c>
      <c r="E207">
        <v>1322024</v>
      </c>
    </row>
    <row r="208" spans="1:5">
      <c r="A208">
        <v>3</v>
      </c>
      <c r="B208" t="s">
        <v>3531</v>
      </c>
      <c r="C208" t="s">
        <v>3648</v>
      </c>
      <c r="D208" t="s">
        <v>735</v>
      </c>
      <c r="E208">
        <v>1322024</v>
      </c>
    </row>
    <row r="209" spans="1:5">
      <c r="A209">
        <v>4</v>
      </c>
      <c r="B209" t="s">
        <v>3532</v>
      </c>
      <c r="C209" t="s">
        <v>3705</v>
      </c>
      <c r="D209" t="s">
        <v>735</v>
      </c>
      <c r="E209">
        <v>1322024</v>
      </c>
    </row>
    <row r="210" spans="1:5">
      <c r="A210">
        <v>5</v>
      </c>
      <c r="B210" t="s">
        <v>3533</v>
      </c>
      <c r="C210" t="s">
        <v>3649</v>
      </c>
      <c r="D210" t="s">
        <v>735</v>
      </c>
      <c r="E210">
        <v>1322024</v>
      </c>
    </row>
    <row r="211" spans="1:5">
      <c r="A211">
        <v>6</v>
      </c>
      <c r="B211" t="s">
        <v>3534</v>
      </c>
      <c r="C211" t="s">
        <v>3608</v>
      </c>
      <c r="D211" t="s">
        <v>735</v>
      </c>
      <c r="E211">
        <v>1322024</v>
      </c>
    </row>
    <row r="212" spans="1:5">
      <c r="A212">
        <v>7</v>
      </c>
      <c r="B212" t="s">
        <v>3535</v>
      </c>
      <c r="C212" t="s">
        <v>3650</v>
      </c>
      <c r="D212" t="s">
        <v>735</v>
      </c>
      <c r="E212">
        <v>1322024</v>
      </c>
    </row>
    <row r="213" spans="1:5">
      <c r="A213">
        <v>8</v>
      </c>
      <c r="B213" t="s">
        <v>3536</v>
      </c>
      <c r="C213" t="s">
        <v>3651</v>
      </c>
      <c r="D213" t="s">
        <v>735</v>
      </c>
      <c r="E213">
        <v>1322024</v>
      </c>
    </row>
    <row r="214" spans="1:5">
      <c r="A214">
        <v>9</v>
      </c>
      <c r="B214" t="s">
        <v>3537</v>
      </c>
      <c r="C214" s="117" t="s">
        <v>3706</v>
      </c>
      <c r="D214" t="s">
        <v>735</v>
      </c>
      <c r="E214">
        <v>1322024</v>
      </c>
    </row>
    <row r="215" spans="1:5">
      <c r="A215">
        <v>10</v>
      </c>
      <c r="B215" t="s">
        <v>3538</v>
      </c>
      <c r="D215" t="s">
        <v>735</v>
      </c>
      <c r="E215">
        <v>1322024</v>
      </c>
    </row>
    <row r="216" spans="1:5">
      <c r="A216">
        <v>11</v>
      </c>
      <c r="B216" t="s">
        <v>3539</v>
      </c>
      <c r="D216" t="s">
        <v>735</v>
      </c>
      <c r="E216">
        <v>1322024</v>
      </c>
    </row>
    <row r="217" spans="1:5">
      <c r="A217">
        <v>12</v>
      </c>
      <c r="B217" t="s">
        <v>3540</v>
      </c>
      <c r="C217" t="s">
        <v>3652</v>
      </c>
      <c r="D217" t="s">
        <v>735</v>
      </c>
      <c r="E217">
        <v>1322024</v>
      </c>
    </row>
    <row r="218" spans="1:5">
      <c r="A218">
        <v>1</v>
      </c>
      <c r="B218" t="s">
        <v>6</v>
      </c>
      <c r="C218" t="s">
        <v>3653</v>
      </c>
      <c r="D218" t="s">
        <v>52</v>
      </c>
      <c r="E218">
        <v>1317039</v>
      </c>
    </row>
    <row r="219" spans="1:5">
      <c r="A219">
        <v>2</v>
      </c>
      <c r="B219" t="s">
        <v>3530</v>
      </c>
      <c r="C219" t="s">
        <v>3654</v>
      </c>
      <c r="D219" t="s">
        <v>52</v>
      </c>
      <c r="E219">
        <v>1317039</v>
      </c>
    </row>
    <row r="220" spans="1:5">
      <c r="A220">
        <v>3</v>
      </c>
      <c r="B220" t="s">
        <v>3531</v>
      </c>
      <c r="C220" t="s">
        <v>3655</v>
      </c>
      <c r="D220" t="s">
        <v>52</v>
      </c>
      <c r="E220">
        <v>1317039</v>
      </c>
    </row>
    <row r="221" spans="1:5">
      <c r="A221">
        <v>4</v>
      </c>
      <c r="B221" t="s">
        <v>3532</v>
      </c>
      <c r="C221" t="s">
        <v>3707</v>
      </c>
      <c r="D221" t="s">
        <v>52</v>
      </c>
      <c r="E221">
        <v>1317039</v>
      </c>
    </row>
    <row r="222" spans="1:5">
      <c r="A222">
        <v>5</v>
      </c>
      <c r="B222" t="s">
        <v>3533</v>
      </c>
      <c r="C222" t="s">
        <v>3656</v>
      </c>
      <c r="D222" t="s">
        <v>52</v>
      </c>
      <c r="E222">
        <v>1317039</v>
      </c>
    </row>
    <row r="223" spans="1:5">
      <c r="A223">
        <v>6</v>
      </c>
      <c r="B223" t="s">
        <v>3534</v>
      </c>
      <c r="C223" t="s">
        <v>3657</v>
      </c>
      <c r="D223" t="s">
        <v>52</v>
      </c>
      <c r="E223">
        <v>1317039</v>
      </c>
    </row>
    <row r="224" spans="1:5">
      <c r="A224">
        <v>7</v>
      </c>
      <c r="B224" t="s">
        <v>3535</v>
      </c>
      <c r="C224" t="s">
        <v>3546</v>
      </c>
      <c r="D224" t="s">
        <v>52</v>
      </c>
      <c r="E224">
        <v>1317039</v>
      </c>
    </row>
    <row r="225" spans="1:5">
      <c r="A225">
        <v>8</v>
      </c>
      <c r="B225" t="s">
        <v>3536</v>
      </c>
      <c r="C225" t="s">
        <v>3658</v>
      </c>
      <c r="D225" t="s">
        <v>52</v>
      </c>
      <c r="E225">
        <v>1317039</v>
      </c>
    </row>
    <row r="226" spans="1:5">
      <c r="A226">
        <v>9</v>
      </c>
      <c r="B226" t="s">
        <v>3537</v>
      </c>
      <c r="C226" s="117" t="s">
        <v>3708</v>
      </c>
      <c r="D226" t="s">
        <v>52</v>
      </c>
      <c r="E226">
        <v>1317039</v>
      </c>
    </row>
    <row r="227" spans="1:5">
      <c r="A227">
        <v>10</v>
      </c>
      <c r="B227" t="s">
        <v>3538</v>
      </c>
      <c r="D227" t="s">
        <v>52</v>
      </c>
      <c r="E227">
        <v>1317039</v>
      </c>
    </row>
    <row r="228" spans="1:5">
      <c r="A228">
        <v>11</v>
      </c>
      <c r="B228" t="s">
        <v>3539</v>
      </c>
      <c r="C228" t="s">
        <v>3659</v>
      </c>
      <c r="D228" t="s">
        <v>52</v>
      </c>
      <c r="E228">
        <v>1317039</v>
      </c>
    </row>
    <row r="229" spans="1:5">
      <c r="A229">
        <v>12</v>
      </c>
      <c r="B229" t="s">
        <v>3540</v>
      </c>
      <c r="C229" s="72" t="s">
        <v>3660</v>
      </c>
      <c r="D229" t="s">
        <v>52</v>
      </c>
      <c r="E229">
        <v>1317039</v>
      </c>
    </row>
    <row r="230" spans="1:5">
      <c r="A230">
        <v>1</v>
      </c>
      <c r="B230" t="s">
        <v>6</v>
      </c>
      <c r="C230" t="s">
        <v>3661</v>
      </c>
      <c r="D230" t="s">
        <v>3475</v>
      </c>
    </row>
    <row r="231" spans="1:5">
      <c r="A231">
        <v>2</v>
      </c>
      <c r="B231" t="s">
        <v>3530</v>
      </c>
      <c r="C231" t="s">
        <v>3662</v>
      </c>
      <c r="D231" t="s">
        <v>3475</v>
      </c>
    </row>
    <row r="232" spans="1:5">
      <c r="A232">
        <v>3</v>
      </c>
      <c r="B232" t="s">
        <v>3531</v>
      </c>
      <c r="C232" t="s">
        <v>3663</v>
      </c>
      <c r="D232" t="s">
        <v>3475</v>
      </c>
    </row>
    <row r="233" spans="1:5">
      <c r="A233">
        <v>4</v>
      </c>
      <c r="B233" t="s">
        <v>3532</v>
      </c>
      <c r="C233" t="s">
        <v>3709</v>
      </c>
      <c r="D233" t="s">
        <v>3475</v>
      </c>
    </row>
    <row r="234" spans="1:5">
      <c r="A234">
        <v>5</v>
      </c>
      <c r="B234" t="s">
        <v>3533</v>
      </c>
      <c r="C234" t="s">
        <v>3664</v>
      </c>
      <c r="D234" t="s">
        <v>3475</v>
      </c>
    </row>
    <row r="235" spans="1:5">
      <c r="A235">
        <v>6</v>
      </c>
      <c r="B235" t="s">
        <v>3534</v>
      </c>
      <c r="C235" t="s">
        <v>3608</v>
      </c>
      <c r="D235" t="s">
        <v>3475</v>
      </c>
    </row>
    <row r="236" spans="1:5">
      <c r="A236">
        <v>7</v>
      </c>
      <c r="B236" t="s">
        <v>3535</v>
      </c>
      <c r="C236" t="s">
        <v>3665</v>
      </c>
      <c r="D236" t="s">
        <v>3475</v>
      </c>
    </row>
    <row r="237" spans="1:5">
      <c r="A237">
        <v>8</v>
      </c>
      <c r="B237" t="s">
        <v>3536</v>
      </c>
      <c r="C237" t="s">
        <v>3547</v>
      </c>
      <c r="D237" t="s">
        <v>3475</v>
      </c>
    </row>
    <row r="238" spans="1:5">
      <c r="A238">
        <v>9</v>
      </c>
      <c r="B238" t="s">
        <v>3537</v>
      </c>
      <c r="C238" s="117" t="s">
        <v>3710</v>
      </c>
      <c r="D238" t="s">
        <v>3475</v>
      </c>
    </row>
    <row r="239" spans="1:5">
      <c r="A239">
        <v>10</v>
      </c>
      <c r="B239" t="s">
        <v>3538</v>
      </c>
      <c r="D239" t="s">
        <v>3475</v>
      </c>
    </row>
    <row r="240" spans="1:5">
      <c r="A240">
        <v>11</v>
      </c>
      <c r="B240" t="s">
        <v>3539</v>
      </c>
      <c r="C240" t="s">
        <v>3666</v>
      </c>
      <c r="D240" t="s">
        <v>3475</v>
      </c>
    </row>
    <row r="241" spans="1:4">
      <c r="A241">
        <v>12</v>
      </c>
      <c r="B241" t="s">
        <v>3540</v>
      </c>
      <c r="C241" t="s">
        <v>3660</v>
      </c>
      <c r="D241" t="s">
        <v>3475</v>
      </c>
    </row>
    <row r="242" spans="1:4">
      <c r="A242">
        <v>1</v>
      </c>
      <c r="B242" t="s">
        <v>6</v>
      </c>
      <c r="C242" t="s">
        <v>3667</v>
      </c>
      <c r="D242" t="s">
        <v>86</v>
      </c>
    </row>
    <row r="243" spans="1:4">
      <c r="A243">
        <v>2</v>
      </c>
      <c r="B243" t="s">
        <v>3530</v>
      </c>
      <c r="C243" t="s">
        <v>3668</v>
      </c>
      <c r="D243" t="s">
        <v>86</v>
      </c>
    </row>
    <row r="244" spans="1:4">
      <c r="A244">
        <v>3</v>
      </c>
      <c r="B244" t="s">
        <v>3531</v>
      </c>
      <c r="C244" t="s">
        <v>3669</v>
      </c>
      <c r="D244" t="s">
        <v>86</v>
      </c>
    </row>
    <row r="245" spans="1:4">
      <c r="A245">
        <v>4</v>
      </c>
      <c r="B245" t="s">
        <v>3532</v>
      </c>
      <c r="C245" s="73" t="s">
        <v>3711</v>
      </c>
      <c r="D245" t="s">
        <v>86</v>
      </c>
    </row>
    <row r="246" spans="1:4">
      <c r="A246">
        <v>5</v>
      </c>
      <c r="B246" t="s">
        <v>3533</v>
      </c>
      <c r="C246" t="s">
        <v>3670</v>
      </c>
      <c r="D246" t="s">
        <v>86</v>
      </c>
    </row>
    <row r="247" spans="1:4">
      <c r="A247">
        <v>6</v>
      </c>
      <c r="B247" t="s">
        <v>3534</v>
      </c>
      <c r="D247" t="s">
        <v>86</v>
      </c>
    </row>
    <row r="248" spans="1:4">
      <c r="A248">
        <v>7</v>
      </c>
      <c r="B248" t="s">
        <v>3535</v>
      </c>
      <c r="C248" t="s">
        <v>3640</v>
      </c>
      <c r="D248" t="s">
        <v>86</v>
      </c>
    </row>
    <row r="249" spans="1:4">
      <c r="A249">
        <v>8</v>
      </c>
      <c r="B249" t="s">
        <v>3536</v>
      </c>
      <c r="C249" t="s">
        <v>3574</v>
      </c>
      <c r="D249" t="s">
        <v>86</v>
      </c>
    </row>
    <row r="250" spans="1:4">
      <c r="A250">
        <v>9</v>
      </c>
      <c r="B250" t="s">
        <v>3537</v>
      </c>
      <c r="C250" s="117" t="s">
        <v>3712</v>
      </c>
      <c r="D250" t="s">
        <v>86</v>
      </c>
    </row>
    <row r="251" spans="1:4">
      <c r="A251">
        <v>10</v>
      </c>
      <c r="B251" t="s">
        <v>3538</v>
      </c>
      <c r="D251" t="s">
        <v>86</v>
      </c>
    </row>
    <row r="252" spans="1:4">
      <c r="A252">
        <v>11</v>
      </c>
      <c r="B252" t="s">
        <v>3539</v>
      </c>
      <c r="C252" t="s">
        <v>3549</v>
      </c>
      <c r="D252" t="s">
        <v>86</v>
      </c>
    </row>
    <row r="253" spans="1:4">
      <c r="A253">
        <v>12</v>
      </c>
      <c r="B253" t="s">
        <v>3540</v>
      </c>
      <c r="C253" t="s">
        <v>3671</v>
      </c>
      <c r="D253" t="s">
        <v>86</v>
      </c>
    </row>
    <row r="254" spans="1:4">
      <c r="A254">
        <v>1</v>
      </c>
      <c r="B254" t="s">
        <v>6</v>
      </c>
      <c r="C254" t="s">
        <v>2267</v>
      </c>
      <c r="D254" s="115" t="s">
        <v>2267</v>
      </c>
    </row>
    <row r="255" spans="1:4">
      <c r="A255">
        <v>2</v>
      </c>
      <c r="B255" t="s">
        <v>3530</v>
      </c>
      <c r="C255" t="s">
        <v>3713</v>
      </c>
      <c r="D255" s="115" t="s">
        <v>2267</v>
      </c>
    </row>
    <row r="256" spans="1:4">
      <c r="A256">
        <v>3</v>
      </c>
      <c r="B256" t="s">
        <v>3531</v>
      </c>
      <c r="C256" t="s">
        <v>3714</v>
      </c>
      <c r="D256" s="115" t="s">
        <v>2267</v>
      </c>
    </row>
    <row r="257" spans="1:4">
      <c r="A257">
        <v>4</v>
      </c>
      <c r="B257" t="s">
        <v>3532</v>
      </c>
      <c r="C257" s="73" t="s">
        <v>3715</v>
      </c>
      <c r="D257" s="115" t="s">
        <v>2267</v>
      </c>
    </row>
    <row r="258" spans="1:4">
      <c r="A258">
        <v>5</v>
      </c>
      <c r="B258" t="s">
        <v>3533</v>
      </c>
      <c r="C258" s="113" t="s">
        <v>3716</v>
      </c>
      <c r="D258" s="115" t="s">
        <v>2267</v>
      </c>
    </row>
    <row r="259" spans="1:4">
      <c r="A259">
        <v>6</v>
      </c>
      <c r="B259" t="s">
        <v>3534</v>
      </c>
      <c r="C259" t="s">
        <v>3717</v>
      </c>
      <c r="D259" s="115" t="s">
        <v>2267</v>
      </c>
    </row>
    <row r="260" spans="1:4">
      <c r="A260">
        <v>7</v>
      </c>
      <c r="B260" t="s">
        <v>3535</v>
      </c>
      <c r="C260" t="s">
        <v>3555</v>
      </c>
      <c r="D260" s="115" t="s">
        <v>2267</v>
      </c>
    </row>
    <row r="261" spans="1:4">
      <c r="A261">
        <v>8</v>
      </c>
      <c r="B261" t="s">
        <v>3536</v>
      </c>
      <c r="C261" t="s">
        <v>3574</v>
      </c>
      <c r="D261" s="115" t="s">
        <v>2267</v>
      </c>
    </row>
    <row r="262" spans="1:4">
      <c r="A262">
        <v>9</v>
      </c>
      <c r="B262" t="s">
        <v>3537</v>
      </c>
      <c r="C262" s="5" t="s">
        <v>3718</v>
      </c>
      <c r="D262" s="115" t="s">
        <v>2267</v>
      </c>
    </row>
    <row r="263" spans="1:4">
      <c r="A263">
        <v>10</v>
      </c>
      <c r="B263" t="s">
        <v>3538</v>
      </c>
      <c r="D263" s="115" t="s">
        <v>2267</v>
      </c>
    </row>
    <row r="264" spans="1:4">
      <c r="A264">
        <v>11</v>
      </c>
      <c r="B264" t="s">
        <v>3539</v>
      </c>
      <c r="C264" t="s">
        <v>3549</v>
      </c>
      <c r="D264" s="115" t="s">
        <v>2267</v>
      </c>
    </row>
    <row r="265" spans="1:4">
      <c r="A265">
        <v>12</v>
      </c>
      <c r="B265" t="s">
        <v>3540</v>
      </c>
      <c r="C265" t="s">
        <v>3719</v>
      </c>
      <c r="D265" s="115" t="s">
        <v>2267</v>
      </c>
    </row>
    <row r="266" spans="1:4">
      <c r="A266">
        <v>1</v>
      </c>
      <c r="B266" t="s">
        <v>6</v>
      </c>
      <c r="C266" t="s">
        <v>2734</v>
      </c>
      <c r="D266" s="115" t="s">
        <v>3720</v>
      </c>
    </row>
    <row r="267" spans="1:4">
      <c r="A267">
        <v>2</v>
      </c>
      <c r="B267" t="s">
        <v>3530</v>
      </c>
      <c r="C267" t="s">
        <v>3713</v>
      </c>
      <c r="D267" s="115" t="s">
        <v>3720</v>
      </c>
    </row>
    <row r="268" spans="1:4">
      <c r="A268">
        <v>3</v>
      </c>
      <c r="B268" t="s">
        <v>3531</v>
      </c>
      <c r="C268" t="s">
        <v>3714</v>
      </c>
      <c r="D268" s="115" t="s">
        <v>3720</v>
      </c>
    </row>
    <row r="269" spans="1:4">
      <c r="A269">
        <v>4</v>
      </c>
      <c r="B269" t="s">
        <v>3532</v>
      </c>
      <c r="C269" s="73" t="s">
        <v>3715</v>
      </c>
      <c r="D269" s="115" t="s">
        <v>3720</v>
      </c>
    </row>
    <row r="270" spans="1:4">
      <c r="A270">
        <v>5</v>
      </c>
      <c r="B270" t="s">
        <v>3533</v>
      </c>
      <c r="C270" s="113" t="s">
        <v>3721</v>
      </c>
      <c r="D270" s="115" t="s">
        <v>3720</v>
      </c>
    </row>
    <row r="271" spans="1:4">
      <c r="A271">
        <v>6</v>
      </c>
      <c r="B271" t="s">
        <v>3534</v>
      </c>
      <c r="C271" t="s">
        <v>3717</v>
      </c>
      <c r="D271" s="115" t="s">
        <v>3720</v>
      </c>
    </row>
    <row r="272" spans="1:4">
      <c r="A272">
        <v>7</v>
      </c>
      <c r="B272" t="s">
        <v>3535</v>
      </c>
      <c r="C272" t="s">
        <v>3555</v>
      </c>
      <c r="D272" s="115" t="s">
        <v>3720</v>
      </c>
    </row>
    <row r="273" spans="1:5">
      <c r="A273">
        <v>8</v>
      </c>
      <c r="B273" t="s">
        <v>3536</v>
      </c>
      <c r="C273" t="s">
        <v>3574</v>
      </c>
      <c r="D273" s="115" t="s">
        <v>3720</v>
      </c>
    </row>
    <row r="274" spans="1:5">
      <c r="A274">
        <v>9</v>
      </c>
      <c r="B274" t="s">
        <v>3537</v>
      </c>
      <c r="C274" s="5" t="s">
        <v>3722</v>
      </c>
      <c r="D274" s="115" t="s">
        <v>3720</v>
      </c>
    </row>
    <row r="275" spans="1:5">
      <c r="A275">
        <v>10</v>
      </c>
      <c r="B275" t="s">
        <v>3538</v>
      </c>
      <c r="D275" s="115" t="s">
        <v>3720</v>
      </c>
    </row>
    <row r="276" spans="1:5">
      <c r="A276">
        <v>11</v>
      </c>
      <c r="B276" t="s">
        <v>3539</v>
      </c>
      <c r="C276" t="s">
        <v>3549</v>
      </c>
      <c r="D276" s="115" t="s">
        <v>3720</v>
      </c>
    </row>
    <row r="277" spans="1:5">
      <c r="A277">
        <v>12</v>
      </c>
      <c r="B277" t="s">
        <v>3540</v>
      </c>
      <c r="C277" t="s">
        <v>3719</v>
      </c>
      <c r="D277" s="115" t="s">
        <v>3720</v>
      </c>
    </row>
    <row r="278" spans="1:5">
      <c r="A278">
        <v>1</v>
      </c>
      <c r="B278" t="s">
        <v>6</v>
      </c>
      <c r="C278" s="160" t="s">
        <v>3199</v>
      </c>
      <c r="D278" s="160" t="s">
        <v>3199</v>
      </c>
      <c r="E278">
        <v>1325012</v>
      </c>
    </row>
    <row r="279" spans="1:5">
      <c r="A279">
        <v>2</v>
      </c>
      <c r="B279" t="s">
        <v>3530</v>
      </c>
      <c r="C279" t="s">
        <v>3723</v>
      </c>
      <c r="D279" s="160" t="s">
        <v>3199</v>
      </c>
      <c r="E279">
        <v>1325012</v>
      </c>
    </row>
    <row r="280" spans="1:5">
      <c r="A280">
        <v>3</v>
      </c>
      <c r="B280" t="s">
        <v>3531</v>
      </c>
      <c r="C280" t="s">
        <v>3724</v>
      </c>
      <c r="D280" s="160" t="s">
        <v>3199</v>
      </c>
      <c r="E280">
        <v>1325012</v>
      </c>
    </row>
    <row r="281" spans="1:5">
      <c r="A281">
        <v>4</v>
      </c>
      <c r="B281" t="s">
        <v>3532</v>
      </c>
      <c r="C281" t="s">
        <v>3725</v>
      </c>
      <c r="D281" s="160" t="s">
        <v>3199</v>
      </c>
      <c r="E281">
        <v>1325012</v>
      </c>
    </row>
    <row r="282" spans="1:5">
      <c r="A282">
        <v>5</v>
      </c>
      <c r="B282" t="s">
        <v>3533</v>
      </c>
      <c r="C282" t="s">
        <v>3726</v>
      </c>
      <c r="D282" s="160" t="s">
        <v>3199</v>
      </c>
      <c r="E282">
        <v>1325012</v>
      </c>
    </row>
    <row r="283" spans="1:5">
      <c r="A283">
        <v>6</v>
      </c>
      <c r="B283" t="s">
        <v>3534</v>
      </c>
      <c r="C283" t="s">
        <v>3727</v>
      </c>
      <c r="D283" s="160" t="s">
        <v>3199</v>
      </c>
      <c r="E283">
        <v>1325012</v>
      </c>
    </row>
    <row r="284" spans="1:5">
      <c r="A284">
        <v>7</v>
      </c>
      <c r="B284" t="s">
        <v>3535</v>
      </c>
      <c r="C284" t="s">
        <v>3555</v>
      </c>
      <c r="D284" s="160" t="s">
        <v>3199</v>
      </c>
      <c r="E284">
        <v>1325012</v>
      </c>
    </row>
    <row r="285" spans="1:5">
      <c r="A285">
        <v>8</v>
      </c>
      <c r="B285" t="s">
        <v>3536</v>
      </c>
      <c r="C285" t="s">
        <v>3728</v>
      </c>
      <c r="D285" s="160" t="s">
        <v>3199</v>
      </c>
      <c r="E285">
        <v>1325012</v>
      </c>
    </row>
    <row r="286" spans="1:5">
      <c r="A286">
        <v>9</v>
      </c>
      <c r="B286" t="s">
        <v>3537</v>
      </c>
      <c r="C286" t="s">
        <v>3729</v>
      </c>
      <c r="D286" s="160" t="s">
        <v>3199</v>
      </c>
      <c r="E286">
        <v>1325012</v>
      </c>
    </row>
    <row r="287" spans="1:5">
      <c r="A287">
        <v>10</v>
      </c>
      <c r="B287" t="s">
        <v>3538</v>
      </c>
      <c r="D287" s="160" t="s">
        <v>3199</v>
      </c>
      <c r="E287">
        <v>1325012</v>
      </c>
    </row>
    <row r="288" spans="1:5">
      <c r="A288">
        <v>11</v>
      </c>
      <c r="B288" t="s">
        <v>3539</v>
      </c>
      <c r="C288" t="s">
        <v>3549</v>
      </c>
      <c r="D288" s="160" t="s">
        <v>3199</v>
      </c>
      <c r="E288">
        <v>1325012</v>
      </c>
    </row>
    <row r="289" spans="1:5">
      <c r="A289">
        <v>12</v>
      </c>
      <c r="B289" t="s">
        <v>3540</v>
      </c>
      <c r="C289" t="s">
        <v>3730</v>
      </c>
      <c r="D289" s="160" t="s">
        <v>3199</v>
      </c>
      <c r="E289">
        <v>1325012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2024-05-16T08:51:20Z</dcterms:created>
  <dcterms:modified xsi:type="dcterms:W3CDTF">2026-03-03T02:41:55Z</dcterms:modified>
  <cp:category/>
  <cp:contentStatus/>
</cp:coreProperties>
</file>